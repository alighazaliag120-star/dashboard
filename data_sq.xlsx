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i\belajar python\"/>
    </mc:Choice>
  </mc:AlternateContent>
  <xr:revisionPtr revIDLastSave="0" documentId="13_ncr:1_{24C0EC0D-6FE1-4F84-B24C-A1E7EEB29BE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Sheet1!$A$1:$T$1254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518" i="1" l="1"/>
  <c r="U1519" i="1"/>
  <c r="U1520" i="1"/>
  <c r="U1521" i="1"/>
  <c r="U1522" i="1"/>
  <c r="U1523" i="1"/>
  <c r="U1524" i="1"/>
  <c r="U1525" i="1"/>
  <c r="U1526" i="1"/>
  <c r="U1527" i="1"/>
  <c r="U1528" i="1"/>
  <c r="U1529" i="1"/>
  <c r="U1530" i="1"/>
  <c r="U1531" i="1"/>
  <c r="U1532" i="1"/>
  <c r="U1533" i="1"/>
  <c r="U1534" i="1"/>
  <c r="U1535" i="1"/>
  <c r="U1536" i="1"/>
  <c r="U1537" i="1"/>
  <c r="U1538" i="1"/>
  <c r="U1539" i="1"/>
  <c r="U1540" i="1"/>
  <c r="U1541" i="1"/>
  <c r="U1542" i="1"/>
  <c r="U1543" i="1"/>
  <c r="U1544" i="1"/>
  <c r="U1545" i="1"/>
  <c r="U1546" i="1"/>
  <c r="U1547" i="1"/>
  <c r="U1548" i="1"/>
  <c r="U1549" i="1"/>
  <c r="U1550" i="1"/>
  <c r="U1551" i="1"/>
  <c r="U1552" i="1"/>
  <c r="U1553" i="1"/>
  <c r="U1554" i="1"/>
  <c r="U1555" i="1"/>
  <c r="U1556" i="1"/>
  <c r="U1557" i="1"/>
  <c r="U1558" i="1"/>
  <c r="U1559" i="1"/>
  <c r="U1560" i="1"/>
  <c r="U1561" i="1"/>
  <c r="U1562" i="1"/>
  <c r="U1563" i="1"/>
  <c r="U1564" i="1"/>
  <c r="U1565" i="1"/>
  <c r="U1566" i="1"/>
  <c r="U1567" i="1"/>
  <c r="U1568" i="1"/>
  <c r="U1569" i="1"/>
  <c r="U1570" i="1"/>
  <c r="U1571" i="1"/>
  <c r="U1572" i="1"/>
  <c r="U1573" i="1"/>
  <c r="U1574" i="1"/>
  <c r="U1575" i="1"/>
  <c r="U1576" i="1"/>
  <c r="U1577" i="1"/>
  <c r="U1578" i="1"/>
  <c r="U1579" i="1"/>
  <c r="U1580" i="1"/>
  <c r="U1581" i="1"/>
  <c r="U1582" i="1"/>
  <c r="U1583" i="1"/>
  <c r="U1584" i="1"/>
  <c r="U1585" i="1"/>
  <c r="U1586" i="1"/>
  <c r="U1587" i="1"/>
  <c r="U1588" i="1"/>
  <c r="U1589" i="1"/>
  <c r="U1590" i="1"/>
  <c r="U1591" i="1"/>
  <c r="U1592" i="1"/>
  <c r="U1593" i="1"/>
  <c r="U1594" i="1"/>
  <c r="U1595" i="1"/>
  <c r="U1596" i="1"/>
  <c r="U1597" i="1"/>
  <c r="U1598" i="1"/>
  <c r="U1599" i="1"/>
  <c r="U1600" i="1"/>
  <c r="U1601" i="1"/>
  <c r="U1602" i="1"/>
  <c r="U1603" i="1"/>
  <c r="U1604" i="1"/>
  <c r="U1605" i="1"/>
  <c r="U1606" i="1"/>
  <c r="U1607" i="1"/>
  <c r="U1608" i="1"/>
  <c r="U1609" i="1"/>
  <c r="U1610" i="1"/>
  <c r="U1611" i="1"/>
  <c r="U1612" i="1"/>
  <c r="U1613" i="1"/>
  <c r="U1614" i="1"/>
  <c r="U1615" i="1"/>
  <c r="U1616" i="1"/>
  <c r="U1617" i="1"/>
  <c r="U1618" i="1"/>
  <c r="U1619" i="1"/>
  <c r="U1620" i="1"/>
  <c r="U1621" i="1"/>
  <c r="U1622" i="1"/>
  <c r="U1623" i="1"/>
  <c r="U1624" i="1"/>
  <c r="U1625" i="1"/>
  <c r="U1626" i="1"/>
  <c r="U1627" i="1"/>
  <c r="U1628" i="1"/>
  <c r="U1629" i="1"/>
  <c r="U1630" i="1"/>
  <c r="U1631" i="1"/>
  <c r="U1632" i="1"/>
  <c r="U1633" i="1"/>
  <c r="U1634" i="1"/>
  <c r="U1635" i="1"/>
  <c r="U1636" i="1"/>
  <c r="U1637" i="1"/>
  <c r="U1638" i="1"/>
  <c r="U1639" i="1"/>
  <c r="U1640" i="1"/>
  <c r="U1641" i="1"/>
  <c r="U1642" i="1"/>
  <c r="U1643" i="1"/>
  <c r="U1644" i="1"/>
  <c r="U1645" i="1"/>
  <c r="U1646" i="1"/>
  <c r="U1647" i="1"/>
  <c r="U1648" i="1"/>
  <c r="U1649" i="1"/>
  <c r="U1650" i="1"/>
  <c r="U1651" i="1"/>
  <c r="U1652" i="1"/>
  <c r="U1653" i="1"/>
  <c r="U1654" i="1"/>
  <c r="U1655" i="1"/>
  <c r="U1656" i="1"/>
  <c r="U1657" i="1"/>
  <c r="U1658" i="1"/>
  <c r="U1659" i="1"/>
  <c r="U1660" i="1"/>
  <c r="U1661" i="1"/>
  <c r="U1662" i="1"/>
  <c r="U1663" i="1"/>
  <c r="U1664" i="1"/>
  <c r="U1665" i="1"/>
  <c r="U1666" i="1"/>
  <c r="U1667" i="1"/>
  <c r="U1668" i="1"/>
  <c r="U1669" i="1"/>
  <c r="U1670" i="1"/>
  <c r="U1671" i="1"/>
  <c r="U1672" i="1"/>
  <c r="U1673" i="1"/>
  <c r="U1674" i="1"/>
  <c r="U1675" i="1"/>
  <c r="U1676" i="1"/>
  <c r="U1677" i="1"/>
  <c r="U1678" i="1"/>
  <c r="U1679" i="1"/>
  <c r="U1680" i="1"/>
  <c r="U1681" i="1"/>
  <c r="U1682" i="1"/>
  <c r="U1683" i="1"/>
  <c r="U1684" i="1"/>
  <c r="U1685" i="1"/>
  <c r="U1686" i="1"/>
  <c r="U1687" i="1"/>
  <c r="U1688" i="1"/>
  <c r="U1689" i="1"/>
  <c r="U1690" i="1"/>
  <c r="U1691" i="1"/>
  <c r="U1692" i="1"/>
  <c r="U1693" i="1"/>
  <c r="U1694" i="1"/>
  <c r="U1695" i="1"/>
  <c r="U1696" i="1"/>
  <c r="U1697" i="1"/>
  <c r="U1698" i="1"/>
  <c r="U1699" i="1"/>
  <c r="U1700" i="1"/>
  <c r="U1701" i="1"/>
  <c r="U1702" i="1"/>
  <c r="U1703" i="1"/>
  <c r="U1704" i="1"/>
  <c r="U1705" i="1"/>
  <c r="U1706" i="1"/>
  <c r="U1707" i="1"/>
  <c r="U1708" i="1"/>
  <c r="U1709" i="1"/>
  <c r="U1710" i="1"/>
  <c r="U1711" i="1"/>
  <c r="U1712" i="1"/>
  <c r="U1713" i="1"/>
  <c r="U1714" i="1"/>
  <c r="U1715" i="1"/>
  <c r="U1716" i="1"/>
  <c r="U1717" i="1"/>
  <c r="U1718" i="1"/>
  <c r="U1719" i="1"/>
  <c r="U1720" i="1"/>
  <c r="U1721" i="1"/>
  <c r="U1722" i="1"/>
  <c r="U1723" i="1"/>
  <c r="U1724" i="1"/>
  <c r="U1725" i="1"/>
  <c r="U1726" i="1"/>
  <c r="U1727" i="1"/>
  <c r="U1728" i="1"/>
  <c r="U1729" i="1"/>
  <c r="U1730" i="1"/>
  <c r="U1731" i="1"/>
  <c r="U1732" i="1"/>
  <c r="U1733" i="1"/>
  <c r="U1734" i="1"/>
  <c r="U1735" i="1"/>
  <c r="U1736" i="1"/>
  <c r="U1737" i="1"/>
  <c r="U1738" i="1"/>
  <c r="U1739" i="1"/>
  <c r="U1740" i="1"/>
  <c r="U1741" i="1"/>
  <c r="U1742" i="1"/>
  <c r="U1743" i="1"/>
  <c r="U1744" i="1"/>
  <c r="U1470" i="1"/>
  <c r="U1471" i="1"/>
  <c r="U1472" i="1"/>
  <c r="U1473" i="1"/>
  <c r="U1474" i="1"/>
  <c r="U1475" i="1"/>
  <c r="U1476" i="1"/>
  <c r="U1477" i="1"/>
  <c r="U1478" i="1"/>
  <c r="U1479" i="1"/>
  <c r="U1480" i="1"/>
  <c r="U1481" i="1"/>
  <c r="U1482" i="1"/>
  <c r="U1483" i="1"/>
  <c r="U1484" i="1"/>
  <c r="U1485" i="1"/>
  <c r="U1486" i="1"/>
  <c r="U1487" i="1"/>
  <c r="U1488" i="1"/>
  <c r="U1489" i="1"/>
  <c r="U1490" i="1"/>
  <c r="U1491" i="1"/>
  <c r="U1492" i="1"/>
  <c r="U1493" i="1"/>
  <c r="U1494" i="1"/>
  <c r="U1495" i="1"/>
  <c r="U1496" i="1"/>
  <c r="U1497" i="1"/>
  <c r="U1498" i="1"/>
  <c r="U1499" i="1"/>
  <c r="U1500" i="1"/>
  <c r="U1501" i="1"/>
  <c r="U1502" i="1"/>
  <c r="U1503" i="1"/>
  <c r="U1504" i="1"/>
  <c r="U1505" i="1"/>
  <c r="U1506" i="1"/>
  <c r="U1507" i="1"/>
  <c r="U1508" i="1"/>
  <c r="U1509" i="1"/>
  <c r="U1510" i="1"/>
  <c r="U1511" i="1"/>
  <c r="U1512" i="1"/>
  <c r="U1513" i="1"/>
  <c r="U1514" i="1"/>
  <c r="U1515" i="1"/>
  <c r="U1516" i="1"/>
  <c r="U1517" i="1"/>
  <c r="U1432" i="1"/>
  <c r="U1433" i="1"/>
  <c r="U1434" i="1"/>
  <c r="U1435" i="1"/>
  <c r="U1436" i="1"/>
  <c r="U1437" i="1"/>
  <c r="U1438" i="1"/>
  <c r="U1439" i="1"/>
  <c r="U1440" i="1"/>
  <c r="U1441" i="1"/>
  <c r="U1442" i="1"/>
  <c r="U1443" i="1"/>
  <c r="U1444" i="1"/>
  <c r="U1445" i="1"/>
  <c r="U1446" i="1"/>
  <c r="U1447" i="1"/>
  <c r="U1448" i="1"/>
  <c r="U1449" i="1"/>
  <c r="U1450" i="1"/>
  <c r="U1451" i="1"/>
  <c r="U1452" i="1"/>
  <c r="U1453" i="1"/>
  <c r="U1454" i="1"/>
  <c r="U1455" i="1"/>
  <c r="U1456" i="1"/>
  <c r="U1457" i="1"/>
  <c r="U1458" i="1"/>
  <c r="U1459" i="1"/>
  <c r="U1460" i="1"/>
  <c r="U1461" i="1"/>
  <c r="U1462" i="1"/>
  <c r="U1463" i="1"/>
  <c r="U1464" i="1"/>
  <c r="U1465" i="1"/>
  <c r="U1466" i="1"/>
  <c r="U1467" i="1"/>
  <c r="U1468" i="1"/>
  <c r="U1469" i="1"/>
  <c r="U1301" i="1"/>
  <c r="U1302" i="1"/>
  <c r="U1303" i="1"/>
  <c r="U1304" i="1"/>
  <c r="U1305" i="1"/>
  <c r="U1306" i="1"/>
  <c r="U1307" i="1"/>
  <c r="U1308" i="1"/>
  <c r="U1309" i="1"/>
  <c r="U1310" i="1"/>
  <c r="U1311" i="1"/>
  <c r="U1312" i="1"/>
  <c r="U1313" i="1"/>
  <c r="U1314" i="1"/>
  <c r="U1315" i="1"/>
  <c r="U1316" i="1"/>
  <c r="U1317" i="1"/>
  <c r="U1318" i="1"/>
  <c r="U1319" i="1"/>
  <c r="U1320" i="1"/>
  <c r="U1321" i="1"/>
  <c r="U1322" i="1"/>
  <c r="U1323" i="1"/>
  <c r="U1324" i="1"/>
  <c r="U1325" i="1"/>
  <c r="U1326" i="1"/>
  <c r="U1327" i="1"/>
  <c r="U1328" i="1"/>
  <c r="U1329" i="1"/>
  <c r="U1330" i="1"/>
  <c r="U1331" i="1"/>
  <c r="U1332" i="1"/>
  <c r="U1333" i="1"/>
  <c r="U1334" i="1"/>
  <c r="U1335" i="1"/>
  <c r="U1336" i="1"/>
  <c r="U1337" i="1"/>
  <c r="U1338" i="1"/>
  <c r="U1339" i="1"/>
  <c r="U1340" i="1"/>
  <c r="U1341" i="1"/>
  <c r="U1342" i="1"/>
  <c r="U1343" i="1"/>
  <c r="U1344" i="1"/>
  <c r="U1345" i="1"/>
  <c r="U1346" i="1"/>
  <c r="U1347" i="1"/>
  <c r="U1348" i="1"/>
  <c r="U1349" i="1"/>
  <c r="U1350" i="1"/>
  <c r="U1351" i="1"/>
  <c r="U1352" i="1"/>
  <c r="U1353" i="1"/>
  <c r="U1354" i="1"/>
  <c r="U1355" i="1"/>
  <c r="U1356" i="1"/>
  <c r="U1357" i="1"/>
  <c r="U1358" i="1"/>
  <c r="U1359" i="1"/>
  <c r="U1360" i="1"/>
  <c r="U1361" i="1"/>
  <c r="U1362" i="1"/>
  <c r="U1363" i="1"/>
  <c r="U1364" i="1"/>
  <c r="U1365" i="1"/>
  <c r="U1366" i="1"/>
  <c r="U1367" i="1"/>
  <c r="U1368" i="1"/>
  <c r="U1369" i="1"/>
  <c r="U1370" i="1"/>
  <c r="U1371" i="1"/>
  <c r="U1372" i="1"/>
  <c r="U1373" i="1"/>
  <c r="U1374" i="1"/>
  <c r="U1375" i="1"/>
  <c r="U1376" i="1"/>
  <c r="U1377" i="1"/>
  <c r="U1378" i="1"/>
  <c r="U1379" i="1"/>
  <c r="U1380" i="1"/>
  <c r="U1381" i="1"/>
  <c r="U1382" i="1"/>
  <c r="U1383" i="1"/>
  <c r="U1384" i="1"/>
  <c r="U1385" i="1"/>
  <c r="U1386" i="1"/>
  <c r="U1387" i="1"/>
  <c r="U1388" i="1"/>
  <c r="U1389" i="1"/>
  <c r="U1390" i="1"/>
  <c r="U1391" i="1"/>
  <c r="U1392" i="1"/>
  <c r="U1393" i="1"/>
  <c r="U1394" i="1"/>
  <c r="U1395" i="1"/>
  <c r="U1396" i="1"/>
  <c r="U1397" i="1"/>
  <c r="U1398" i="1"/>
  <c r="U1399" i="1"/>
  <c r="U1400" i="1"/>
  <c r="U1401" i="1"/>
  <c r="U1402" i="1"/>
  <c r="U1403" i="1"/>
  <c r="U1404" i="1"/>
  <c r="U1405" i="1"/>
  <c r="U1406" i="1"/>
  <c r="U1407" i="1"/>
  <c r="U1408" i="1"/>
  <c r="U1409" i="1"/>
  <c r="U1410" i="1"/>
  <c r="U1411" i="1"/>
  <c r="U1412" i="1"/>
  <c r="U1413" i="1"/>
  <c r="U1414" i="1"/>
  <c r="U1415" i="1"/>
  <c r="U1416" i="1"/>
  <c r="U1417" i="1"/>
  <c r="U1418" i="1"/>
  <c r="U1419" i="1"/>
  <c r="U1420" i="1"/>
  <c r="U1421" i="1"/>
  <c r="U1422" i="1"/>
  <c r="U1423" i="1"/>
  <c r="U1424" i="1"/>
  <c r="U1425" i="1"/>
  <c r="U1426" i="1"/>
  <c r="U1427" i="1"/>
  <c r="U1428" i="1"/>
  <c r="U1429" i="1"/>
  <c r="U1430" i="1"/>
  <c r="U1431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1292" i="1"/>
  <c r="U1293" i="1"/>
  <c r="U1294" i="1"/>
  <c r="U1295" i="1"/>
  <c r="U1296" i="1"/>
  <c r="U1297" i="1"/>
  <c r="U1298" i="1"/>
  <c r="U1299" i="1"/>
  <c r="U1300" i="1"/>
  <c r="U2" i="1"/>
</calcChain>
</file>

<file path=xl/sharedStrings.xml><?xml version="1.0" encoding="utf-8"?>
<sst xmlns="http://schemas.openxmlformats.org/spreadsheetml/2006/main" count="11227" uniqueCount="3386">
  <si>
    <t>No</t>
  </si>
  <si>
    <t>No Transaksi</t>
  </si>
  <si>
    <t>Tanggal</t>
  </si>
  <si>
    <t>Customer</t>
  </si>
  <si>
    <t>Sales</t>
  </si>
  <si>
    <t>Status</t>
  </si>
  <si>
    <t>Mata Uang</t>
  </si>
  <si>
    <t>Kurs</t>
  </si>
  <si>
    <t>Uraian</t>
  </si>
  <si>
    <t>Termin</t>
  </si>
  <si>
    <t>Sub Total</t>
  </si>
  <si>
    <t>Diskon (%)</t>
  </si>
  <si>
    <t>Diskon</t>
  </si>
  <si>
    <t>Pajak 1 Total</t>
  </si>
  <si>
    <t>Pajak 2 Totak</t>
  </si>
  <si>
    <t>Biaya Lain (%)</t>
  </si>
  <si>
    <t>Biaya Lain</t>
  </si>
  <si>
    <t>Total Transaksi</t>
  </si>
  <si>
    <t>Margin</t>
  </si>
  <si>
    <t>Margin (%)</t>
  </si>
  <si>
    <t>SIBSQ26030247</t>
  </si>
  <si>
    <t>PT. JHONLIN BARATAMA</t>
  </si>
  <si>
    <t>Erwin Suriansyah</t>
  </si>
  <si>
    <t>Approved</t>
  </si>
  <si>
    <t>IDR</t>
  </si>
  <si>
    <t>REQ JB PLANT SEI 2 FLOW METER FCM 50 NX</t>
  </si>
  <si>
    <t>PEMBAYARAN INVOICE 30 HARI</t>
  </si>
  <si>
    <t>SIBSQ26030246</t>
  </si>
  <si>
    <t>PT. PRIMA ALAM GEMILANG</t>
  </si>
  <si>
    <t>SARDIMAN</t>
  </si>
  <si>
    <t>Complete</t>
  </si>
  <si>
    <t>P004173 - Date 2026-03-24 - Due Date 08-05-2026</t>
  </si>
  <si>
    <t>SIBSQ26030245</t>
  </si>
  <si>
    <t>PT. Jhonlin Marine Trans</t>
  </si>
  <si>
    <t>Yulius Kriswida</t>
  </si>
  <si>
    <t>6000006960 OPS JMT DD 20/05/26</t>
  </si>
  <si>
    <t>SIBSQ26030244</t>
  </si>
  <si>
    <t>PT. Jhonlin Marine Lines</t>
  </si>
  <si>
    <t>RULLY PARAMITA</t>
  </si>
  <si>
    <t>Draft</t>
  </si>
  <si>
    <t>6100004417 JML</t>
  </si>
  <si>
    <t>SIBSQ26030243</t>
  </si>
  <si>
    <t>6100004430 BM JMT DD 18/05/26</t>
  </si>
  <si>
    <t>SIBSQ26030242</t>
  </si>
  <si>
    <t>6100004399 PLANT JML</t>
  </si>
  <si>
    <t>SIBSQ26030241</t>
  </si>
  <si>
    <t>RFQ PP-JMT-0003-III-2026 - MS</t>
  </si>
  <si>
    <t>SIBSQ26030240</t>
  </si>
  <si>
    <t>SIBSQ26030239</t>
  </si>
  <si>
    <t>6500002509 JB PLANT SEI 2</t>
  </si>
  <si>
    <t>SIBSQ26030238</t>
  </si>
  <si>
    <t>6000007145 JB HSE SBB</t>
  </si>
  <si>
    <t>SIBSQ26030237</t>
  </si>
  <si>
    <t>PT. DUA SAMUDERA PERKASA</t>
  </si>
  <si>
    <t>SUGIYANOR</t>
  </si>
  <si>
    <t>REQ DSP SEI 2 (BP FIRMAN)</t>
  </si>
  <si>
    <t>CASH BEFORE DELIVERY</t>
  </si>
  <si>
    <t>SIBSQ26030236</t>
  </si>
  <si>
    <t>6000006923 JB PLANT TJG</t>
  </si>
  <si>
    <t>SIBSQ26030235</t>
  </si>
  <si>
    <t>6000006929 JB PLANT TJG</t>
  </si>
  <si>
    <t>SIBSQ26030234</t>
  </si>
  <si>
    <t>6000006976 DSP PP KODECO</t>
  </si>
  <si>
    <t>SIBSQ26030233</t>
  </si>
  <si>
    <t>6000006796 JB PLANT SBB</t>
  </si>
  <si>
    <t>SIBSQ26030232</t>
  </si>
  <si>
    <t>6000006610 JB PLANT SEI 2</t>
  </si>
  <si>
    <t>SIBSQ26030231</t>
  </si>
  <si>
    <t>6000006892 JB PLANT SEI 2</t>
  </si>
  <si>
    <t>SIBSQ26030230</t>
  </si>
  <si>
    <t>6100004397 JML</t>
  </si>
  <si>
    <t>SIBSQ26030229</t>
  </si>
  <si>
    <t>6800001378 JB INFRA SEI 2 (KEP. KM51)</t>
  </si>
  <si>
    <t>SIBSQ26030228</t>
  </si>
  <si>
    <t>6000006837 DSP SEI 2</t>
  </si>
  <si>
    <t>SIBSQ26030227</t>
  </si>
  <si>
    <t>REQ DSP SEI 2 ( BP.AHIM)</t>
  </si>
  <si>
    <t>SIBSQ26030226</t>
  </si>
  <si>
    <t>MV.JHONLIN001 - REQ E-37 / TRAFO JMT-STM</t>
  </si>
  <si>
    <t>SIBSQ26030225</t>
  </si>
  <si>
    <t>6000006962 DSP SEI 2 (TERUM PARIA)</t>
  </si>
  <si>
    <t>SIBSQ26030224</t>
  </si>
  <si>
    <t>6000006979 DSP SEI 2</t>
  </si>
  <si>
    <t>SIBSQ26030223</t>
  </si>
  <si>
    <t>6000006966 DSP SEI 2 (GROGOT)</t>
  </si>
  <si>
    <t>SIBSQ26030222</t>
  </si>
  <si>
    <t>MV.JHONLIN001 - REQ E-36 / TOOLS ENGINE  JMT-STM</t>
  </si>
  <si>
    <t>SIBSQ26030221</t>
  </si>
  <si>
    <t>6100004318 BM JMT (11/05/26)</t>
  </si>
  <si>
    <t>SIBSQ26030220</t>
  </si>
  <si>
    <t>6100004441 JB SEI 2 (TJG) FULL PAYMENT</t>
  </si>
  <si>
    <t>SIBSQ26030219</t>
  </si>
  <si>
    <t>6000006887 DSP SEI 2 (BUNATI)</t>
  </si>
  <si>
    <t>SIBSQ26030218</t>
  </si>
  <si>
    <t>6100004402 JML</t>
  </si>
  <si>
    <t>SIBSQ26030217</t>
  </si>
  <si>
    <t>6000006977 DSP (KURNAG 2 ITEM NPR)</t>
  </si>
  <si>
    <t>SIBSQ26030216</t>
  </si>
  <si>
    <t>PT. MULTI SARANA AGRO MANDIRI</t>
  </si>
  <si>
    <t>HANDIRA</t>
  </si>
  <si>
    <t>7000000645 MSAM</t>
  </si>
  <si>
    <t>SIBSQ26030215</t>
  </si>
  <si>
    <t>REQ DSP MBA RISKA</t>
  </si>
  <si>
    <t>SIBSQ26030214</t>
  </si>
  <si>
    <t>6000006947 SHE JMT (19/05/26)</t>
  </si>
  <si>
    <t>SIBSQ26030213</t>
  </si>
  <si>
    <t>6100004412 JML</t>
  </si>
  <si>
    <t>SIBSQ26030212</t>
  </si>
  <si>
    <t>REQ PENAWARAN JML (PAK JANUAR)</t>
  </si>
  <si>
    <t>SIBSQ26030211</t>
  </si>
  <si>
    <t>6100004322 DSP SP SEI 2 ( BARU AMPAR)</t>
  </si>
  <si>
    <t>SIBSQ26030210</t>
  </si>
  <si>
    <t>PT. SAMUDERA TIMUR MAS</t>
  </si>
  <si>
    <t>6000006926 GA STM</t>
  </si>
  <si>
    <t>SIBSQ26030209</t>
  </si>
  <si>
    <t>PT. HASIL PRIMA JAYA</t>
  </si>
  <si>
    <t>Afifah</t>
  </si>
  <si>
    <t>SIBSQ26030208</t>
  </si>
  <si>
    <t>6000007058 PLANT JML</t>
  </si>
  <si>
    <t>SIBSQ26030207</t>
  </si>
  <si>
    <t>RFQ HPJ PR 3000057529 KANTOR &amp; VILLA</t>
  </si>
  <si>
    <t>SIBSQ26030206</t>
  </si>
  <si>
    <t>REQ PENAWARAN JML (PAK DIDIN)</t>
  </si>
  <si>
    <t>SIBSQ26030205</t>
  </si>
  <si>
    <t>REQ PENAWARAN JML (PAK BAYU)</t>
  </si>
  <si>
    <t>SIBSQ26030204</t>
  </si>
  <si>
    <t>E-23/RF/JL002/II-26 MV J 002 JMT-STM</t>
  </si>
  <si>
    <t>SIBSQ26030203</t>
  </si>
  <si>
    <t>6100004332 DSP BUNATI</t>
  </si>
  <si>
    <t>SIBSQ26030202</t>
  </si>
  <si>
    <t>REQ JB-JG</t>
  </si>
  <si>
    <t>SIBSQ26030201</t>
  </si>
  <si>
    <t>SIBSQ26030200</t>
  </si>
  <si>
    <t>6100004159 JB INFRA SEI 2 (KEP. KALTIM)</t>
  </si>
  <si>
    <t>SIBSQ26030199</t>
  </si>
  <si>
    <t>REQ PENAWARAN JML</t>
  </si>
  <si>
    <t>SIBSQ26030198</t>
  </si>
  <si>
    <t>P004126 - Date 2026-03-02 - Due Date  04-04-2026</t>
  </si>
  <si>
    <t>SIBSQ26030197</t>
  </si>
  <si>
    <t>5001219684 HPJ</t>
  </si>
  <si>
    <t>SIBSQ26030196</t>
  </si>
  <si>
    <t>5001219657 HPJ</t>
  </si>
  <si>
    <t>SIBSQ26030195</t>
  </si>
  <si>
    <t>REQ JB PLANT TJG</t>
  </si>
  <si>
    <t>SIBSQ26030194</t>
  </si>
  <si>
    <t>REQ FABR JMT</t>
  </si>
  <si>
    <t>SIBSQ26030193</t>
  </si>
  <si>
    <t>REQ JB PLANT SEI 2</t>
  </si>
  <si>
    <t>SIBSQ26030192</t>
  </si>
  <si>
    <t>6000006812 JB PLANT SBB</t>
  </si>
  <si>
    <t>SIBSQ26030191</t>
  </si>
  <si>
    <t>6000006830 JB PLANT SEI 2 (FULL PAYMENT)</t>
  </si>
  <si>
    <t>SIBSQ26030190</t>
  </si>
  <si>
    <t>6800001379 JB INFRA SEI 2 (KEP. KM.51)</t>
  </si>
  <si>
    <t>SIBSQ26030189</t>
  </si>
  <si>
    <t>6100004163 JB INFRA SEI 2 (KEP. KALTIM)</t>
  </si>
  <si>
    <t>SIBSQ26030188</t>
  </si>
  <si>
    <t>6000006773 DSP SEI 2 (HEAD OFFICE)</t>
  </si>
  <si>
    <t>SIBSQ26030187</t>
  </si>
  <si>
    <t>6000006852 HSE JML</t>
  </si>
  <si>
    <t>SIBSQ26030186</t>
  </si>
  <si>
    <t>6100004257 DSP SEI 2</t>
  </si>
  <si>
    <t>SIBSQ26030185</t>
  </si>
  <si>
    <t>6500002453 OPS JMT JHONI012</t>
  </si>
  <si>
    <t>SIBSQ26030184</t>
  </si>
  <si>
    <t>6000006740 OPS JMT DD 13/05/2026</t>
  </si>
  <si>
    <t>SIBSQ26030183</t>
  </si>
  <si>
    <t>6100003709 PLANT JML</t>
  </si>
  <si>
    <t>SIBSQ26030182</t>
  </si>
  <si>
    <t>PT. PRADIKSI GUNATAMA</t>
  </si>
  <si>
    <t>PERMINTAAN PENAWARAN HARGA PG</t>
  </si>
  <si>
    <t>SIBSQ26030181</t>
  </si>
  <si>
    <t>6000006688 DSP SEI 2 (TERUM SETANGGA)</t>
  </si>
  <si>
    <t>SIBSQ26030180</t>
  </si>
  <si>
    <t>BG LIANA XVI FABR JMT (FULLPAYMENT)</t>
  </si>
  <si>
    <t>SIBSQ26030179</t>
  </si>
  <si>
    <t>BG LIANA X FABR JMT (FULLPAYMENT)</t>
  </si>
  <si>
    <t>SIBSQ26030178</t>
  </si>
  <si>
    <t>BG LIANA XXXXVI FABR JMT (FULLPAYMENT)</t>
  </si>
  <si>
    <t>SIBSQ26030177</t>
  </si>
  <si>
    <t>REQ PENAWARAN JML (PAK REZA)</t>
  </si>
  <si>
    <t>SIBSQ26030176</t>
  </si>
  <si>
    <t>PERMINTAAN HARGA PG</t>
  </si>
  <si>
    <t>SIBSQ26030175</t>
  </si>
  <si>
    <t>PT Jhonlin Agro Mandiri</t>
  </si>
  <si>
    <t>5001219675 JA</t>
  </si>
  <si>
    <t>SIBSQ26030174</t>
  </si>
  <si>
    <t>BG LIANA XXXIV FABR JMT (FULLPAYMENT)</t>
  </si>
  <si>
    <t>SIBSQ26030173</t>
  </si>
  <si>
    <t>6500002451 OPS JMT DD 14/05/2026</t>
  </si>
  <si>
    <t>SIBSQ26030172</t>
  </si>
  <si>
    <t>6000006789 OPS JMT TB JHONI 008 (DOCKING PATRIA-BJM)</t>
  </si>
  <si>
    <t>ANDREAS BAGUS</t>
  </si>
  <si>
    <t>SIBSQ26030170</t>
  </si>
  <si>
    <t>6100004165 DSP SEI 2 (BATU AMPAR)</t>
  </si>
  <si>
    <t>SIBSQ26030169</t>
  </si>
  <si>
    <t>6000006739 OPS JMT DD 13/05/26</t>
  </si>
  <si>
    <t>SIBSQ26030168</t>
  </si>
  <si>
    <t>-</t>
  </si>
  <si>
    <t>SIBSQ26030167</t>
  </si>
  <si>
    <t>7000000576 MSAM</t>
  </si>
  <si>
    <t>SIBSQ26030166</t>
  </si>
  <si>
    <t>PT. Jhonlin Group</t>
  </si>
  <si>
    <t>Muhammad Soleh Indra Setiawan</t>
  </si>
  <si>
    <t>RFQ JG LAB</t>
  </si>
  <si>
    <t>SIBSQ26030165</t>
  </si>
  <si>
    <t>6100004274 DSP SEI 2</t>
  </si>
  <si>
    <t>SIBSQ26030164</t>
  </si>
  <si>
    <t>6100004266 DSP SEI 2</t>
  </si>
  <si>
    <t>SIBSQ26030163</t>
  </si>
  <si>
    <t>RFQ MILL PT.MSAM2 &gt;&gt; 002/MSAM</t>
  </si>
  <si>
    <t>SIBSQ26030162</t>
  </si>
  <si>
    <t>6000006703 DSP SEI 2 (GEROGOT)</t>
  </si>
  <si>
    <t>SIBSQ26030161</t>
  </si>
  <si>
    <t>7000000613 MSAM</t>
  </si>
  <si>
    <t>SIBSQ26030160</t>
  </si>
  <si>
    <t>7000000593 MSAM</t>
  </si>
  <si>
    <t>SIBSQ26030159</t>
  </si>
  <si>
    <t>7000000566 PG</t>
  </si>
  <si>
    <t>SIBSQ26030158</t>
  </si>
  <si>
    <t>SIBSQ26030157</t>
  </si>
  <si>
    <t>7000000562 PG</t>
  </si>
  <si>
    <t>SIBSQ26030156</t>
  </si>
  <si>
    <t>SIBSQ26030155</t>
  </si>
  <si>
    <t>6000006745 FUEL JML</t>
  </si>
  <si>
    <t>SIBSQ26030154</t>
  </si>
  <si>
    <t>SIBSQ26030153</t>
  </si>
  <si>
    <t>6100004292 JB GA TJG</t>
  </si>
  <si>
    <t>SIBSQ26030152</t>
  </si>
  <si>
    <t>7100000428 MSAM</t>
  </si>
  <si>
    <t>SIBSQ26030151</t>
  </si>
  <si>
    <t>REQ PENAWARAN HARGA OPS (SUPPLY BATAM)</t>
  </si>
  <si>
    <t>SIBSQ26030150</t>
  </si>
  <si>
    <t>RFQ JG GARDEN</t>
  </si>
  <si>
    <t>SIBSQ26030149</t>
  </si>
  <si>
    <t>REQ DSP SEI 2 BP.FIMRAN</t>
  </si>
  <si>
    <t>SIBSQ26030148</t>
  </si>
  <si>
    <t>6000006679 OPS JMT DD 08/05/26</t>
  </si>
  <si>
    <t>SIBSQ26030147</t>
  </si>
  <si>
    <t>7100000388 MSAM // FULL PAYMENT</t>
  </si>
  <si>
    <t>SIBSQ26030146</t>
  </si>
  <si>
    <t>SIBSQ26030145</t>
  </si>
  <si>
    <t>REQ JB GA SEI 2</t>
  </si>
  <si>
    <t>SIBSQ26030144</t>
  </si>
  <si>
    <t>7000000568 PG</t>
  </si>
  <si>
    <t>SIBSQ26030143</t>
  </si>
  <si>
    <t>REQ DSP SEI 2 BP. Saprianto</t>
  </si>
  <si>
    <t>SIBSQ26030142</t>
  </si>
  <si>
    <t>PT. JHONLIN AGRO RAYA TBK</t>
  </si>
  <si>
    <t>REQ TOOLS JAR BIO</t>
  </si>
  <si>
    <t>SIBSQ26030141</t>
  </si>
  <si>
    <t>P007803 // BBA // DD 07-MEI-2026 // BATULICIN</t>
  </si>
  <si>
    <t>SIBSQ26030140</t>
  </si>
  <si>
    <t>REQ DSP SEI 2 BP. Imran</t>
  </si>
  <si>
    <t>SIBSQ26030139</t>
  </si>
  <si>
    <t>7100000387 PG</t>
  </si>
  <si>
    <t>SIBSQ26030138</t>
  </si>
  <si>
    <t>6000006719 OPS JMT DD 12/05/2026</t>
  </si>
  <si>
    <t>SIBSQ26030137</t>
  </si>
  <si>
    <t>REQ BBA BOMBANA</t>
  </si>
  <si>
    <t>In Progress</t>
  </si>
  <si>
    <t>SIBSQ26030134</t>
  </si>
  <si>
    <t>E-23/HI-03/III-26  MV.HI-03 STM</t>
  </si>
  <si>
    <t>SIBSQ26030133</t>
  </si>
  <si>
    <t>6100004214</t>
  </si>
  <si>
    <t>SIBSQ26030132</t>
  </si>
  <si>
    <t>REQ DSP SEI 2</t>
  </si>
  <si>
    <t>SIBSQ26030131</t>
  </si>
  <si>
    <t>SIBSQ26030130</t>
  </si>
  <si>
    <t>6100004255 JB GA SBB</t>
  </si>
  <si>
    <t>SIBSQ26030129</t>
  </si>
  <si>
    <t>6100004250 JB GA SEI 2</t>
  </si>
  <si>
    <t>SIBSQ26030128</t>
  </si>
  <si>
    <t>SIBSQ26030127</t>
  </si>
  <si>
    <t>7000000573 MSAM // FULL PAYMENT</t>
  </si>
  <si>
    <t>SIBSQ26030126</t>
  </si>
  <si>
    <t>6000006449 PLANT JML</t>
  </si>
  <si>
    <t>SIBSQ26030125</t>
  </si>
  <si>
    <t>7000000549 MSAM</t>
  </si>
  <si>
    <t>SIBSQ26030124</t>
  </si>
  <si>
    <t>6000006701 DSP SEI 2 (TERUM PARIA)</t>
  </si>
  <si>
    <t>SIBSQ26030123</t>
  </si>
  <si>
    <t>6000006685 DSP SEI 2 (SERONGGA)</t>
  </si>
  <si>
    <t>SIBSQ26030122</t>
  </si>
  <si>
    <t>6000006684 DSP SEI 2 (GROGOT)</t>
  </si>
  <si>
    <t>SIBSQ26030121</t>
  </si>
  <si>
    <t>6000006520 DSP SEI ( SERONGGA )</t>
  </si>
  <si>
    <t>SIBSQ26030120</t>
  </si>
  <si>
    <t>6000006512 DSP SEI 2 ( GROGOT )</t>
  </si>
  <si>
    <t>SIBSQ26030119</t>
  </si>
  <si>
    <t>LIST PP 3-5 OPEX JAR LAB EAS</t>
  </si>
  <si>
    <t>SIBSQ26030118</t>
  </si>
  <si>
    <t>6000006464 DSP SEI 2 (BATU AMPAR)</t>
  </si>
  <si>
    <t>SIBSQ26030117</t>
  </si>
  <si>
    <t>6000006511 DSP SEI 2</t>
  </si>
  <si>
    <t>SIBSQ26030116</t>
  </si>
  <si>
    <t>RFQ CIVIL JG</t>
  </si>
  <si>
    <t>SIBSQ26030115</t>
  </si>
  <si>
    <t>6000005476 FABR JMT</t>
  </si>
  <si>
    <t>SIBSQ26030114</t>
  </si>
  <si>
    <t>SIBSQ26030113</t>
  </si>
  <si>
    <t>SIBSQ26030112</t>
  </si>
  <si>
    <t>REQ DSP</t>
  </si>
  <si>
    <t>SIBSQ26030111</t>
  </si>
  <si>
    <t>7000000564 MSAM</t>
  </si>
  <si>
    <t>SIBSQ26030110</t>
  </si>
  <si>
    <t>PT. KODECO AGROJAYA MANDIRI</t>
  </si>
  <si>
    <t>PERMINTAAN HARGA EAS</t>
  </si>
  <si>
    <t>SIBSQ26020111</t>
  </si>
  <si>
    <t>SIBSQ26030109</t>
  </si>
  <si>
    <t>7000000586 ; BIO - B2B ; APRIL</t>
  </si>
  <si>
    <t>SIBSQ26030108</t>
  </si>
  <si>
    <t>REQ DSP 6100003440 HARGA UPDATE</t>
  </si>
  <si>
    <t>SIBSQ26030107</t>
  </si>
  <si>
    <t>6100004143 GA JML</t>
  </si>
  <si>
    <t>SIBSQ26030106</t>
  </si>
  <si>
    <t>PT. ENERGI ARMADA BERSAMA</t>
  </si>
  <si>
    <t>REQ PENAWARAN GA EAB</t>
  </si>
  <si>
    <t>SIBSQ26030105</t>
  </si>
  <si>
    <t>REQ ALAT LAB JAR BIO</t>
  </si>
  <si>
    <t>SIBSQ26030104</t>
  </si>
  <si>
    <t>PT. JAGAT JAYA SENTOSA</t>
  </si>
  <si>
    <t>PENAWARAN HARGA PT. JAGAT JAYA SENTOSA</t>
  </si>
  <si>
    <t>SIBSQ26030103</t>
  </si>
  <si>
    <t>6000006677 OPS JMT DD 08/05/2026</t>
  </si>
  <si>
    <t>SIBSQ26030102</t>
  </si>
  <si>
    <t>6000006696 JB PLANT SEI 2</t>
  </si>
  <si>
    <t>SIBSQ26030101</t>
  </si>
  <si>
    <t>SIBSQ26030100</t>
  </si>
  <si>
    <t>7000000431 ; PENGGANTI STOCK JB</t>
  </si>
  <si>
    <t>SIBSQ26030099</t>
  </si>
  <si>
    <t>6000006667 OPS JMT 08/05/2026</t>
  </si>
  <si>
    <t>SIBSQ26030098</t>
  </si>
  <si>
    <t>6100004446 JB GA TJG</t>
  </si>
  <si>
    <t>SIBSQ26030097</t>
  </si>
  <si>
    <t>6100004286 JB GA TJG</t>
  </si>
  <si>
    <t>SIBSQ26030096</t>
  </si>
  <si>
    <t>6000006458 OPS DD 27/04/26</t>
  </si>
  <si>
    <t>SIBSQ26030095</t>
  </si>
  <si>
    <t>6000006545 DSP SEI 2</t>
  </si>
  <si>
    <t>SIBSQ26030094</t>
  </si>
  <si>
    <t>6000006584 DSP SEI 2</t>
  </si>
  <si>
    <t>SIBSQ26030093</t>
  </si>
  <si>
    <t>6000006580 DSP SEI 2 (GROGOT)</t>
  </si>
  <si>
    <t>SIBSQ26030092</t>
  </si>
  <si>
    <t>6000006652 DSP SEI 2 (BUNATI)</t>
  </si>
  <si>
    <t>SIBSQ26030091</t>
  </si>
  <si>
    <t>6000006664 DSP SEI 2 (BATU AMPAR)</t>
  </si>
  <si>
    <t>SIBSQ26030089</t>
  </si>
  <si>
    <t>PT. JHONLIN BATU MANDIRI</t>
  </si>
  <si>
    <t>P007325 - Date 2026-03-03 - Due Date05-04-2026</t>
  </si>
  <si>
    <t>SIBSQ26030088</t>
  </si>
  <si>
    <t>RFQ 001-250226 JA</t>
  </si>
  <si>
    <t>SIBSQ26030087</t>
  </si>
  <si>
    <t>SIBSQ26030086</t>
  </si>
  <si>
    <t>6000006624 JB PLANT SEI 2</t>
  </si>
  <si>
    <t>SIBSQ26030085</t>
  </si>
  <si>
    <t>6000006623 JB PLANT SEI 2//FULL PAYMENT</t>
  </si>
  <si>
    <t>SIBSQ26030084</t>
  </si>
  <si>
    <t>6000006663 DSP SEI 2 (BUNATI)</t>
  </si>
  <si>
    <t>SIBSQ26020160</t>
  </si>
  <si>
    <t>REQ JB ENG SBB</t>
  </si>
  <si>
    <t>SIBSQ26030083</t>
  </si>
  <si>
    <t>REQ JB GA SEI 2 ELEKTRIK//MARET</t>
  </si>
  <si>
    <t>SIBSQ26030081</t>
  </si>
  <si>
    <t>7200000039 ; JAR 2 (LAB EAS) - DP 50%</t>
  </si>
  <si>
    <t>DP 50% dan Pelunasan N/30</t>
  </si>
  <si>
    <t>SIBSQ26030080</t>
  </si>
  <si>
    <t>6000006628 DSP SEI 2</t>
  </si>
  <si>
    <t>SIBSQ26030079</t>
  </si>
  <si>
    <t>6000006642 DSP PP SEI 2</t>
  </si>
  <si>
    <t>SIBSQ26030078</t>
  </si>
  <si>
    <t>6000006644 DSP SEI 2 (PPK)</t>
  </si>
  <si>
    <t>SIBSQ26030077</t>
  </si>
  <si>
    <t>6000006641 DSP SEI 2 (BATU AMPAR)</t>
  </si>
  <si>
    <t>SIBSQ26030076</t>
  </si>
  <si>
    <t>6000006631 DSP SEI 2 (SERONGGA)</t>
  </si>
  <si>
    <t>SIBSQ26030075</t>
  </si>
  <si>
    <t>6000006632 DSP SEI 2 (BUNATI)</t>
  </si>
  <si>
    <t>SIBSQ26030074</t>
  </si>
  <si>
    <t>6000006627 DSP SEI 2 (SETANGGA) DD 03/05/25</t>
  </si>
  <si>
    <t>SIBSQ26030073</t>
  </si>
  <si>
    <t>6000006625 DSP GROGOT</t>
  </si>
  <si>
    <t>SIBSQ26030072</t>
  </si>
  <si>
    <t>REQ JG HANGGAR BARU</t>
  </si>
  <si>
    <t>SIBSQ26030071</t>
  </si>
  <si>
    <t>SIBSQ26030070</t>
  </si>
  <si>
    <t>7000000543 MSAM // FULL PAYMENT - REFF SC SINAR BINTANG JAYA MAKMUR</t>
  </si>
  <si>
    <t>SIBSQ26030069</t>
  </si>
  <si>
    <t>7000000491 ; JAR MILL (37)</t>
  </si>
  <si>
    <t>SIBSQ26030068</t>
  </si>
  <si>
    <t>SIBSQ26030067</t>
  </si>
  <si>
    <t>6000006596 DSP SEI 2 FULL PAYMENT</t>
  </si>
  <si>
    <t>SIBSQ26030066</t>
  </si>
  <si>
    <t>6000006540 DSP SEI 2</t>
  </si>
  <si>
    <t>SIBSQ26030065</t>
  </si>
  <si>
    <t>PT. DAMAI BINTANG ABADI</t>
  </si>
  <si>
    <t>REQ DBA ICONIK HOUSE</t>
  </si>
  <si>
    <t>SIBSQ26030064</t>
  </si>
  <si>
    <t>E-23/RF/JL002/II-26 JMT-STM</t>
  </si>
  <si>
    <t>SIBSQ26030063</t>
  </si>
  <si>
    <t>6000006590 JB HSE SEI 2</t>
  </si>
  <si>
    <t>SIBSQ26030062</t>
  </si>
  <si>
    <t>6000006646 JMT FABR</t>
  </si>
  <si>
    <t>SIBSQ26030061</t>
  </si>
  <si>
    <t>6000006629 JB PLANT SBB</t>
  </si>
  <si>
    <t>SIBSQ26030060</t>
  </si>
  <si>
    <t>7000000491 JAR-37 MILL // REFF SC FORTUNA ANEKAMULTI</t>
  </si>
  <si>
    <t>SIBSQ26030059</t>
  </si>
  <si>
    <t>6000006630 OPS JMT</t>
  </si>
  <si>
    <t>SIBSQ26030058</t>
  </si>
  <si>
    <t>6100004148 // JG DD 30.04.2026</t>
  </si>
  <si>
    <t>SIBSQ26030057</t>
  </si>
  <si>
    <t>7000000472 ; JAR MILL (37)</t>
  </si>
  <si>
    <t>SIBSQ26030056</t>
  </si>
  <si>
    <t>6500002311 OPS STM</t>
  </si>
  <si>
    <t>SIBSQ26030055</t>
  </si>
  <si>
    <t>6100004186 JML</t>
  </si>
  <si>
    <t>SIBSQ26030054</t>
  </si>
  <si>
    <t>6100004188 JML</t>
  </si>
  <si>
    <t>SIBSQ26030053</t>
  </si>
  <si>
    <t>CV. ONO CRAFT</t>
  </si>
  <si>
    <t>SIBSQ26030052</t>
  </si>
  <si>
    <t>6000006558 DSP SEI 2 (BATU AMPAR)</t>
  </si>
  <si>
    <t>SIBSQ26030051</t>
  </si>
  <si>
    <t>PENAWARAN HARGA PERMINTAAN CV. ONO CRAFT</t>
  </si>
  <si>
    <t>SIBSQ26030050</t>
  </si>
  <si>
    <t>7000000470 ; JAR MILL (37)</t>
  </si>
  <si>
    <t>SIBSQ26030049</t>
  </si>
  <si>
    <t>PT. BANGUN KARYA PRATAMA LESTARI</t>
  </si>
  <si>
    <t>REQ BKPL</t>
  </si>
  <si>
    <t>SIBSQ26030048</t>
  </si>
  <si>
    <t>PT. TUNAS HUTAN MANDIRI</t>
  </si>
  <si>
    <t>5001219593 THM</t>
  </si>
  <si>
    <t>SIBSQ26030047</t>
  </si>
  <si>
    <t>6100004111 DSP SEI 2 (SERONGGA)</t>
  </si>
  <si>
    <t>SIBSQ26030046</t>
  </si>
  <si>
    <t>HPJ PR 3000057530 MS 070</t>
  </si>
  <si>
    <t>SIBSQ26030045</t>
  </si>
  <si>
    <t>SIBSQ26030044</t>
  </si>
  <si>
    <t>SIBSQ26030043</t>
  </si>
  <si>
    <t>015/DIR/PGUN-SBM/INT/III/2026 - URGENT PG</t>
  </si>
  <si>
    <t>SIBSQ26030042</t>
  </si>
  <si>
    <t>7000000501 ; JAR 1 (37)</t>
  </si>
  <si>
    <t>SIBSQ26030041</t>
  </si>
  <si>
    <t>REQ 6000006571 OPS JMT DD 30/04/2026</t>
  </si>
  <si>
    <t>SIBSQ26030040</t>
  </si>
  <si>
    <t>3000057662 THM</t>
  </si>
  <si>
    <t>SIBSQ26030039</t>
  </si>
  <si>
    <t>REQ E-24/RF/JL002/II-26 MV. J 002 JMT-STM</t>
  </si>
  <si>
    <t>SIBSQ26030038</t>
  </si>
  <si>
    <t>SIBSQ26030037</t>
  </si>
  <si>
    <t>6000006554 OPS JMT DD 30/04/26</t>
  </si>
  <si>
    <t>SIBSQ26020343</t>
  </si>
  <si>
    <t>SIBSQ26030036</t>
  </si>
  <si>
    <t>REVISI HARGA UNTUK PO 6100004148</t>
  </si>
  <si>
    <t>SIBSQ26030035</t>
  </si>
  <si>
    <t>6000006538 OPS JMT (DENDRA001) 30/04/2026</t>
  </si>
  <si>
    <t>SIBSQ26030034</t>
  </si>
  <si>
    <t>6600000231 FABR DD 05/05/2026</t>
  </si>
  <si>
    <t>SIBSQ26030033</t>
  </si>
  <si>
    <t>6100004166 // JG // DD  30.04.2026</t>
  </si>
  <si>
    <t>SIBSQ26030032</t>
  </si>
  <si>
    <t>6000006583 JB HSE SEI 2</t>
  </si>
  <si>
    <t>SIBSQ26030031</t>
  </si>
  <si>
    <t>6100004179 JB PLANT SBB</t>
  </si>
  <si>
    <t>SIBSQ26030030</t>
  </si>
  <si>
    <t>REQ JB GA SBB//IT DAN HT</t>
  </si>
  <si>
    <t>SIBSQ26030029</t>
  </si>
  <si>
    <t>6100004133 DSP SEI 2 BUNATI DD 30/04/26 FULL PAYMENT</t>
  </si>
  <si>
    <t>SIBSQ26030028</t>
  </si>
  <si>
    <t>7100000369 JAR-22</t>
  </si>
  <si>
    <t>SIBSQ26030027</t>
  </si>
  <si>
    <t>PAG- RFQ Tube Expander</t>
  </si>
  <si>
    <t>SIBSQ26030026</t>
  </si>
  <si>
    <t>6600000205 FABR JMT</t>
  </si>
  <si>
    <t>SIBSQ26030025</t>
  </si>
  <si>
    <t>6000006476 DSP SEI 2 (BATU AMPAR)</t>
  </si>
  <si>
    <t>SIBSQ26030024</t>
  </si>
  <si>
    <t>KEPERLUAN HANGGAR BARU</t>
  </si>
  <si>
    <t>SIBSQ26030023</t>
  </si>
  <si>
    <t>6000006445 DSP SEI 2</t>
  </si>
  <si>
    <t>SIBSQ26030022</t>
  </si>
  <si>
    <t>SIBSQ26030021</t>
  </si>
  <si>
    <t>6000006443 DSP SEI 2</t>
  </si>
  <si>
    <t>SIBSQ26030020</t>
  </si>
  <si>
    <t>6000006452 DSP SEI 2</t>
  </si>
  <si>
    <t>SIBSQ26020032</t>
  </si>
  <si>
    <t>SIBSQ26020016</t>
  </si>
  <si>
    <t>SIBSQ26030018</t>
  </si>
  <si>
    <t>6000006530 DSP BUNATI</t>
  </si>
  <si>
    <t>SIBSQ26030017</t>
  </si>
  <si>
    <t>SIBSQ26030016</t>
  </si>
  <si>
    <t>6000006462 DSP SEI 2 (BATU AMPAR)</t>
  </si>
  <si>
    <t>SIBSQ26030015</t>
  </si>
  <si>
    <t>PT. SARANA INTI PRADANA</t>
  </si>
  <si>
    <t>PENAWARAN HARGA LAPTOP ROG//PT. SARANA INTI PRADANA</t>
  </si>
  <si>
    <t>SIBSQ26030014</t>
  </si>
  <si>
    <t>6500002316 JB PLANT SEI 2 FULL PAYMENT</t>
  </si>
  <si>
    <t>SIBSQ26030013</t>
  </si>
  <si>
    <t>7000000481 KAM-2</t>
  </si>
  <si>
    <t>SIBSQ26030012</t>
  </si>
  <si>
    <t>SIBSQ26030011</t>
  </si>
  <si>
    <t>PENAWARAN HARGA MILL PG</t>
  </si>
  <si>
    <t>SQ-26010214</t>
  </si>
  <si>
    <t>REQ JB PLANT SEI 2//MATERIAL STH012</t>
  </si>
  <si>
    <t>SIBSQ26030010</t>
  </si>
  <si>
    <t>6000006414 JML</t>
  </si>
  <si>
    <t>SIBSQ26030009</t>
  </si>
  <si>
    <t>6100004113 JB PLANT SEI 2</t>
  </si>
  <si>
    <t>SIBSQ26030008</t>
  </si>
  <si>
    <t>PT.JHONLIN ENERGI KALIMANTAN</t>
  </si>
  <si>
    <t>SIBSQ26030007</t>
  </si>
  <si>
    <t>SPB 23170 // BBA</t>
  </si>
  <si>
    <t>SIBSQ26030006</t>
  </si>
  <si>
    <t>REQ PENAWARAN HSE JML</t>
  </si>
  <si>
    <t>SIBSQ26030005</t>
  </si>
  <si>
    <t>7000000458 JAR 37</t>
  </si>
  <si>
    <t>SIBSQ26030004</t>
  </si>
  <si>
    <t>RFQ.PT.JG_GARDEN (PESTISIDA)</t>
  </si>
  <si>
    <t>SIBSQ26030003</t>
  </si>
  <si>
    <t>6000006505 FABR JMT DD 28/04/26</t>
  </si>
  <si>
    <t>SIBSQ26030002</t>
  </si>
  <si>
    <t>PERMINTAAN PENAWARAN HARGA EAS-CWS</t>
  </si>
  <si>
    <t>SIBSQ26030001</t>
  </si>
  <si>
    <t>6000006190 JB PLANT SBB//GANTI MASTER</t>
  </si>
  <si>
    <t>SIBSQ26020275</t>
  </si>
  <si>
    <t>PT. JHONLIN AIR TRANSPORT</t>
  </si>
  <si>
    <t>REQ JAT HANGGAR LAMA</t>
  </si>
  <si>
    <t>SQ-26010208</t>
  </si>
  <si>
    <t>RFQ 003-250226 THM</t>
  </si>
  <si>
    <t>SIBSQ26020351</t>
  </si>
  <si>
    <t>P004109 - Date 2026-02-12 - Due Date 19-03-2026</t>
  </si>
  <si>
    <t>SIBSQ26020350</t>
  </si>
  <si>
    <t>P004118 - Date 2026-02-23 - Due Date 04-04-2026</t>
  </si>
  <si>
    <t>SIBSQ26020349</t>
  </si>
  <si>
    <t>P007315 - Date 2026-02-24 - Due Date 28-04-2026</t>
  </si>
  <si>
    <t>SIBSQ26020348</t>
  </si>
  <si>
    <t>P004110 - Date 2026-02-13 Due Date 25-03-2026</t>
  </si>
  <si>
    <t>SIBSQ26020347</t>
  </si>
  <si>
    <t>P004114 - Date 2026-02-18 - Due Date 2026-02-18</t>
  </si>
  <si>
    <t>SIBSQ26020346</t>
  </si>
  <si>
    <t>P004119 - Date 2026-02-24 - Due Date 05-04-2026</t>
  </si>
  <si>
    <t>SIBSQ26020345</t>
  </si>
  <si>
    <t>SQ BOKING</t>
  </si>
  <si>
    <t>SIBSQ26020344</t>
  </si>
  <si>
    <t>SIBSQ26020341</t>
  </si>
  <si>
    <t>6000005530 FABR (SUPPLY MENUMBAR-SAMARINDA)</t>
  </si>
  <si>
    <t>SIBSQ26020340</t>
  </si>
  <si>
    <t>6000006425 DSP SEI 2</t>
  </si>
  <si>
    <t>SIBSQ26020339</t>
  </si>
  <si>
    <t>6000006420 DSP BATU AMPAR</t>
  </si>
  <si>
    <t>SIBSQ26020338</t>
  </si>
  <si>
    <t>6000006422 DSP BUNATI</t>
  </si>
  <si>
    <t>SIBSQ26020337</t>
  </si>
  <si>
    <t>REQ JG PRIVAT PLAJAU</t>
  </si>
  <si>
    <t>SIBSQ26020336</t>
  </si>
  <si>
    <t>PERMINTAAN PENAWARAN HARGA JMT - SIBIMA</t>
  </si>
  <si>
    <t>SQ-26010150</t>
  </si>
  <si>
    <t>RFQ 004-250226 THM</t>
  </si>
  <si>
    <t>SIBSQ26020335</t>
  </si>
  <si>
    <t>PENAWARAN LANJUTAN REQ JEK</t>
  </si>
  <si>
    <t>SIBSQ26020334</t>
  </si>
  <si>
    <t>6500001998 OPS (PROSES PP PENAMBAHAN DARI PIHAK JMT)</t>
  </si>
  <si>
    <t>SIBSQ26020333</t>
  </si>
  <si>
    <t>P004116 - DATE 2026-02-19 - DUE DATE 31-03-2026 PAG</t>
  </si>
  <si>
    <t>SIBSQ26020332</t>
  </si>
  <si>
    <t>5001219561 JA</t>
  </si>
  <si>
    <t>SIBSQ26020331</t>
  </si>
  <si>
    <t>6100004040 DSP PP SEI 2</t>
  </si>
  <si>
    <t>SIBSQ26020330</t>
  </si>
  <si>
    <t>5001219556 JA</t>
  </si>
  <si>
    <t>SIBSQ26020329</t>
  </si>
  <si>
    <t>PERMINTAAN PENAWARAN HARGA JAR</t>
  </si>
  <si>
    <t>SIBSQ26020328</t>
  </si>
  <si>
    <t>6100004083 JB GA SEI 2</t>
  </si>
  <si>
    <t>SIBSQ26020327</t>
  </si>
  <si>
    <t>6100004046 DSP SEI 2 (MERAUKE) UREGNT FULL PAYMENT</t>
  </si>
  <si>
    <t>SIBSQ26020326</t>
  </si>
  <si>
    <t>6100004047 JML</t>
  </si>
  <si>
    <t>SIBSQ26020325</t>
  </si>
  <si>
    <t>BATERAI DAN CHARGER REQ JG</t>
  </si>
  <si>
    <t>SQ-26010354</t>
  </si>
  <si>
    <t>SIBSQ26020324</t>
  </si>
  <si>
    <t>SIBSQ26020322</t>
  </si>
  <si>
    <t>6100004032 DSP HEAD OFFICE (DREDGING) FULL PAYMENT</t>
  </si>
  <si>
    <t>SIBSQ26020321</t>
  </si>
  <si>
    <t>6800001340 JB PLANT SEI 2</t>
  </si>
  <si>
    <t>SIBSQ26020320</t>
  </si>
  <si>
    <t>6000006299 GA JML</t>
  </si>
  <si>
    <t>SIBSQ26020319</t>
  </si>
  <si>
    <t>FPB JG GUNUNG PULAU</t>
  </si>
  <si>
    <t>SIBSQ26020318</t>
  </si>
  <si>
    <t>6000006134 JMT-STM</t>
  </si>
  <si>
    <t>SIBSQ26020317</t>
  </si>
  <si>
    <t>6000006465 OPS JMT DD 27/04/26</t>
  </si>
  <si>
    <t>SIBSQ26020316</t>
  </si>
  <si>
    <t>6100004038 DSP PP SEI 2</t>
  </si>
  <si>
    <t>SIBSQ26020315</t>
  </si>
  <si>
    <t>RFQ PT.MSAM1 &gt;&gt; PPNK 001/PPNK/IT</t>
  </si>
  <si>
    <t>SIBSQ26020314</t>
  </si>
  <si>
    <t>6000006435 JB PLANT SEI 2</t>
  </si>
  <si>
    <t>SIBSQ26020313</t>
  </si>
  <si>
    <t>6000006392 DSP SEI 2 (GROGOT)</t>
  </si>
  <si>
    <t>SIBSQ26020312</t>
  </si>
  <si>
    <t>6000006458 OPS JMT DD 27/04/26</t>
  </si>
  <si>
    <t>SIBSQ26020311</t>
  </si>
  <si>
    <t>6500002306 OPS STM</t>
  </si>
  <si>
    <t>SIBSQ26020310</t>
  </si>
  <si>
    <t>7000000532 MSAM</t>
  </si>
  <si>
    <t>SIBSQ26020309</t>
  </si>
  <si>
    <t>RFQ PG PEMASANGAN INSTALASI LISTRIK</t>
  </si>
  <si>
    <t>SIBSQ26020308</t>
  </si>
  <si>
    <t>6000006395 DSP PP SEI 2</t>
  </si>
  <si>
    <t>SIBSQ26020307</t>
  </si>
  <si>
    <t>6800001371 JB INFRA SEI 2 (KEP. KM51)</t>
  </si>
  <si>
    <t>SIBSQ26020306</t>
  </si>
  <si>
    <t>6100004102 JB INFRA SEI 2 (KEP. KALTIM)</t>
  </si>
  <si>
    <t>SIBSQ26020305</t>
  </si>
  <si>
    <t>SIBSQ26020304</t>
  </si>
  <si>
    <t>6500002296 OPS STM</t>
  </si>
  <si>
    <t>SIBSQ26020303</t>
  </si>
  <si>
    <t>SIBSQ26020302</t>
  </si>
  <si>
    <t>6000006411 DSP SEI 2</t>
  </si>
  <si>
    <t>SIBSQ26020301</t>
  </si>
  <si>
    <t>REQ PENAWARAN HARGA FABR JMT</t>
  </si>
  <si>
    <t>SIBSQ26020300</t>
  </si>
  <si>
    <t>RFQ JML PERMINTAAN FLOATING CRANE JHONI 57</t>
  </si>
  <si>
    <t>SIBSQ26020299</t>
  </si>
  <si>
    <t>SIBSQ26020298</t>
  </si>
  <si>
    <t>6000006415 DSP GROGOT</t>
  </si>
  <si>
    <t>SIBSQ26020297</t>
  </si>
  <si>
    <t>6000006412 DSP FIXED PLANT</t>
  </si>
  <si>
    <t>SIBSQ26020295</t>
  </si>
  <si>
    <t>SIBSQ26020294</t>
  </si>
  <si>
    <t>7000000460 KAM-1</t>
  </si>
  <si>
    <t>SIBSQ26020293</t>
  </si>
  <si>
    <t>SIBSQ26020292</t>
  </si>
  <si>
    <t>6000005486 FABR DD 27/02/26</t>
  </si>
  <si>
    <t>SIBSQ26020291</t>
  </si>
  <si>
    <t>KEPERLUAN LAPANGAN GOLF REQ</t>
  </si>
  <si>
    <t>SIBSQ26020290</t>
  </si>
  <si>
    <t>6000005476 FABR JMT 26/02/26</t>
  </si>
  <si>
    <t>SIBSQ26020289</t>
  </si>
  <si>
    <t>6600000199 FABR JMT</t>
  </si>
  <si>
    <t>SIBSQ26020288</t>
  </si>
  <si>
    <t>6000006490 JB PLANT SEI 2</t>
  </si>
  <si>
    <t>SIBSQ26020287</t>
  </si>
  <si>
    <t>SIBSQ26020286</t>
  </si>
  <si>
    <t>6000005986 SHE JMT</t>
  </si>
  <si>
    <t>SIBSQ26020285</t>
  </si>
  <si>
    <t>6500002265 JB PLANT SEI 2</t>
  </si>
  <si>
    <t>SIBSQ26020284</t>
  </si>
  <si>
    <t>REQ JB PLANT SEI 2//CAT LANTAI</t>
  </si>
  <si>
    <t>SIBSQ26020282</t>
  </si>
  <si>
    <t>REQ JB FREON UPDATE</t>
  </si>
  <si>
    <t>SIBSQ26020281</t>
  </si>
  <si>
    <t>6000006388 JB PLANT SEI 2</t>
  </si>
  <si>
    <t>SIBSQ26020280</t>
  </si>
  <si>
    <t>RFQ. PT.JG_GARDEN (TOOLS)</t>
  </si>
  <si>
    <t>SIBSQ26020279</t>
  </si>
  <si>
    <t>REQ OPS JMT</t>
  </si>
  <si>
    <t>SIBSQ26020278</t>
  </si>
  <si>
    <t>6100004041 JB GA SEI 2</t>
  </si>
  <si>
    <t>SIBSQ26020277</t>
  </si>
  <si>
    <t>SIBSQ26020276</t>
  </si>
  <si>
    <t>REQ MS JMT</t>
  </si>
  <si>
    <t>SIBSQ26020274</t>
  </si>
  <si>
    <t>6100004030 JML</t>
  </si>
  <si>
    <t>SIBSQ26020273</t>
  </si>
  <si>
    <t>6100004039 MS DD 22/04/26</t>
  </si>
  <si>
    <t>SIBSQ26020272</t>
  </si>
  <si>
    <t>REQ SHE JMT</t>
  </si>
  <si>
    <t>SIBSQ26020271</t>
  </si>
  <si>
    <t>SIBSQ26020270</t>
  </si>
  <si>
    <t>KEBUTUHAN LAPANGAN GOLF</t>
  </si>
  <si>
    <t>SIBSQ26020269</t>
  </si>
  <si>
    <t>PENAWARAN HARGA SEPATU SAFETY REQ JEK</t>
  </si>
  <si>
    <t>SIBSQ26020268</t>
  </si>
  <si>
    <t>6000006278 DSP BUNATI</t>
  </si>
  <si>
    <t>SIBSQ26020267</t>
  </si>
  <si>
    <t>6100004418 JB ENG TJG</t>
  </si>
  <si>
    <t>SIBSQ26020266</t>
  </si>
  <si>
    <t>6100004231 JB PLANT SEI 2</t>
  </si>
  <si>
    <t>SIBSQ26020265</t>
  </si>
  <si>
    <t>RFQ 003-130226 JA</t>
  </si>
  <si>
    <t>SIBSQ26020264</t>
  </si>
  <si>
    <t>6000006486 DSP FIXED PLANT (TOP URGENT)</t>
  </si>
  <si>
    <t>SIBSQ26020263</t>
  </si>
  <si>
    <t>6000006268 JB PLANT SEI 2</t>
  </si>
  <si>
    <t>SIBSQ26020262</t>
  </si>
  <si>
    <t>PENAWARAN HARGA KAM</t>
  </si>
  <si>
    <t>SIBSQ26020261</t>
  </si>
  <si>
    <t>6000006255 JB PLANT SEI 2</t>
  </si>
  <si>
    <t>SIBSQ26020260</t>
  </si>
  <si>
    <t>6000006275 DSP GROGOT</t>
  </si>
  <si>
    <t>SIBSQ26020259</t>
  </si>
  <si>
    <t>6000006274 DSP SEI 2</t>
  </si>
  <si>
    <t>SIBSQ26020258</t>
  </si>
  <si>
    <t>6000006253 DSP POWER PLANT KODECO</t>
  </si>
  <si>
    <t>SIBSQ26020257</t>
  </si>
  <si>
    <t>6000006262 DSP POWER PLANT SEI 2</t>
  </si>
  <si>
    <t>SIBSQ26020256</t>
  </si>
  <si>
    <t>6000006261 JB PLANT SEI 2</t>
  </si>
  <si>
    <t>SIBSQ26020255</t>
  </si>
  <si>
    <t>6000006267 JB PLANT MDL</t>
  </si>
  <si>
    <t>SIBSQ26020254</t>
  </si>
  <si>
    <t>6000006260 JB PLANT SEI 2</t>
  </si>
  <si>
    <t>SIBSQ26020253</t>
  </si>
  <si>
    <t>P004112 - Date. 2026-02-16 - Due Date  23-03-2026</t>
  </si>
  <si>
    <t>SIBSQ26020252</t>
  </si>
  <si>
    <t>RB_XXVI-00.02 // RUMAH BANJAR</t>
  </si>
  <si>
    <t>SIBSQ26020251</t>
  </si>
  <si>
    <t>6100004023 JML</t>
  </si>
  <si>
    <t>SIBSQ26020250</t>
  </si>
  <si>
    <t>6100004024 JML</t>
  </si>
  <si>
    <t>SIBSQ26020249</t>
  </si>
  <si>
    <t>SIBSQ26020352</t>
  </si>
  <si>
    <t>7100000374 MSAM // FULL PAYMENT</t>
  </si>
  <si>
    <t>SIBSQ26020248</t>
  </si>
  <si>
    <t>REQ PENAWARAN KEBUTUHAN JML</t>
  </si>
  <si>
    <t>SIBSQ26020247</t>
  </si>
  <si>
    <t>REQ RFQ JML</t>
  </si>
  <si>
    <t>SIBSQ26020246</t>
  </si>
  <si>
    <t>RFQ MILL PT.MSAM2 &gt;&gt; 002/MSAM/LTRM</t>
  </si>
  <si>
    <t>SIBSQ26020245</t>
  </si>
  <si>
    <t>SIBSQ26020244</t>
  </si>
  <si>
    <t>REQ JB GA SBB//MATERIAL CIVIL</t>
  </si>
  <si>
    <t>SIBSQ26020243</t>
  </si>
  <si>
    <t>RFQ MILL PT.MSAM1 &gt;&gt; PPNK 0021/MSAM/SMRM</t>
  </si>
  <si>
    <t>SIBSQ26020242</t>
  </si>
  <si>
    <t>SIBSQ26020241</t>
  </si>
  <si>
    <t>6100004011 JB GA SEI 2</t>
  </si>
  <si>
    <t>SIBSQ26020240</t>
  </si>
  <si>
    <t>SIBSQ26020239</t>
  </si>
  <si>
    <t>SIBSQ26020238</t>
  </si>
  <si>
    <t>6100004010 JB ENG SEI 2</t>
  </si>
  <si>
    <t>SIBSQ26020237</t>
  </si>
  <si>
    <t>REQ D-15/HI 03/I-26 JMT-STM</t>
  </si>
  <si>
    <t>2/10 n/30</t>
  </si>
  <si>
    <t>SIBSQ26020236</t>
  </si>
  <si>
    <t>SIBSQ26020235</t>
  </si>
  <si>
    <t>REQ D-11/HI 03/I-26 JMT-STM</t>
  </si>
  <si>
    <t>SIBSQ26020234</t>
  </si>
  <si>
    <t>SIBSQ26020233</t>
  </si>
  <si>
    <t>SIBSQ26020232</t>
  </si>
  <si>
    <t>6100003451 DSP SEI 2 (BATU AMPAR)</t>
  </si>
  <si>
    <t>SIBSQ26020231</t>
  </si>
  <si>
    <t>REQ  KEBUTUHAN LOGISTIK JML PP MARET 2026</t>
  </si>
  <si>
    <t>SIBSQ26020230</t>
  </si>
  <si>
    <t>SIBSQ26020229</t>
  </si>
  <si>
    <t>SIBSQ26020228</t>
  </si>
  <si>
    <t>RB_XXVI-00.04 // JG</t>
  </si>
  <si>
    <t>SIBSQ26020227</t>
  </si>
  <si>
    <t>6100003923 DSP SEI 2 (BATU AMPAR)</t>
  </si>
  <si>
    <t>SIBSQ26020226</t>
  </si>
  <si>
    <t>REQ PP FEBRUARI SHE JMT</t>
  </si>
  <si>
    <t>SIBSQ26020225</t>
  </si>
  <si>
    <t>SIBSQ26020224</t>
  </si>
  <si>
    <t>REQ PT.DSP</t>
  </si>
  <si>
    <t>SIBSQ26020223</t>
  </si>
  <si>
    <t>SIBSQ26020222</t>
  </si>
  <si>
    <t>6000005864 JML</t>
  </si>
  <si>
    <t>SIBSQ26020221</t>
  </si>
  <si>
    <t>6100004043 JB GA TJG URGENT//SUPPLY TJG</t>
  </si>
  <si>
    <t>SIBSQ26020220</t>
  </si>
  <si>
    <t>SIBSQ26020219</t>
  </si>
  <si>
    <t>6000006190 JB PLANT SBB</t>
  </si>
  <si>
    <t>SIBSQ26020218</t>
  </si>
  <si>
    <t>PERMINTAAN HARGA IT EAS</t>
  </si>
  <si>
    <t>SIBSQ26020217</t>
  </si>
  <si>
    <t>SIBSQ26020216</t>
  </si>
  <si>
    <t>SIBSQ26020215</t>
  </si>
  <si>
    <t>SIBSQ26020214</t>
  </si>
  <si>
    <t>6800001335 JB-JG</t>
  </si>
  <si>
    <t>SIBSQ26020213</t>
  </si>
  <si>
    <t>KEBUTUHAN LOGISTIK JML PP MARET 2026</t>
  </si>
  <si>
    <t>SIBSQ26020212</t>
  </si>
  <si>
    <t>6000006210 JB PLANT SEI 2</t>
  </si>
  <si>
    <t>SIBSQ26020211</t>
  </si>
  <si>
    <t>REQ PPENAWARAN JHONI 57 JML</t>
  </si>
  <si>
    <t>SIBSQ26020210</t>
  </si>
  <si>
    <t>6000006245 JB PLANT TJG</t>
  </si>
  <si>
    <t>SIBSQ26020209</t>
  </si>
  <si>
    <t>6000006189 JB PLANT SEI 2</t>
  </si>
  <si>
    <t>SIBSQ26020208</t>
  </si>
  <si>
    <t>LAPTOP ASUS VIVOBOOK 14 REQ BBA SITE BOMBANA</t>
  </si>
  <si>
    <t>SIBSQ26020207</t>
  </si>
  <si>
    <t>SIBSQ26020206</t>
  </si>
  <si>
    <t>REQ DSP LIST ELEKTRIK</t>
  </si>
  <si>
    <t>SIBSQ26020205</t>
  </si>
  <si>
    <t>SIBSQ26020204</t>
  </si>
  <si>
    <t>6000006242 STM</t>
  </si>
  <si>
    <t>SIBSQ26020203</t>
  </si>
  <si>
    <t>SIBSQ26020202</t>
  </si>
  <si>
    <t>SIBSQ26020201</t>
  </si>
  <si>
    <t>6500002161 STM</t>
  </si>
  <si>
    <t>SIBSQ26020200</t>
  </si>
  <si>
    <t>6800001394 JB-JG</t>
  </si>
  <si>
    <t>SIBSQ26020199</t>
  </si>
  <si>
    <t>REQ JG LAB</t>
  </si>
  <si>
    <t>SIBSQ26020198</t>
  </si>
  <si>
    <t>REQ JB GA SEI SBB//TRAFFIC LIGHT</t>
  </si>
  <si>
    <t>SIBSQ26020197</t>
  </si>
  <si>
    <t>SIBSQ26020196</t>
  </si>
  <si>
    <t>6000005778 JML</t>
  </si>
  <si>
    <t>SIBSQ26020195</t>
  </si>
  <si>
    <t>REQ PENAWARAN JEK</t>
  </si>
  <si>
    <t>SIBSQ26020194</t>
  </si>
  <si>
    <t>E-31/SOF/JHONLIN 001/II-26 JMT-STM</t>
  </si>
  <si>
    <t>SIBSQ26020193</t>
  </si>
  <si>
    <t>6000006135 JB PLANT SBB</t>
  </si>
  <si>
    <t>SIBSQ26020192</t>
  </si>
  <si>
    <t>6000006092 JB PLANT SBB</t>
  </si>
  <si>
    <t>SIBSQ26020191</t>
  </si>
  <si>
    <t>6100003922 MS JMT DD 14/04/26</t>
  </si>
  <si>
    <t>SIBSQ26020190</t>
  </si>
  <si>
    <t>6000006036 DSP BUNATI</t>
  </si>
  <si>
    <t>SIBSQ26020189</t>
  </si>
  <si>
    <t>P00084 JEK</t>
  </si>
  <si>
    <t>SIBSQ26020188</t>
  </si>
  <si>
    <t>60000006035 DSP GROGOT</t>
  </si>
  <si>
    <t>SIBSQ26020187</t>
  </si>
  <si>
    <t>5001219463 JA</t>
  </si>
  <si>
    <t>SIBSQ26020186</t>
  </si>
  <si>
    <t>6000006111 JML</t>
  </si>
  <si>
    <t>SIBSQ26020185</t>
  </si>
  <si>
    <t>6000006113 JML</t>
  </si>
  <si>
    <t>SIBSQ26020184</t>
  </si>
  <si>
    <t>6100003942 OPS JMT DD 16/04/2026 (PLUS SERTIFIKAT DAN KALIBRASI)</t>
  </si>
  <si>
    <t>SIBSQ26020098</t>
  </si>
  <si>
    <t>REQ JB GA SBB//MATERIAL LISTRIK</t>
  </si>
  <si>
    <t>SIBSQ26020183</t>
  </si>
  <si>
    <t>SIBSQ26020182</t>
  </si>
  <si>
    <t>SIBSQ26020181</t>
  </si>
  <si>
    <t>RB_XXVI-00.01 // RUMAH BANJAR // JG</t>
  </si>
  <si>
    <t>SIBSQ26020180</t>
  </si>
  <si>
    <t>REQ JB GA SEI 2//ELEKTRIKAL</t>
  </si>
  <si>
    <t>SIBSQ26020179</t>
  </si>
  <si>
    <t>SPB 01096 // BBA KALTIM</t>
  </si>
  <si>
    <t>SIBSQ26020178</t>
  </si>
  <si>
    <t>RFQ PT.MSAM1_030/MSAM/WS-MSAM</t>
  </si>
  <si>
    <t>SIBSQ26020177</t>
  </si>
  <si>
    <t>SPB 01104 // BBA KALTIM</t>
  </si>
  <si>
    <t>SIBSQ26020176</t>
  </si>
  <si>
    <t>REQ PAG</t>
  </si>
  <si>
    <t>SIBSQ26020175</t>
  </si>
  <si>
    <t>PAG-RFQ UPS &amp; AC LEB</t>
  </si>
  <si>
    <t>SIBSQ26020174</t>
  </si>
  <si>
    <t>SIBSQ26020173</t>
  </si>
  <si>
    <t>6800001321 JB INFRA SEI 2 (KEP. KM51)</t>
  </si>
  <si>
    <t>SIBSQ26020045</t>
  </si>
  <si>
    <t>PERMINTAAN PENAWARAN HARGA KAM-1</t>
  </si>
  <si>
    <t>SIBSQ26020172</t>
  </si>
  <si>
    <t>SIBSQ26020171</t>
  </si>
  <si>
    <t>6100003873 DSP BATU AMPAR</t>
  </si>
  <si>
    <t>SIBSQ26020170</t>
  </si>
  <si>
    <t>SIBSQ26020169</t>
  </si>
  <si>
    <t>SIBSQ26020168</t>
  </si>
  <si>
    <t>SIBSQ26020167</t>
  </si>
  <si>
    <t>SIBSQ26020166</t>
  </si>
  <si>
    <t>REQ JG JSS</t>
  </si>
  <si>
    <t>SIBSQ26020165</t>
  </si>
  <si>
    <t>5001219458 JA</t>
  </si>
  <si>
    <t>SIBSQ26020164</t>
  </si>
  <si>
    <t>Need Approve</t>
  </si>
  <si>
    <t>REQ JB SEI 2 TOOLS</t>
  </si>
  <si>
    <t>SIBSQ26020163</t>
  </si>
  <si>
    <t>REQ RFQ PP-JMT-0001-II-2026 - MV JHONLIN 002</t>
  </si>
  <si>
    <t>SIBSQ26020162</t>
  </si>
  <si>
    <t>REQ RFQ PT.JHONLIN MARINE LINES PERMINTAAN BALOK KAYU ULIN JHONI 57</t>
  </si>
  <si>
    <t>SIBSQ26020161</t>
  </si>
  <si>
    <t>6800001348 JB-JG</t>
  </si>
  <si>
    <t>SIBSQ26020159</t>
  </si>
  <si>
    <t>REQ BBA TUAL // SPB 00252 // TAMBAHAN</t>
  </si>
  <si>
    <t>SIBSQ26020158</t>
  </si>
  <si>
    <t>REQ RFQ EAB OPS PLANNING FEB 2025 - SUPPLY BATAM</t>
  </si>
  <si>
    <t>SIBSQ26020043</t>
  </si>
  <si>
    <t>PERMINTAAN LOGISTIK EAS</t>
  </si>
  <si>
    <t>SIBSQ26020156</t>
  </si>
  <si>
    <t>REQ JB PERUM. KM 54</t>
  </si>
  <si>
    <t>SIBSQ26020155</t>
  </si>
  <si>
    <t>PENAWARAN HARGA PT. JGAT JAYA SENTOSA</t>
  </si>
  <si>
    <t>SIBSQ26020154</t>
  </si>
  <si>
    <t>REQ RFQ PP-STM-0009-II-2026</t>
  </si>
  <si>
    <t>SIBSQ26020153</t>
  </si>
  <si>
    <t>PENAWRAN HARGA PT. JAGAT JAYA SENTOSA//SIBSQ26020153</t>
  </si>
  <si>
    <t>SIBSQ26020152</t>
  </si>
  <si>
    <t>6500001947 JMTLV 001</t>
  </si>
  <si>
    <t>SIBSQ26020151</t>
  </si>
  <si>
    <t>REQ PENAWARAN JMT (PAK ADIATMA)</t>
  </si>
  <si>
    <t>SIBSQ26020150</t>
  </si>
  <si>
    <t>REQ E-31/SOF/JHONLIN 001/II-26 JMT-STM</t>
  </si>
  <si>
    <t>SIBSQ26020149</t>
  </si>
  <si>
    <t>PENAWRAN HARGA LAPTOP</t>
  </si>
  <si>
    <t>SIBSQ26020148</t>
  </si>
  <si>
    <t>REQ JB PLANT SEI 2//UNIT D5K</t>
  </si>
  <si>
    <t>SIBSQ26020147</t>
  </si>
  <si>
    <t>REQ JB INFRA TOOLS</t>
  </si>
  <si>
    <t>SIBSQ26020141</t>
  </si>
  <si>
    <t>6800001283 JB PLANT TJG||WATER PUMP</t>
  </si>
  <si>
    <t>SIBSQ26020146</t>
  </si>
  <si>
    <t>6000006050 JB PLANT SBB</t>
  </si>
  <si>
    <t>SIBSQ26020145</t>
  </si>
  <si>
    <t>SIBSQ26020144</t>
  </si>
  <si>
    <t>REQ JB GA SEI 2//MATERIAL</t>
  </si>
  <si>
    <t>SIBSQ26020143</t>
  </si>
  <si>
    <t>REQ DSP PAK DAUS</t>
  </si>
  <si>
    <t>SIBSQ26020142</t>
  </si>
  <si>
    <t>SIBSQ26020140</t>
  </si>
  <si>
    <t>CV  DE HARMONY  TOWN HOUSE</t>
  </si>
  <si>
    <t>PENAWARAN HARGA UNIT AC HARMONY TOWN HOUSE</t>
  </si>
  <si>
    <t>SIBSQ26020139</t>
  </si>
  <si>
    <t>6100003926 DSP SEI 2 (SERONGGA)</t>
  </si>
  <si>
    <t>SIBSQ26020138</t>
  </si>
  <si>
    <t>SIBSQ26020137</t>
  </si>
  <si>
    <t>6000006061 JB HSE TJG</t>
  </si>
  <si>
    <t>SIBSQ26020136</t>
  </si>
  <si>
    <t>REQ DSP PAK CHIKO</t>
  </si>
  <si>
    <t>SIBSQ26020135</t>
  </si>
  <si>
    <t>REQ Deck D-01/HI 03/I-26 STM</t>
  </si>
  <si>
    <t>SIBSQ26020134</t>
  </si>
  <si>
    <t>5001219448 JA</t>
  </si>
  <si>
    <t>SIBSQ26020133</t>
  </si>
  <si>
    <t>6100003877 JB HSE SBB</t>
  </si>
  <si>
    <t>SIBSQ26020132</t>
  </si>
  <si>
    <t>6000006037 JB HSE SBB</t>
  </si>
  <si>
    <t>SIBSQ26020131</t>
  </si>
  <si>
    <t>REQ DSP PAK DEBIN</t>
  </si>
  <si>
    <t>SIBSQ26020130</t>
  </si>
  <si>
    <t>RFQ MILL PT.MSAM2 &gt;&gt; 005/MSAM/SBTE</t>
  </si>
  <si>
    <t>SIBSQ26020129</t>
  </si>
  <si>
    <t>SIBSQ-26010230</t>
  </si>
  <si>
    <t>PENAWARAN HARGA PART AC TRUCK</t>
  </si>
  <si>
    <t>PEMBAYARAN INVOICE 14 HARI</t>
  </si>
  <si>
    <t>SQ-26010246</t>
  </si>
  <si>
    <t>6800001411 JB HSE TJG</t>
  </si>
  <si>
    <t>SQ-25120025</t>
  </si>
  <si>
    <t>REQ JAT/ LAPTOP LENOVO</t>
  </si>
  <si>
    <t>SIBSQ26020128</t>
  </si>
  <si>
    <t>REQ DBA KTT</t>
  </si>
  <si>
    <t>SIBSQ26020127</t>
  </si>
  <si>
    <t>REQ CONSUMABLE JAR</t>
  </si>
  <si>
    <t>SIBSQ26020126</t>
  </si>
  <si>
    <t>REQ JB GA SEI 2||TOOLS</t>
  </si>
  <si>
    <t>SIBSQ26020125</t>
  </si>
  <si>
    <t>5001219442 JA</t>
  </si>
  <si>
    <t>SIBSQ26020124</t>
  </si>
  <si>
    <t>REQ JB GA SEI 2||ELEC</t>
  </si>
  <si>
    <t>SIBSQ26020123</t>
  </si>
  <si>
    <t>PENAWARAN HARGA KAM-1</t>
  </si>
  <si>
    <t>SIBSQ26020122</t>
  </si>
  <si>
    <t>SIBSQ26020121</t>
  </si>
  <si>
    <t>6100003718 OPS JMT</t>
  </si>
  <si>
    <t>SIBSQ26020119</t>
  </si>
  <si>
    <t>6000006031 DSP SERONGGA</t>
  </si>
  <si>
    <t>SIBSQ26020118</t>
  </si>
  <si>
    <t>6100003486 DSP BUNATI</t>
  </si>
  <si>
    <t>SIBSQ26020117</t>
  </si>
  <si>
    <t>P00030 DBA LAPTOP</t>
  </si>
  <si>
    <t>SIBSQ26020116</t>
  </si>
  <si>
    <t>SIBSQ26020115</t>
  </si>
  <si>
    <t>6000006028 OPS JMT DD 08/04/26</t>
  </si>
  <si>
    <t>SIBSQ26020114</t>
  </si>
  <si>
    <t>DISC CLUTCH REQ BBA TUAL</t>
  </si>
  <si>
    <t>SIBSQ26020112</t>
  </si>
  <si>
    <t>5001219457 JA</t>
  </si>
  <si>
    <t>SIBSQ26020110</t>
  </si>
  <si>
    <t>6000006008 JB HSE SEI 2</t>
  </si>
  <si>
    <t>SIBSQ26020109</t>
  </si>
  <si>
    <t>5001219441 JA</t>
  </si>
  <si>
    <t>SIBSQ26020108</t>
  </si>
  <si>
    <t>SIBSQ26020107</t>
  </si>
  <si>
    <t>RFQ 004-020126 JA</t>
  </si>
  <si>
    <t>SIBSQ26020106</t>
  </si>
  <si>
    <t>RFQ PT.MSAM1_030/MSAM/WS-MSAM1</t>
  </si>
  <si>
    <t>SIBSQ26020105</t>
  </si>
  <si>
    <t>RFQ CHEMICAL LAB 3</t>
  </si>
  <si>
    <t>SIBSQ26020104</t>
  </si>
  <si>
    <t>RFQ CHEMICAL LAB 2</t>
  </si>
  <si>
    <t>SIBSQ26020103</t>
  </si>
  <si>
    <t>RFQ CHEMICAL PAG 1</t>
  </si>
  <si>
    <t>SIBSQ26020102</t>
  </si>
  <si>
    <t>RFQ PT.MSAM1_007/MSAM/GSME</t>
  </si>
  <si>
    <t>SIBSQ26020101</t>
  </si>
  <si>
    <t>6500002129 JMT-STM (MV J-002)</t>
  </si>
  <si>
    <t>SIBSQ26020100</t>
  </si>
  <si>
    <t>6000005712 JB PLANT SBB//REVISI BOHLER APPROVED USER</t>
  </si>
  <si>
    <t>SIBSQ26020099</t>
  </si>
  <si>
    <t>REQ 6500002039 JMT-STM</t>
  </si>
  <si>
    <t>SIBSQ26020097</t>
  </si>
  <si>
    <t>REQ JAR KEBUN</t>
  </si>
  <si>
    <t>SIBSQ26020096</t>
  </si>
  <si>
    <t>KEBUTUHAN JAR BIO</t>
  </si>
  <si>
    <t>SIBSQ26020095</t>
  </si>
  <si>
    <t>RFQ 002-050126 THM</t>
  </si>
  <si>
    <t>SIBSQ26020094</t>
  </si>
  <si>
    <t>REQ HSE DSP</t>
  </si>
  <si>
    <t>SIBSQ26020093</t>
  </si>
  <si>
    <t>SIBSQ26020090</t>
  </si>
  <si>
    <t>SIBSQ26020089</t>
  </si>
  <si>
    <t>SIBSQ26020088</t>
  </si>
  <si>
    <t>REQ JG</t>
  </si>
  <si>
    <t>SIBSQ26020087</t>
  </si>
  <si>
    <t>REQ JBM</t>
  </si>
  <si>
    <t>SIBSQ26020086</t>
  </si>
  <si>
    <t>SIBSQ26020085</t>
  </si>
  <si>
    <t>REQ DSP ( PAK OZAN )</t>
  </si>
  <si>
    <t>SIBSQ26020083</t>
  </si>
  <si>
    <t>REQ DSP FP ( PAK OZAN )</t>
  </si>
  <si>
    <t>SIBSQ26020082</t>
  </si>
  <si>
    <t>SIBSQ26020081</t>
  </si>
  <si>
    <t>SIBSQ26020080</t>
  </si>
  <si>
    <t>REQ PT DSP PAK CHIKO</t>
  </si>
  <si>
    <t>SIBSQ26020079</t>
  </si>
  <si>
    <t>REQ BBA STOK BARANG AKTIF</t>
  </si>
  <si>
    <t>SIBSQ26020078</t>
  </si>
  <si>
    <t>SIBSQ26020077</t>
  </si>
  <si>
    <t>REQ PT.DSP ELECTRICAL</t>
  </si>
  <si>
    <t>SIBSQ26020075</t>
  </si>
  <si>
    <t>SIBSQ26020074</t>
  </si>
  <si>
    <t>SIBSQ26020073</t>
  </si>
  <si>
    <t>SIBSQ26020072</t>
  </si>
  <si>
    <t>P00483 PP-EAB-0001-I-2026 - ENERGI ARMADA SUPPLY BATAM</t>
  </si>
  <si>
    <t>SIBSQ26020071</t>
  </si>
  <si>
    <t>6100003831 DSP BUNATI</t>
  </si>
  <si>
    <t>SIBSQ26020070</t>
  </si>
  <si>
    <t>RFQ PP-JMT-0007-I-2026 - MV J-001</t>
  </si>
  <si>
    <t>SIBSQ26020069</t>
  </si>
  <si>
    <t>6000006030 DSP BATU AMPAR</t>
  </si>
  <si>
    <t>SIBSQ26020068</t>
  </si>
  <si>
    <t>7000000386 MSAM</t>
  </si>
  <si>
    <t>SIBSQ26020067</t>
  </si>
  <si>
    <t>6000005986 SHE JMT DD 06/04/26</t>
  </si>
  <si>
    <t>SIBSQ26020066</t>
  </si>
  <si>
    <t>6000005954 SHE JMT DD 05/04/26</t>
  </si>
  <si>
    <t>SIBSQ26020065</t>
  </si>
  <si>
    <t>6000005985 JB PLANT SEI 2</t>
  </si>
  <si>
    <t>SIBSQ26020064</t>
  </si>
  <si>
    <t>6000005964 JB PLANT SBB</t>
  </si>
  <si>
    <t>SIBSQ26020063</t>
  </si>
  <si>
    <t>PERMINTAAN PUBLICATION ONBOARD STM</t>
  </si>
  <si>
    <t>SIBSQ26020062</t>
  </si>
  <si>
    <t>REQ JG LAB//ITEM REGISTER READY STOCK</t>
  </si>
  <si>
    <t>SIBSQ26020061</t>
  </si>
  <si>
    <t>RFQ JMT OPS PLANNING JAN 2026 - SPOB JHONI XLVII</t>
  </si>
  <si>
    <t>SIBSQ26020060</t>
  </si>
  <si>
    <t>REQ ONO CRAFT</t>
  </si>
  <si>
    <t>SIBSQ26020059</t>
  </si>
  <si>
    <t>6000005493 JMT-STM</t>
  </si>
  <si>
    <t>SIBSQ26020058</t>
  </si>
  <si>
    <t>REQ JB SEI 2||TOOLS SERIVCE</t>
  </si>
  <si>
    <t>SIBSQ26020056</t>
  </si>
  <si>
    <t>SPB 23216 // REQ BBA</t>
  </si>
  <si>
    <t>SIBSQ26020055</t>
  </si>
  <si>
    <t>6500002151 JB PLANT TJG</t>
  </si>
  <si>
    <t>SIBSQ26020054</t>
  </si>
  <si>
    <t>SIBSQ26020053</t>
  </si>
  <si>
    <t>REQ FC JHONI 57 JML</t>
  </si>
  <si>
    <t>SIBSQ26020052</t>
  </si>
  <si>
    <t>BARAMEGA CITRA MULIA PERSADA</t>
  </si>
  <si>
    <t>Request BCMP</t>
  </si>
  <si>
    <t>SIBSQ26020051</t>
  </si>
  <si>
    <t>REQ JB PLANT SEI 2 SIRINE &amp; TOA</t>
  </si>
  <si>
    <t>SIBSQ26020050</t>
  </si>
  <si>
    <t>SPB 23215 // REQ BBA</t>
  </si>
  <si>
    <t>SIBSQ26020048</t>
  </si>
  <si>
    <t>SIBSQ26020047</t>
  </si>
  <si>
    <t>LEM CONVEYOR REQ BBA</t>
  </si>
  <si>
    <t>SIBSQ26020046</t>
  </si>
  <si>
    <t>KEBUTUHAN ELECTRICAL JG</t>
  </si>
  <si>
    <t>SIBSQ26020044</t>
  </si>
  <si>
    <t>2026-GS-II-003 // CIVIL JG</t>
  </si>
  <si>
    <t>SIBSQ26020042</t>
  </si>
  <si>
    <t>6500002039 JMT-STM</t>
  </si>
  <si>
    <t>SIBSQ26020041</t>
  </si>
  <si>
    <t>REQ APD JAR</t>
  </si>
  <si>
    <t>SIBSQ26020040</t>
  </si>
  <si>
    <t>SIBSQ26020039</t>
  </si>
  <si>
    <t>REQ JBM BOMBANA</t>
  </si>
  <si>
    <t>SIBSQ26020038</t>
  </si>
  <si>
    <t>P007740 // REQ BBA // DD 30-03-2026</t>
  </si>
  <si>
    <t>SIBSQ26020037</t>
  </si>
  <si>
    <t>P007741 // URGENT BBA // FULL PAYMENT</t>
  </si>
  <si>
    <t>SIBSQ26020036</t>
  </si>
  <si>
    <t>REQ DSP PAK OZAN</t>
  </si>
  <si>
    <t>SIBSQ26020035</t>
  </si>
  <si>
    <t>SIBSQ26020034</t>
  </si>
  <si>
    <t>SIBSQ26020033</t>
  </si>
  <si>
    <t>REQ DSP PAK CHIKO KEP. DREDGING</t>
  </si>
  <si>
    <t>SIBSQ26020031</t>
  </si>
  <si>
    <t>BARANG SUDAH DIAMBIL // OCPO.26020012</t>
  </si>
  <si>
    <t>SIBSQ26020030</t>
  </si>
  <si>
    <t>6000007144 JB HSE SBB</t>
  </si>
  <si>
    <t>SIBSQ26020029</t>
  </si>
  <si>
    <t>6500002022 JMT-STM</t>
  </si>
  <si>
    <t>SIBSQ26020028</t>
  </si>
  <si>
    <t>PLASTIK MARKING SIR20 JAM</t>
  </si>
  <si>
    <t>SIBSQ26020027</t>
  </si>
  <si>
    <t>REQ JAR BIO</t>
  </si>
  <si>
    <t>SIBSQ26020026</t>
  </si>
  <si>
    <t>SIBSQ26020022</t>
  </si>
  <si>
    <t>REQ DSP WANAM (PAK ALI)</t>
  </si>
  <si>
    <t>SIBSQ26020021</t>
  </si>
  <si>
    <t>SIBSQ26020020</t>
  </si>
  <si>
    <t>REQ ALAT IT JAR MILL</t>
  </si>
  <si>
    <t>SIBSQ26020017</t>
  </si>
  <si>
    <t>6100003745 DSP SEI 2</t>
  </si>
  <si>
    <t>SIBSQ26020015</t>
  </si>
  <si>
    <t>SIBSQ26020014</t>
  </si>
  <si>
    <t>6100003743 DSP GROGOT</t>
  </si>
  <si>
    <t>SIBSQ26020013</t>
  </si>
  <si>
    <t>SIBSQ26020012</t>
  </si>
  <si>
    <t>SIBSQ26020011</t>
  </si>
  <si>
    <t>REQ DBA KINGSTON FURY</t>
  </si>
  <si>
    <t>SIBSQ26020010</t>
  </si>
  <si>
    <t>SIBSQ26020009</t>
  </si>
  <si>
    <t>6500002052 STM</t>
  </si>
  <si>
    <t>SIBSQ26020008</t>
  </si>
  <si>
    <t>PT.BAJANG RATU ENGINERING</t>
  </si>
  <si>
    <t>PENAWARAN PROYEK MAINCON NUNUKAN</t>
  </si>
  <si>
    <t>SIBSQ26020007</t>
  </si>
  <si>
    <t>REQ JB PLANT SBB PAK PRADANA</t>
  </si>
  <si>
    <t>SIBSQ26020006</t>
  </si>
  <si>
    <t>REQ PENAWARAN OPS JML</t>
  </si>
  <si>
    <t>SIBSQ26020005</t>
  </si>
  <si>
    <t>SIBSQ26020004</t>
  </si>
  <si>
    <t>SIBSQ26020003</t>
  </si>
  <si>
    <t>REQ JAT MESIN FINGER PRINT</t>
  </si>
  <si>
    <t>SIBSQ26020002</t>
  </si>
  <si>
    <t>6500002048 MV-JHONLIN 001 JMT-STM</t>
  </si>
  <si>
    <t>SQ-26010372</t>
  </si>
  <si>
    <t>7000000369 MSAM 1 ; SIBNPR26020009</t>
  </si>
  <si>
    <t>SQ-26010371</t>
  </si>
  <si>
    <t>REQ JB HSE SEI 2</t>
  </si>
  <si>
    <t>SQ-26010369</t>
  </si>
  <si>
    <t>6000005884 DSP SERONGGA URGENT 28/03/2026</t>
  </si>
  <si>
    <t>SQ-26010368</t>
  </si>
  <si>
    <t>7000000371 MSAM 1</t>
  </si>
  <si>
    <t>SQ-26010367</t>
  </si>
  <si>
    <t>7000000371 MSAM 1 ;</t>
  </si>
  <si>
    <t>SQ-26010366</t>
  </si>
  <si>
    <t>6000005882 DSP SEI 2</t>
  </si>
  <si>
    <t>SQ-26010365</t>
  </si>
  <si>
    <t>SQ-26010364</t>
  </si>
  <si>
    <t>6000005877 DSP BATU AMPAR (SEI 2)</t>
  </si>
  <si>
    <t>SQ-26010363</t>
  </si>
  <si>
    <t>TIDAK DIPAKAI</t>
  </si>
  <si>
    <t>SQ-26010362</t>
  </si>
  <si>
    <t>SQ-26010361</t>
  </si>
  <si>
    <t>P007279 // JBM BOMBANA // DD 01-03-2026</t>
  </si>
  <si>
    <t>SQ-26010360</t>
  </si>
  <si>
    <t>7000000372 MSAM</t>
  </si>
  <si>
    <t>SQ-26010359</t>
  </si>
  <si>
    <t>6000005871 DSP BUNATI</t>
  </si>
  <si>
    <t>SQ-26010358</t>
  </si>
  <si>
    <t>7000000372 MSAM-1</t>
  </si>
  <si>
    <t>SQ-26010357</t>
  </si>
  <si>
    <t>REQ E-11/RF/JL002/I-26 JMT (PIC RIKO)</t>
  </si>
  <si>
    <t>SQ-26010356</t>
  </si>
  <si>
    <t>7000000373 MSAM 1</t>
  </si>
  <si>
    <t>SQ-26010355</t>
  </si>
  <si>
    <t>7000000376 MSAM 1 ; NPR-26010440</t>
  </si>
  <si>
    <t>SQ-26010353</t>
  </si>
  <si>
    <t>SQ-26010352</t>
  </si>
  <si>
    <t>SQ-26010351</t>
  </si>
  <si>
    <t>SQ-26010350</t>
  </si>
  <si>
    <t>REQ PENAWARAN SUPPLY ENERGI ARMADA 001 EAB</t>
  </si>
  <si>
    <t>SQ-26010349</t>
  </si>
  <si>
    <t>Re: RE: PAG - RFQ - PIPE 2026</t>
  </si>
  <si>
    <t>SQ-26010348</t>
  </si>
  <si>
    <t>SQ-26010347</t>
  </si>
  <si>
    <t>6800001129 JB PLANT TJG</t>
  </si>
  <si>
    <t>SQ-26010346</t>
  </si>
  <si>
    <t>6100003767 DSP GROGOT</t>
  </si>
  <si>
    <t>SQ-26010345</t>
  </si>
  <si>
    <t>7000000376 MSAM 1</t>
  </si>
  <si>
    <t>SQ-26010344</t>
  </si>
  <si>
    <t>REQ PENAWARAN SUPPLY ENERGI ARMADA 01 EAB</t>
  </si>
  <si>
    <t>SQ-26010343</t>
  </si>
  <si>
    <t>RFQ 002-260126 JA</t>
  </si>
  <si>
    <t>SQ-26010342</t>
  </si>
  <si>
    <t>REQ EAS PART SPANTEN L300</t>
  </si>
  <si>
    <t>SQ-26010341</t>
  </si>
  <si>
    <t>REQ DSP PAK ILWAN</t>
  </si>
  <si>
    <t>SQ-26010340</t>
  </si>
  <si>
    <t>SQ-26010339</t>
  </si>
  <si>
    <t>6000005656 MS 22/03/26</t>
  </si>
  <si>
    <t>SQ-26010338</t>
  </si>
  <si>
    <t>6100003798 JB INFRA SEI 2 (KEP. KALTIM)</t>
  </si>
  <si>
    <t>SQ-26010337</t>
  </si>
  <si>
    <t>6200000201 DSP SEI 2 (MERAUKE)</t>
  </si>
  <si>
    <t>SQ-26010336</t>
  </si>
  <si>
    <t>6000006651 JMT FABR</t>
  </si>
  <si>
    <t>SQ-26010335</t>
  </si>
  <si>
    <t>6800001274 JB INFRA SEI 2 (KEP. KM51)</t>
  </si>
  <si>
    <t>SQ-26010334</t>
  </si>
  <si>
    <t>REQ URGENT OPS JMT (SUPPLY BATAM) REV I</t>
  </si>
  <si>
    <t>SQ-26010333</t>
  </si>
  <si>
    <t>SQ-26010332</t>
  </si>
  <si>
    <t>6500002036 JB PLANT SEI 2</t>
  </si>
  <si>
    <t>SQ-26010331</t>
  </si>
  <si>
    <t>SQ-26010330</t>
  </si>
  <si>
    <t>6100003937 DSP SEI 2 (GROGOT)</t>
  </si>
  <si>
    <t>SQ-26010329</t>
  </si>
  <si>
    <t>REQ URGENT SUPPLY BATAM OPS JMT</t>
  </si>
  <si>
    <t>SQ-26010328</t>
  </si>
  <si>
    <t>FPB 001/APD/JG-SHE/I/2026 // REQ JG DEPT SHE</t>
  </si>
  <si>
    <t>SQ-26010327</t>
  </si>
  <si>
    <t>6800001272 JB-JG</t>
  </si>
  <si>
    <t>SQ-26010132</t>
  </si>
  <si>
    <t>REQ JB ENG SEI 2</t>
  </si>
  <si>
    <t>SQ-26010326</t>
  </si>
  <si>
    <t>6800001271 JB INFRA SEI 2 (KEP. KM51)</t>
  </si>
  <si>
    <t>SQ-26010325</t>
  </si>
  <si>
    <t>SQ-26010324</t>
  </si>
  <si>
    <t>6100003709 JML (REF VENDOR ASRI TEKNIK)</t>
  </si>
  <si>
    <t>SQ-26010323</t>
  </si>
  <si>
    <t>6100003775 JB INFRA SEI 2(KEP. KALTIM)</t>
  </si>
  <si>
    <t>SQ-26010321</t>
  </si>
  <si>
    <t>6000005560 GA JMT DD 11/03/26</t>
  </si>
  <si>
    <t>SQ-26010320</t>
  </si>
  <si>
    <t>6600000217 FABR JMT 25/03/26</t>
  </si>
  <si>
    <t>SQ-26010319</t>
  </si>
  <si>
    <t>RFQ PT.MSAM1 PR 4100000122</t>
  </si>
  <si>
    <t>SQ-26010318</t>
  </si>
  <si>
    <t>RFQ PT.MSAM1 PR 4000000194</t>
  </si>
  <si>
    <t>SQ-26010317</t>
  </si>
  <si>
    <t>6000005573 STM</t>
  </si>
  <si>
    <t>SQ-26010316</t>
  </si>
  <si>
    <t>6000006311 JB PLANT TJG</t>
  </si>
  <si>
    <t>SQ-26010315</t>
  </si>
  <si>
    <t>REQ  PENAWARAN OPS JML (PIC BOWO)</t>
  </si>
  <si>
    <t>SQ-26010314</t>
  </si>
  <si>
    <t>SQ-26010313</t>
  </si>
  <si>
    <t>SQ-26010312</t>
  </si>
  <si>
    <t>6500002022 JMT</t>
  </si>
  <si>
    <t>SQ-26010311</t>
  </si>
  <si>
    <t>REQ 6000005845 STM</t>
  </si>
  <si>
    <t>SQ-26010310</t>
  </si>
  <si>
    <t>SQ-26010309</t>
  </si>
  <si>
    <t>SQ-26010308</t>
  </si>
  <si>
    <t>6100003773 DSP GROGOT</t>
  </si>
  <si>
    <t>SQ-26010307</t>
  </si>
  <si>
    <t>REQ JANUARI JAR BIO</t>
  </si>
  <si>
    <t>SQ-26010306</t>
  </si>
  <si>
    <t>SQ-26010305</t>
  </si>
  <si>
    <t>6100003765 DSP BUNATI</t>
  </si>
  <si>
    <t>SQ-26010304</t>
  </si>
  <si>
    <t>6100003766 DSP SEI 2</t>
  </si>
  <si>
    <t>SQ-26010303</t>
  </si>
  <si>
    <t>6100003768 DSP SEI 2</t>
  </si>
  <si>
    <t>SQ-26010302</t>
  </si>
  <si>
    <t>6100003769 DSP SEI 2</t>
  </si>
  <si>
    <t>SQ-26010301</t>
  </si>
  <si>
    <t>SQ-26010300</t>
  </si>
  <si>
    <t>SQ-26010299</t>
  </si>
  <si>
    <t>6000005835 JB PLANT SEI 2</t>
  </si>
  <si>
    <t>SQ-26010298</t>
  </si>
  <si>
    <t>6100003753 DSP GROGOT</t>
  </si>
  <si>
    <t>SQ-26010297</t>
  </si>
  <si>
    <t>6000005675 JB PLANT SBB</t>
  </si>
  <si>
    <t>SQ-26010296</t>
  </si>
  <si>
    <t>6100003759 DSP GROGOT</t>
  </si>
  <si>
    <t>SQ-26010295</t>
  </si>
  <si>
    <t>6500002110 PP-JMT-0007-I-2026 - MV J-001</t>
  </si>
  <si>
    <t>SQ-26010294</t>
  </si>
  <si>
    <t>6100003747 DSP SERONGGA</t>
  </si>
  <si>
    <t>SQ-26010293</t>
  </si>
  <si>
    <t>POMPA PASIR 3 INCH REQ OC</t>
  </si>
  <si>
    <t>SQ-26010292</t>
  </si>
  <si>
    <t>REQ KELENGKAPAN MESS JML</t>
  </si>
  <si>
    <t>SQ-26010291</t>
  </si>
  <si>
    <t>REQ AC PG</t>
  </si>
  <si>
    <t>SQ-26010290</t>
  </si>
  <si>
    <t>6100003758 INFRA SEI 2 (KEP. KALTIM)</t>
  </si>
  <si>
    <t>SQ-26010289</t>
  </si>
  <si>
    <t>6100003771 DSP GROGOT</t>
  </si>
  <si>
    <t>SQ-26010288</t>
  </si>
  <si>
    <t>REQ E-12/RF/JL002/I-26 JMT-STM</t>
  </si>
  <si>
    <t>SQ-26010287</t>
  </si>
  <si>
    <t>Aulia Rahman</t>
  </si>
  <si>
    <t>RFQ PG-WSP // BATTERY 280126</t>
  </si>
  <si>
    <t>SQ-26010286</t>
  </si>
  <si>
    <t>SQ-26010285</t>
  </si>
  <si>
    <t>6100003529 DSP BUNATI</t>
  </si>
  <si>
    <t>SQ-25120171</t>
  </si>
  <si>
    <t>6800001275 JB INFRA SEI 2 (KEP. KM51)</t>
  </si>
  <si>
    <t>SQ-26010284</t>
  </si>
  <si>
    <t>SQ-26010283</t>
  </si>
  <si>
    <t>REQ JANUARI JAR BIO-rev</t>
  </si>
  <si>
    <t>SQ-26010282</t>
  </si>
  <si>
    <t>REQ JMT (PIC MR.AFIF)</t>
  </si>
  <si>
    <t>SQ-26010281</t>
  </si>
  <si>
    <t>REQ E-06/HI-03/I-25 JMT-STM</t>
  </si>
  <si>
    <t>SQ-26010280</t>
  </si>
  <si>
    <t>3000057548 THM</t>
  </si>
  <si>
    <t>SQ-26010279</t>
  </si>
  <si>
    <t>REQ E-14/MV.JHONLIN001/I-26 JMT-STM</t>
  </si>
  <si>
    <t>SQ-26010278</t>
  </si>
  <si>
    <t>REQ DSP GA BUNATI</t>
  </si>
  <si>
    <t>SQ-26010277</t>
  </si>
  <si>
    <t>REQ DSP BOMBANA</t>
  </si>
  <si>
    <t>SQ-26010276</t>
  </si>
  <si>
    <t>6000005709 JB PLANT SBB</t>
  </si>
  <si>
    <t>SQ-26010275</t>
  </si>
  <si>
    <t>6800001350 JB-JG PLANT</t>
  </si>
  <si>
    <t>SQ-26010274</t>
  </si>
  <si>
    <t>RFQ PG / PAKU 270126</t>
  </si>
  <si>
    <t>SQ-26010273</t>
  </si>
  <si>
    <t>6000005712 JB PLANT SBB</t>
  </si>
  <si>
    <t>SQ-26010272</t>
  </si>
  <si>
    <t>REQ RUNNING STORE ELECTRICIAN JMT</t>
  </si>
  <si>
    <t>SQ-26010271</t>
  </si>
  <si>
    <t>PT. ONO TEKNOLOGI INDONESIA</t>
  </si>
  <si>
    <t>PENAWARANA HARGA MINI STAR LINK</t>
  </si>
  <si>
    <t>SQ-26010270</t>
  </si>
  <si>
    <t>PT BANGUN KARYA PRATAMA LESTARI</t>
  </si>
  <si>
    <t>SQ-26010269</t>
  </si>
  <si>
    <t>REQ OPS STM (PIC ADIATMA)</t>
  </si>
  <si>
    <t>SQ-26010268</t>
  </si>
  <si>
    <t>SQ-26010267</t>
  </si>
  <si>
    <t>P00053 BKPL BANNER</t>
  </si>
  <si>
    <t>SQ-26010266</t>
  </si>
  <si>
    <t>SQ-26010265</t>
  </si>
  <si>
    <t>RFQ PG -MILL / FLEXIBLE HOSE 6IN 240126</t>
  </si>
  <si>
    <t>SQ-26010264</t>
  </si>
  <si>
    <t>6100003406 DSP WANAM / MERAUKE</t>
  </si>
  <si>
    <t>SQ-26010263</t>
  </si>
  <si>
    <t>REQ HSE DSP SEI 2</t>
  </si>
  <si>
    <t>SQ-26010262</t>
  </si>
  <si>
    <t>RFQ PP-JMT-0003-XII-2025 - SHE</t>
  </si>
  <si>
    <t>SQ-26010261</t>
  </si>
  <si>
    <t>6600000218 FABR JMT</t>
  </si>
  <si>
    <t>SQ-26010260</t>
  </si>
  <si>
    <t>REQ  PENGAJUAN FEBRUARI JML</t>
  </si>
  <si>
    <t>SQ-26010258</t>
  </si>
  <si>
    <t>PENAWARAN STAR LINK MINI</t>
  </si>
  <si>
    <t>SQ-26010257</t>
  </si>
  <si>
    <t>REF SQ-251215001 // 6100003732 // DD 25.03.2026</t>
  </si>
  <si>
    <t>SQ-26010256</t>
  </si>
  <si>
    <t>6800001242 JB PLANT TJG</t>
  </si>
  <si>
    <t>SQ-26010255</t>
  </si>
  <si>
    <t>6800001256 JB PLANT TJG</t>
  </si>
  <si>
    <t>SQ-26010254</t>
  </si>
  <si>
    <t>6000005711 JB PLANT SEI 2</t>
  </si>
  <si>
    <t>SQ-26010253</t>
  </si>
  <si>
    <t>6000005713 JB PLANT SEI 2</t>
  </si>
  <si>
    <t>SQ-26010252</t>
  </si>
  <si>
    <t>6000005570</t>
  </si>
  <si>
    <t>SQ-26010251</t>
  </si>
  <si>
    <t>6000005774 FABR JMT DD 25/03/26</t>
  </si>
  <si>
    <t>SQ-26010250</t>
  </si>
  <si>
    <t>6000005715 JB PLANT MDL</t>
  </si>
  <si>
    <t>SQ-26010249</t>
  </si>
  <si>
    <t>6000005716 JB PLANT MDL</t>
  </si>
  <si>
    <t>SQ-26010248</t>
  </si>
  <si>
    <t>6000005735 JB PLANT SEI 2</t>
  </si>
  <si>
    <t>SQ-26010247</t>
  </si>
  <si>
    <t>REQ KEBUTUHAN LOGISTIK JML</t>
  </si>
  <si>
    <t>SQ-26010245</t>
  </si>
  <si>
    <t>SQ-26010244</t>
  </si>
  <si>
    <t>REQ JML OPS</t>
  </si>
  <si>
    <t>SQ-26010243</t>
  </si>
  <si>
    <t>RFQ PG 001-002</t>
  </si>
  <si>
    <t>SQ-26010242</t>
  </si>
  <si>
    <t>PART UMUM REQ BBA</t>
  </si>
  <si>
    <t>SQ-26010241</t>
  </si>
  <si>
    <t>SQ-26010240</t>
  </si>
  <si>
    <t>6000005763 DSP POWER PLANT</t>
  </si>
  <si>
    <t>SQ-26010239</t>
  </si>
  <si>
    <t>6000005762 DSP POWER PLANT SEI 2</t>
  </si>
  <si>
    <t>SQ-26010238</t>
  </si>
  <si>
    <t>7000000375 MSAM1</t>
  </si>
  <si>
    <t>SQ-26010237</t>
  </si>
  <si>
    <t>6100003450 DSP MERAUKE / WANAM</t>
  </si>
  <si>
    <t>SQ-26010236</t>
  </si>
  <si>
    <t>6100003450 MERAUKE/WANAM DD 31/01/2026</t>
  </si>
  <si>
    <t>SQ-26010235</t>
  </si>
  <si>
    <t>PERMINTAAN HARGA PG - FULL PAYMENT</t>
  </si>
  <si>
    <t>SQ-26010234</t>
  </si>
  <si>
    <t>REQ OPS JMT (PIC ERIKO)</t>
  </si>
  <si>
    <t>SQ-26010233</t>
  </si>
  <si>
    <t>REQ FABR JMT (PIC ALFIAN)</t>
  </si>
  <si>
    <t>SQ-26010232</t>
  </si>
  <si>
    <t>6100003450 DSP WANAM/MARAUKE</t>
  </si>
  <si>
    <t>SQ-26010231</t>
  </si>
  <si>
    <t>REQ OTS STM (PIC ADIATMA)</t>
  </si>
  <si>
    <t>SQ-26010219</t>
  </si>
  <si>
    <t>6100003717 JB PLANT SEI 2</t>
  </si>
  <si>
    <t>SQ-26010230</t>
  </si>
  <si>
    <t>RFQ PT.MSAM1 &gt;&gt; PPNK 0001/CE-MSAM1</t>
  </si>
  <si>
    <t>SQ-26010229</t>
  </si>
  <si>
    <t>SQ-26010227</t>
  </si>
  <si>
    <t>REQ DOCKING PATRIA &amp; MANUMBAR PABRIKASI JMT</t>
  </si>
  <si>
    <t>SQ-26010226</t>
  </si>
  <si>
    <t>RFQ JBM / OIL AND TOOLS 220126</t>
  </si>
  <si>
    <t>SQ-26010225</t>
  </si>
  <si>
    <t>P007732 // BBA // DD 23-03-2026</t>
  </si>
  <si>
    <t>SQ-26010224</t>
  </si>
  <si>
    <t>6000005573 MV HI 02 STM</t>
  </si>
  <si>
    <t>SQ-26010223</t>
  </si>
  <si>
    <t>REQ PT.DSP (PAK FIRDAUS)</t>
  </si>
  <si>
    <t>SQ-26010222</t>
  </si>
  <si>
    <t>REQ JG GARDEN</t>
  </si>
  <si>
    <t>SQ-26010221</t>
  </si>
  <si>
    <t>6000005705 JB PLANT MDL</t>
  </si>
  <si>
    <t>SQ-26010220</t>
  </si>
  <si>
    <t>SQ-26010218</t>
  </si>
  <si>
    <t>6000005656 MS JMT DD 22-3-2026</t>
  </si>
  <si>
    <t>SQ-26010217</t>
  </si>
  <si>
    <t>PUR-26010034 REQ DSP</t>
  </si>
  <si>
    <t>SQ-26010180</t>
  </si>
  <si>
    <t>RFQ MILL PT.MSAM2 002/MSAM/LTRM</t>
  </si>
  <si>
    <t>SQ-26010216</t>
  </si>
  <si>
    <t>6000005639 JB PLANT SEI 2</t>
  </si>
  <si>
    <t>SQ-26010215</t>
  </si>
  <si>
    <t>6000005641 JB PLANT MDL</t>
  </si>
  <si>
    <t>SQ-26010213</t>
  </si>
  <si>
    <t>6100003529 DSP BUNATI (PARTIAL)</t>
  </si>
  <si>
    <t>SQ-26010212</t>
  </si>
  <si>
    <t>6000005656 MS JMT</t>
  </si>
  <si>
    <t>SQ-26010211</t>
  </si>
  <si>
    <t>SQ-26010210</t>
  </si>
  <si>
    <t>610003529 DSP BUNATI</t>
  </si>
  <si>
    <t>SQ-26010209</t>
  </si>
  <si>
    <t>SQ-26010207</t>
  </si>
  <si>
    <t>6100003706 JML</t>
  </si>
  <si>
    <t>SQ-26010205</t>
  </si>
  <si>
    <t>REQ PERMINTAAN EAS</t>
  </si>
  <si>
    <t>SQ-26010204</t>
  </si>
  <si>
    <t>SQ-26010203</t>
  </si>
  <si>
    <t>6100003695 // DD 20/02/2026</t>
  </si>
  <si>
    <t>SQ-26010134</t>
  </si>
  <si>
    <t>REQ DSP PARTAIL PUNYA PAK ADI ANGGORO</t>
  </si>
  <si>
    <t>SQ-26010202</t>
  </si>
  <si>
    <t>PENAWARAN MINI EXCAVATOR// PT. ONO CRAFT</t>
  </si>
  <si>
    <t>SQ-26010201</t>
  </si>
  <si>
    <t>RFQ 003-020126 JA</t>
  </si>
  <si>
    <t>SQ-26010200</t>
  </si>
  <si>
    <t>REQ FARB JMT PP JANUARI 2026</t>
  </si>
  <si>
    <t>SQ-26010199</t>
  </si>
  <si>
    <t>RFQ MILL PT.MSAM2 &gt;&gt; 001/MSAM/LTRM</t>
  </si>
  <si>
    <t>SQ-26010198</t>
  </si>
  <si>
    <t>RFQ MILL PT.MSAM1 &gt;&gt; PPNK 0021/MSAM</t>
  </si>
  <si>
    <t>SQ-26010197</t>
  </si>
  <si>
    <t>RFQ 002-210126 JA</t>
  </si>
  <si>
    <t>SQ-26010196</t>
  </si>
  <si>
    <t>SQ-26010195</t>
  </si>
  <si>
    <t>6000005620  JML</t>
  </si>
  <si>
    <t>SQ-26010194</t>
  </si>
  <si>
    <t>6000005622 JML</t>
  </si>
  <si>
    <t>SQ-26010193</t>
  </si>
  <si>
    <t>00252 // URGENT BBA TUAL</t>
  </si>
  <si>
    <t>SQ-26010192</t>
  </si>
  <si>
    <t>VIBRATOR TRUSS SCREED // REQ BBA</t>
  </si>
  <si>
    <t>SQ-26010191</t>
  </si>
  <si>
    <t>6100003450 DSP MERAUKE</t>
  </si>
  <si>
    <t>SQ-26010190</t>
  </si>
  <si>
    <t>REQ JB GA SBB//TOOLS ELEC</t>
  </si>
  <si>
    <t>SQ-26010189</t>
  </si>
  <si>
    <t>SQ-26010188</t>
  </si>
  <si>
    <t>7000000431 ; BIO</t>
  </si>
  <si>
    <t>SQ-26010187</t>
  </si>
  <si>
    <t>SQ-26010186</t>
  </si>
  <si>
    <t>6000005255 JB PLANT SBB//GANTI MASTER</t>
  </si>
  <si>
    <t>SQ-26010185</t>
  </si>
  <si>
    <t>3000057444 THM</t>
  </si>
  <si>
    <t>SQ-26010184</t>
  </si>
  <si>
    <t>CUSTOMER UMUM</t>
  </si>
  <si>
    <t>PEMBELIAN BATTERY PACK 197235</t>
  </si>
  <si>
    <t>SQ-26010183</t>
  </si>
  <si>
    <t>SQ-26010182</t>
  </si>
  <si>
    <t>REQ OPS STM</t>
  </si>
  <si>
    <t>SQ-26010181</t>
  </si>
  <si>
    <t>6500001963 OPS</t>
  </si>
  <si>
    <t>SQ-26010179</t>
  </si>
  <si>
    <t>6100004017 JML</t>
  </si>
  <si>
    <t>SQ-26010178</t>
  </si>
  <si>
    <t>6000005592 JB PLANT SEI 2</t>
  </si>
  <si>
    <t>SQ-26010177</t>
  </si>
  <si>
    <t>6800001164 JB INFRA SEI 2 (KEP. KM 51)</t>
  </si>
  <si>
    <t>SQ-26010176</t>
  </si>
  <si>
    <t>SQ-26010175</t>
  </si>
  <si>
    <t>SQ-26010174</t>
  </si>
  <si>
    <t>PT. ONO KREASI GASINDO</t>
  </si>
  <si>
    <t>Ramadhan</t>
  </si>
  <si>
    <t>PENWARAN HARGA FINDER// PT. ONO KREASI GASINDO</t>
  </si>
  <si>
    <t>SQ-26010173</t>
  </si>
  <si>
    <t>SQ-26010172</t>
  </si>
  <si>
    <t>OCPO.26010076 // Kebutuhan Fiber-Retail</t>
  </si>
  <si>
    <t>SQ-26010170</t>
  </si>
  <si>
    <t>PP-BBA-0002-I-2026 // BBA KALTIM // FULL PAYMENT</t>
  </si>
  <si>
    <t>SQ-26010169</t>
  </si>
  <si>
    <t>6000005073 OPS J7 EXPLORER</t>
  </si>
  <si>
    <t>SQ-26010167</t>
  </si>
  <si>
    <t>7100000214 EAS ; CWS</t>
  </si>
  <si>
    <t>SQ-26010166</t>
  </si>
  <si>
    <t>7000000517 MSAM</t>
  </si>
  <si>
    <t>SQ-26010165</t>
  </si>
  <si>
    <t>REQ HRGA JML</t>
  </si>
  <si>
    <t>SQ-26010147</t>
  </si>
  <si>
    <t>RFQ PT.MSAM1_0001/PPNK/GJBE</t>
  </si>
  <si>
    <t>SQ-26010164</t>
  </si>
  <si>
    <t>SQ-26010163</t>
  </si>
  <si>
    <t>ALAT UKUR REQ ONO CRAFT</t>
  </si>
  <si>
    <t>SQ-26010162</t>
  </si>
  <si>
    <t>SQ-26010161</t>
  </si>
  <si>
    <t>6100003619 JB GA SBB</t>
  </si>
  <si>
    <t>SQ-26010160</t>
  </si>
  <si>
    <t>RFQ PT.MSAM1 &gt;&gt; PPNK 001/PPNK/IT-MSAM1</t>
  </si>
  <si>
    <t>SQ-26010159</t>
  </si>
  <si>
    <t>REQ URGENT BG LIANA XXLIX FULLPYMENT JMT</t>
  </si>
  <si>
    <t>SQ-26010158</t>
  </si>
  <si>
    <t>SQ-26010157</t>
  </si>
  <si>
    <t>SQ-26010156</t>
  </si>
  <si>
    <t>6000005452 JB PLANT SBBN</t>
  </si>
  <si>
    <t>SQ-26010155</t>
  </si>
  <si>
    <t>REQ JG ELECTRICAL FPB</t>
  </si>
  <si>
    <t>SQ-26010154</t>
  </si>
  <si>
    <t>6800001282 JB TJG WP</t>
  </si>
  <si>
    <t>SQ-26010153</t>
  </si>
  <si>
    <t>SQ-26010152</t>
  </si>
  <si>
    <t>OCTAVIA</t>
  </si>
  <si>
    <t>RFQ CONSUMABLE (1) JBM</t>
  </si>
  <si>
    <t>SQ-26010151</t>
  </si>
  <si>
    <t>MATEST REQ JG</t>
  </si>
  <si>
    <t>SQ-26010149</t>
  </si>
  <si>
    <t>7000000621 PG</t>
  </si>
  <si>
    <t>SQ-26010148</t>
  </si>
  <si>
    <t>MIRAH</t>
  </si>
  <si>
    <t>DSP PAK HAMDANI</t>
  </si>
  <si>
    <t>SQ-26010146</t>
  </si>
  <si>
    <t>SQ-26010145</t>
  </si>
  <si>
    <t>6000005489 FABR</t>
  </si>
  <si>
    <t>SQ-26010144</t>
  </si>
  <si>
    <t>SQ-26010143</t>
  </si>
  <si>
    <t>FPB JG PULAU CAT MINYAK</t>
  </si>
  <si>
    <t>SQ-26010142</t>
  </si>
  <si>
    <t>SQ-26010141</t>
  </si>
  <si>
    <t>SQ-26010140</t>
  </si>
  <si>
    <t>REQ JG // BKPL</t>
  </si>
  <si>
    <t>SQ-26010139</t>
  </si>
  <si>
    <t>SQ-26010138</t>
  </si>
  <si>
    <t>PERMINTAAN PENAWARAN HARGA IT JAR KEBUN</t>
  </si>
  <si>
    <t>SQ-26010137</t>
  </si>
  <si>
    <t>AC DAIKIN UNIT ONLY REQ JG</t>
  </si>
  <si>
    <t>SQ-26010136</t>
  </si>
  <si>
    <t>6500001965 OPS STM</t>
  </si>
  <si>
    <t>SQ-26010135</t>
  </si>
  <si>
    <t>6500001966 OPS</t>
  </si>
  <si>
    <t>SQ-26010133</t>
  </si>
  <si>
    <t>RFQ JMT OPS PLANNING JAN 2026 - SPOB JHONI 047</t>
  </si>
  <si>
    <t>SQ-26010131</t>
  </si>
  <si>
    <t>SQ-26010130</t>
  </si>
  <si>
    <t>SQ-26010129</t>
  </si>
  <si>
    <t>6100003659 DSP GA SEI 2</t>
  </si>
  <si>
    <t>SQ-26010128</t>
  </si>
  <si>
    <t>EAS GROUP</t>
  </si>
  <si>
    <t>KONSINYASI DES 2025 || TEKNIK || BATCH 2</t>
  </si>
  <si>
    <t>SQ-26010127</t>
  </si>
  <si>
    <t>PT. MEGA BINTANG SANTOSO</t>
  </si>
  <si>
    <t>PENAWARAN HARGA FINDER PT. MEGA BINTANG SANTOSO</t>
  </si>
  <si>
    <t>SQ-26010126</t>
  </si>
  <si>
    <t>KONSINYASI DES 2025 || AGRO || BATCH 2</t>
  </si>
  <si>
    <t>SQ-26010125</t>
  </si>
  <si>
    <t>SQ-26010124</t>
  </si>
  <si>
    <t>REQ TOP URGENT TB.Jhoni LXII JMT</t>
  </si>
  <si>
    <t>SQ-26010123</t>
  </si>
  <si>
    <t>REQ JB GA SEI 2 (PERUM.54)</t>
  </si>
  <si>
    <t>SQ-26010122</t>
  </si>
  <si>
    <t>PERMINTAAN SARUNG TANGAN SIBIMA.ID</t>
  </si>
  <si>
    <t>SQ-26010121</t>
  </si>
  <si>
    <t>KEBUTUHAN PRIVATE GARDEN &amp; NURSERY</t>
  </si>
  <si>
    <t>SQ-26010120</t>
  </si>
  <si>
    <t>6100003438 DSP WANAM</t>
  </si>
  <si>
    <t>SQ-26010119</t>
  </si>
  <si>
    <t>SQ-26010118</t>
  </si>
  <si>
    <t>5001219452 JA</t>
  </si>
  <si>
    <t>SQ-26010117</t>
  </si>
  <si>
    <t>6100003440 DSP WANAM // FULL PAYMENT</t>
  </si>
  <si>
    <t>SQ-26010116</t>
  </si>
  <si>
    <t>6000005550 FABR</t>
  </si>
  <si>
    <t>SQ-26010115</t>
  </si>
  <si>
    <t>6600000210 FABR</t>
  </si>
  <si>
    <t>SQ-26010114</t>
  </si>
  <si>
    <t>DSP BUNATI PAK HAMDANI</t>
  </si>
  <si>
    <t>SQ-26010113</t>
  </si>
  <si>
    <t>DSP FIXED PLANT BUNATI</t>
  </si>
  <si>
    <t>SQ-26010112</t>
  </si>
  <si>
    <t>SQ-26010111</t>
  </si>
  <si>
    <t>6500001910 JMT-STM (MV.JHONLIN 003)</t>
  </si>
  <si>
    <t>SQ-26010110</t>
  </si>
  <si>
    <t>REQ JB GA SEI 2//CHEMICAL</t>
  </si>
  <si>
    <t>SQ-26010109</t>
  </si>
  <si>
    <t>JJS-PO26-006 JSS</t>
  </si>
  <si>
    <t>SQ-26010108</t>
  </si>
  <si>
    <t>7000000623 PG</t>
  </si>
  <si>
    <t>SQ-26010107</t>
  </si>
  <si>
    <t>6000005942 JB PLANT SEI 2</t>
  </si>
  <si>
    <t>SQ-26010106</t>
  </si>
  <si>
    <t>FPB JG DEPT GUNUNG PULAU</t>
  </si>
  <si>
    <t>SQ-26010105</t>
  </si>
  <si>
    <t>STM MV.HI03</t>
  </si>
  <si>
    <t>SQ-26010103</t>
  </si>
  <si>
    <t>6500001828 JMT-STM (MV.JHONLIN 002) FULL PAYMNET</t>
  </si>
  <si>
    <t>SQ-26010102</t>
  </si>
  <si>
    <t>SQ-26010101</t>
  </si>
  <si>
    <t>SQ-26010100</t>
  </si>
  <si>
    <t>6100003406 DSP WANAM</t>
  </si>
  <si>
    <t>SQ-26010099</t>
  </si>
  <si>
    <t>6500001904 JMT-STM (MV.JHONLIN 001)</t>
  </si>
  <si>
    <t>SQ-26010098</t>
  </si>
  <si>
    <t>SQ-26010097</t>
  </si>
  <si>
    <t>6200000179 // DD 10/03/2026</t>
  </si>
  <si>
    <t>SQ-26010096</t>
  </si>
  <si>
    <t>6000005255 JB PLANT SBB//REVISI MASTER</t>
  </si>
  <si>
    <t>SQ-26010095</t>
  </si>
  <si>
    <t>SQ-26010094</t>
  </si>
  <si>
    <t>REQ JG DEPT GUNUNG PULAU</t>
  </si>
  <si>
    <t>SQ-26010093</t>
  </si>
  <si>
    <t>SQ-26010090</t>
  </si>
  <si>
    <t>6800001203 JB-JG</t>
  </si>
  <si>
    <t>SQ-26010088</t>
  </si>
  <si>
    <t>6500001898 JMT-STM (MV.JHONLIN 002)</t>
  </si>
  <si>
    <t>SQ-26010087</t>
  </si>
  <si>
    <t>6100003642 // PERALATAN KEJA DEPT. GARDEN &amp; NURSERY</t>
  </si>
  <si>
    <t>SQ-26010086</t>
  </si>
  <si>
    <t>6500001897 JMT-STM (MV.JHONLIN 003)</t>
  </si>
  <si>
    <t>SQ-26010085</t>
  </si>
  <si>
    <t>RFQ PG / KACANGAN MB 050126</t>
  </si>
  <si>
    <t>SQ-26010084</t>
  </si>
  <si>
    <t>5001215032 JAR BIO</t>
  </si>
  <si>
    <t>SQ-26010083</t>
  </si>
  <si>
    <t>RFQ PG-WSP / CONSUMABLE 060126</t>
  </si>
  <si>
    <t>SQ-26010082</t>
  </si>
  <si>
    <t>6000005545 JB PLANT SEI 2</t>
  </si>
  <si>
    <t>SQ-26010081</t>
  </si>
  <si>
    <t>DSP DREDGING PROJECT ACEH</t>
  </si>
  <si>
    <t>SQ-26010080</t>
  </si>
  <si>
    <t>5001214006 HPJ</t>
  </si>
  <si>
    <t>SQ-26010079</t>
  </si>
  <si>
    <t>6100003570 DSP FIXED PLANT BUNATI</t>
  </si>
  <si>
    <t>SQ-26010078</t>
  </si>
  <si>
    <t>REQ JB HSE SEI 2//7 JAN</t>
  </si>
  <si>
    <t>SQ-26010077</t>
  </si>
  <si>
    <t>RFQ KAM-1 / PERGANTIAN RAM 020126</t>
  </si>
  <si>
    <t>SQ-26010076</t>
  </si>
  <si>
    <t>PT. JAMRUD ANUGERAH PERKASA</t>
  </si>
  <si>
    <t>PROYEK PEMBANGUNAN CAFFE JSC PT. JAP</t>
  </si>
  <si>
    <t>SQ-26010075</t>
  </si>
  <si>
    <t>SQ-26010074</t>
  </si>
  <si>
    <t>6500002040 JMT-STM (MV.JHONLIN 001)</t>
  </si>
  <si>
    <t>SQ-26010073</t>
  </si>
  <si>
    <t>P007707 || BBA SEI 2 FULL PAYMENT</t>
  </si>
  <si>
    <t>SQ-26010072</t>
  </si>
  <si>
    <t>JMT-STM (MV.JHONLIN 001)</t>
  </si>
  <si>
    <t>SQ-26010071</t>
  </si>
  <si>
    <t>SQ-26010070</t>
  </si>
  <si>
    <t>P004044 PAG REFF KE MEGA MURNI KIMIA // DUE DATE 30 JAN 2026</t>
  </si>
  <si>
    <t>SQ-26010069</t>
  </si>
  <si>
    <t>SQ-26010068</t>
  </si>
  <si>
    <t>RFQ. PT.JG_GARDEN (SANITARY_ELE)</t>
  </si>
  <si>
    <t>SQ-26010067</t>
  </si>
  <si>
    <t>SQ-26010066</t>
  </si>
  <si>
    <t>RFQ. PT.JG_GARDEN (TOOLS II)</t>
  </si>
  <si>
    <t>SQ-26010065</t>
  </si>
  <si>
    <t>SQ-26010061</t>
  </si>
  <si>
    <t>RFQ PT.JHONLIN AGRO RAYA KEBUTUHAN POUCH DAN KARDUS 1L &amp; 2L</t>
  </si>
  <si>
    <t>SQ-26010064</t>
  </si>
  <si>
    <t>6600000192 FABR</t>
  </si>
  <si>
    <t>SQ-26010063</t>
  </si>
  <si>
    <t>6000005476 FABR</t>
  </si>
  <si>
    <t>SQ-26010062</t>
  </si>
  <si>
    <t>6600000190 FABR</t>
  </si>
  <si>
    <t>Selvi Gusnawati Rukwan</t>
  </si>
  <si>
    <t>SQ-26010058</t>
  </si>
  <si>
    <t>SQ-26010057</t>
  </si>
  <si>
    <t>RFQ PR 3500006887 JMT</t>
  </si>
  <si>
    <t>SQ-26010056</t>
  </si>
  <si>
    <t>DSP FIXED PLANT</t>
  </si>
  <si>
    <t>SQ-26010055</t>
  </si>
  <si>
    <t>6000005607 JB PLANT SEI 2</t>
  </si>
  <si>
    <t>SQ-26010054</t>
  </si>
  <si>
    <t>SQ-26010053</t>
  </si>
  <si>
    <t>6000005427 JB PLANT SEI 2//REVISI MASTER</t>
  </si>
  <si>
    <t>SQ-26010052</t>
  </si>
  <si>
    <t>REQ STM</t>
  </si>
  <si>
    <t>SQ-26010051</t>
  </si>
  <si>
    <t>6500001941 JMT-STM (MV.JHONLIN 001)</t>
  </si>
  <si>
    <t>SQ-26010050</t>
  </si>
  <si>
    <t>6000005566 OPS</t>
  </si>
  <si>
    <t>SQ-26010049</t>
  </si>
  <si>
    <t>6000005540 JMT-STM // MV.JHONLIN 001</t>
  </si>
  <si>
    <t>SQ-26010048</t>
  </si>
  <si>
    <t>SQ-26010047</t>
  </si>
  <si>
    <t>REQ SHE EAB</t>
  </si>
  <si>
    <t>SQ-26010046</t>
  </si>
  <si>
    <t>REQ JML - PLANT</t>
  </si>
  <si>
    <t>SQ-26010045</t>
  </si>
  <si>
    <t>SQ-25120106</t>
  </si>
  <si>
    <t>RFQ PG-MILL / SPAREPART 181225</t>
  </si>
  <si>
    <t>SQ-26010044</t>
  </si>
  <si>
    <t>PO-250821003 // Pemenuhan Suplai Agustus // Ready Stok SBM</t>
  </si>
  <si>
    <t>SQ-26010043</t>
  </si>
  <si>
    <t>6100003438 DSP MERAUKE / WANAM</t>
  </si>
  <si>
    <t>SQ-26010042</t>
  </si>
  <si>
    <t>REQ BBA MAS FARIS FULL PAYMENT</t>
  </si>
  <si>
    <t>SQ-26010041</t>
  </si>
  <si>
    <t>DSP BUNATI (PAK HAMDANY)</t>
  </si>
  <si>
    <t>SQ-26010040</t>
  </si>
  <si>
    <t>RFQ PR 3500006886 JMT</t>
  </si>
  <si>
    <t>SQ-26010039</t>
  </si>
  <si>
    <t>RFQ PR 3100003391 JMT</t>
  </si>
  <si>
    <t>SQ-26010038</t>
  </si>
  <si>
    <t>REQ JB CIVIL SEI 2</t>
  </si>
  <si>
    <t>SQ-26010037</t>
  </si>
  <si>
    <t>RFQ PR 3500006977 JMT</t>
  </si>
  <si>
    <t>SQ-26010036</t>
  </si>
  <si>
    <t>REQ JML</t>
  </si>
  <si>
    <t>SQ-26010035</t>
  </si>
  <si>
    <t>DSP KEBUTUHAN MATERIAL OPERATIONAL // FULL PAYMENT</t>
  </si>
  <si>
    <t>SQ-26010034</t>
  </si>
  <si>
    <t>REQ DSP BATU AMPAR</t>
  </si>
  <si>
    <t>SQ-26010033</t>
  </si>
  <si>
    <t>DSP PAK DEBIN</t>
  </si>
  <si>
    <t>SQ-26010032</t>
  </si>
  <si>
    <t>P007712 || BBA SEI 2 FULL PAYMENT</t>
  </si>
  <si>
    <t>SQ-26010031</t>
  </si>
  <si>
    <t>DSP BUNATI (PAK HAMDANI)</t>
  </si>
  <si>
    <t>SQ-26010030</t>
  </si>
  <si>
    <t>Fwd: RFQ PP-JMT-0006-XI-2025 - MV JHONLIN 001,002</t>
  </si>
  <si>
    <t>SQ-26010029</t>
  </si>
  <si>
    <t>P00051 BKPL</t>
  </si>
  <si>
    <t>SQ-26010028</t>
  </si>
  <si>
    <t>PT. TABALONG PRIMA RESOURCES</t>
  </si>
  <si>
    <t>P00009 TPR</t>
  </si>
  <si>
    <t>SQ-26010027</t>
  </si>
  <si>
    <t>REQ JG CIVIL FPB</t>
  </si>
  <si>
    <t>SQ-26010026</t>
  </si>
  <si>
    <t>6000005538 JB PLANT SBB</t>
  </si>
  <si>
    <t>SQ-26010025</t>
  </si>
  <si>
    <t>P00464 EAB (SUPPLY BATAM)</t>
  </si>
  <si>
    <t>SQ-26010024</t>
  </si>
  <si>
    <t>Re: Fwd: RFQ PP-JMT-0006-XI-2025 - MV JHONLIN 001,002</t>
  </si>
  <si>
    <t>SQ-26010023</t>
  </si>
  <si>
    <t>DSP DREDGING</t>
  </si>
  <si>
    <t>SQ-26010022</t>
  </si>
  <si>
    <t>PERMINTAAN PENAWARAN HARGA (PT.SIBIMA BERKARYA MANDIRI) JML</t>
  </si>
  <si>
    <t>SQ-26010021</t>
  </si>
  <si>
    <t>6500001791 OPS</t>
  </si>
  <si>
    <t>SQ-26010020</t>
  </si>
  <si>
    <t>6100003534 FABR</t>
  </si>
  <si>
    <t>SQ-26010019</t>
  </si>
  <si>
    <t>6000005486 FABR</t>
  </si>
  <si>
    <t>SQ-26010018</t>
  </si>
  <si>
    <t>6600000193 FABR</t>
  </si>
  <si>
    <t>SQ-26010017</t>
  </si>
  <si>
    <t>6600000208 FABR</t>
  </si>
  <si>
    <t>SQ-26010016</t>
  </si>
  <si>
    <t>5001212991 JAM</t>
  </si>
  <si>
    <t>SQ-26010015</t>
  </si>
  <si>
    <t>6000005528 FABR</t>
  </si>
  <si>
    <t>SQ-26010014</t>
  </si>
  <si>
    <t>6000005500 FABR</t>
  </si>
  <si>
    <t>SQ-26010013</t>
  </si>
  <si>
    <t>6600000205 FABR</t>
  </si>
  <si>
    <t>SQ-26010012</t>
  </si>
  <si>
    <t>6600000204 FABR</t>
  </si>
  <si>
    <t>SQ-26010011</t>
  </si>
  <si>
    <t>6000005493 FABR</t>
  </si>
  <si>
    <t>SQ-26010010</t>
  </si>
  <si>
    <t>SQ-26010009</t>
  </si>
  <si>
    <t>6600000199 FABR</t>
  </si>
  <si>
    <t>SQ-26010008</t>
  </si>
  <si>
    <t>6600000198 FABR (FULLPAYMENT) TB PERSADA 05</t>
  </si>
  <si>
    <t>SQ-26010007</t>
  </si>
  <si>
    <t>7000000572 PG // FULL PAYMENT</t>
  </si>
  <si>
    <t>SQ-26010006</t>
  </si>
  <si>
    <t>6100003579 DSP FIXED PLANT BUNATI</t>
  </si>
  <si>
    <t>SQ-26010004</t>
  </si>
  <si>
    <t>RFQ KAM-1 / PERGANTIAN SPAREPART 181225</t>
  </si>
  <si>
    <t>SQ-26010003</t>
  </si>
  <si>
    <t>6100003553 DSP PORT BUNATI</t>
  </si>
  <si>
    <t>SQ-26010002</t>
  </si>
  <si>
    <t>P00054 BKPL</t>
  </si>
  <si>
    <t>SQ-26010001</t>
  </si>
  <si>
    <t>SQ-25120203</t>
  </si>
  <si>
    <t>SQ-25120202</t>
  </si>
  <si>
    <t>5001214972 KAM-1 ; REF JAYATINDO</t>
  </si>
  <si>
    <t>SQ-25120201</t>
  </si>
  <si>
    <t>6100003593 DSP MOB PLANT SEI2</t>
  </si>
  <si>
    <t>SQ-25120200</t>
  </si>
  <si>
    <t>SQ-25120199</t>
  </si>
  <si>
    <t>6000005464 FABR</t>
  </si>
  <si>
    <t>SQ-25120198</t>
  </si>
  <si>
    <t>6100003564 JB PLANT SEI 2</t>
  </si>
  <si>
    <t>SQ-25120197</t>
  </si>
  <si>
    <t>6100003516 JG LAB BATUBARA</t>
  </si>
  <si>
    <t>SQ-25120196</t>
  </si>
  <si>
    <t>REQ GA JML</t>
  </si>
  <si>
    <t>SQ-25120195</t>
  </si>
  <si>
    <t>61000003595 DSP SERONGGA</t>
  </si>
  <si>
    <t>SQ-25120194</t>
  </si>
  <si>
    <t>6100003582 DSP FIXED PLANT BUNATI</t>
  </si>
  <si>
    <t>SQ-25120193</t>
  </si>
  <si>
    <t>6000005454 FABR</t>
  </si>
  <si>
    <t>SQ-25120192</t>
  </si>
  <si>
    <t>6100003586 DSP FIXED PLANT BUNATI</t>
  </si>
  <si>
    <t>SQ-25120191</t>
  </si>
  <si>
    <t>6100003568 DSP MOB PLANT BUNATI</t>
  </si>
  <si>
    <t>SQ-25120190</t>
  </si>
  <si>
    <t>6100003512 DSP MOB PLANT GROGOT</t>
  </si>
  <si>
    <t>SQ-25120189</t>
  </si>
  <si>
    <t>6800001093 JB-JG</t>
  </si>
  <si>
    <t>SQ-25120188</t>
  </si>
  <si>
    <t>5001216296 KAM-1 / FULL PAYMENT ; REF TECHNINDO</t>
  </si>
  <si>
    <t>SQ-25120186</t>
  </si>
  <si>
    <t>DSP MOB PLANT (PAK BAYU)</t>
  </si>
  <si>
    <t>SQ-25120185</t>
  </si>
  <si>
    <t>SQ-25120184</t>
  </si>
  <si>
    <t>DSP FIXED PLANT (MAS KAREN)</t>
  </si>
  <si>
    <t>SQ-25120182</t>
  </si>
  <si>
    <t>6000005427 JB PLANT SEI 2</t>
  </si>
  <si>
    <t>SQ-25120181</t>
  </si>
  <si>
    <t>5001213887 PG</t>
  </si>
  <si>
    <t>SQ-25120180</t>
  </si>
  <si>
    <t>SQ-25120179</t>
  </si>
  <si>
    <t>P00065 LPT.JEK</t>
  </si>
  <si>
    <t>SQ-25120178</t>
  </si>
  <si>
    <t>6600000196 FABR</t>
  </si>
  <si>
    <t>SQ-25120177</t>
  </si>
  <si>
    <t>6000005444 || JB SEI 2</t>
  </si>
  <si>
    <t>SQ-25120176</t>
  </si>
  <si>
    <t>6100003583 || JB HEAD OFFICE</t>
  </si>
  <si>
    <t>SQ-25120175</t>
  </si>
  <si>
    <t>SQ-25120174</t>
  </si>
  <si>
    <t>6100003591 || JB HEAD OFFICE</t>
  </si>
  <si>
    <t>SQ-25120173</t>
  </si>
  <si>
    <t>6000005485 SHE</t>
  </si>
  <si>
    <t>SQ-25120172</t>
  </si>
  <si>
    <t>6000005484 SHE</t>
  </si>
  <si>
    <t>SQ-25120170</t>
  </si>
  <si>
    <t>5001213882 PG</t>
  </si>
  <si>
    <t>SQ-25120169</t>
  </si>
  <si>
    <t>6500001879 JB PLANT SEI 2</t>
  </si>
  <si>
    <t>SQ-25120168</t>
  </si>
  <si>
    <t>5001213891 THM</t>
  </si>
  <si>
    <t>SQ-25120167</t>
  </si>
  <si>
    <t>RFQ PG-MILL / BEARING BUNCH PRESS 201225</t>
  </si>
  <si>
    <t>SQ-25120166</t>
  </si>
  <si>
    <t>Quotation Hempel Paint RFQ D-02/MV- HI 02/I-26</t>
  </si>
  <si>
    <t>SQ-25120165</t>
  </si>
  <si>
    <t>6000005359 JMT</t>
  </si>
  <si>
    <t>SQ-25120164</t>
  </si>
  <si>
    <t>6100003587 DSP PORT BUNATI</t>
  </si>
  <si>
    <t>SQ-25120163</t>
  </si>
  <si>
    <t>6000005420 JB PLANT SEI 2</t>
  </si>
  <si>
    <t>SQ-25120162</t>
  </si>
  <si>
    <t>6100003589 JB KALTIM</t>
  </si>
  <si>
    <t>SQ-25120161</t>
  </si>
  <si>
    <t>6100003589 JB INFRA SEI 2 (KEP. KALTIM)</t>
  </si>
  <si>
    <t>SQ-25120160</t>
  </si>
  <si>
    <t>6100003597 JG LAB BATUBARA</t>
  </si>
  <si>
    <t>SQ-25120159</t>
  </si>
  <si>
    <t>6100003797 JB INFRA SEI 2 (KEP. KALTIM)</t>
  </si>
  <si>
    <t>SQ-25120158</t>
  </si>
  <si>
    <t>6800001306 JB INFRA SEI 2 (KEP. KM51)</t>
  </si>
  <si>
    <t>SQ-25120157</t>
  </si>
  <si>
    <t>RFQ PG-MILL / SEPATU SAFETY 241225</t>
  </si>
  <si>
    <t>SQ-25120156</t>
  </si>
  <si>
    <t>6000005300 DSP POWER PLANT SEI2</t>
  </si>
  <si>
    <t>SQ-25120155</t>
  </si>
  <si>
    <t>P00062 PT.JEK</t>
  </si>
  <si>
    <t>SQ-25120154</t>
  </si>
  <si>
    <t>6100003567 DSP SEI2</t>
  </si>
  <si>
    <t>SQ-25120153</t>
  </si>
  <si>
    <t>6100003569 DSP WANAM</t>
  </si>
  <si>
    <t>SQ-25120152</t>
  </si>
  <si>
    <t>5001215814 JAR BIO</t>
  </si>
  <si>
    <t>SQ-25120151</t>
  </si>
  <si>
    <t>6100003551 DSP MOB PLANT</t>
  </si>
  <si>
    <t>SQ-25120150</t>
  </si>
  <si>
    <t>6000005455 JB PLANT SBB</t>
  </si>
  <si>
    <t>SQ-25120149</t>
  </si>
  <si>
    <t>5001213096 JAR  BIO</t>
  </si>
  <si>
    <t>SQ-25120148</t>
  </si>
  <si>
    <t>SQ-25120147</t>
  </si>
  <si>
    <t>6000005452 || JB PLANT SBBN</t>
  </si>
  <si>
    <t>SQ-25120145</t>
  </si>
  <si>
    <t>6500001776 OPS</t>
  </si>
  <si>
    <t>SQ-25120144</t>
  </si>
  <si>
    <t>SQ-25120143</t>
  </si>
  <si>
    <t>6100003501 JG LAB</t>
  </si>
  <si>
    <t>SQ-25120142</t>
  </si>
  <si>
    <t>6000005463 JB PLANT MDL</t>
  </si>
  <si>
    <t>SQ-25120141</t>
  </si>
  <si>
    <t>REQ OKG BARANG SDH DI AMBIL</t>
  </si>
  <si>
    <t>SQ-25120140</t>
  </si>
  <si>
    <t>CASH</t>
  </si>
  <si>
    <t>REQ BY PAK REZALI</t>
  </si>
  <si>
    <t>SQ-25120139</t>
  </si>
  <si>
    <t>SQ-25120138</t>
  </si>
  <si>
    <t>3000057424 THM</t>
  </si>
  <si>
    <t>SQ-25120137</t>
  </si>
  <si>
    <t>REQ JG PULAU BUBU IKAN</t>
  </si>
  <si>
    <t>SQ-25120136</t>
  </si>
  <si>
    <t>SQ-25120135</t>
  </si>
  <si>
    <t>5001215033 THM</t>
  </si>
  <si>
    <t>SQ-25120134</t>
  </si>
  <si>
    <t>SQ-25120133</t>
  </si>
  <si>
    <t>5001215031 THM</t>
  </si>
  <si>
    <t>SQ-25120132</t>
  </si>
  <si>
    <t>6000005462 JB PLANT SEI 2</t>
  </si>
  <si>
    <t>SQ-25120131</t>
  </si>
  <si>
    <t>6000005419 JB PLANT SEI 2</t>
  </si>
  <si>
    <t>SQ-25120130</t>
  </si>
  <si>
    <t>6000005458 JB PLANT SEI 2</t>
  </si>
  <si>
    <t>SQ-25120129</t>
  </si>
  <si>
    <t>6000005457 || JB SEI 2</t>
  </si>
  <si>
    <t>SQ-25120128</t>
  </si>
  <si>
    <t>6600000191 FABR (FULLPAYMENT)</t>
  </si>
  <si>
    <t>SQ-25120127</t>
  </si>
  <si>
    <t>6000005460 JB PLANT MDL</t>
  </si>
  <si>
    <t>SQ-25120126</t>
  </si>
  <si>
    <t>SQ-25120125</t>
  </si>
  <si>
    <t>SQ-25120124</t>
  </si>
  <si>
    <t>5001211590 JAM</t>
  </si>
  <si>
    <t>SQ-25120123</t>
  </si>
  <si>
    <t>5001213869 JAR BIO</t>
  </si>
  <si>
    <t>SQ-25120122</t>
  </si>
  <si>
    <t>5001210056 MSAM</t>
  </si>
  <si>
    <t>SQ-25120120</t>
  </si>
  <si>
    <t>6500001791 OPS J7 EXPLORER SUPPLY BATAM</t>
  </si>
  <si>
    <t>SQ-25120119</t>
  </si>
  <si>
    <t>5001208531 MSAM</t>
  </si>
  <si>
    <t>SQ-25120118</t>
  </si>
  <si>
    <t>5001208427 MSAM</t>
  </si>
  <si>
    <t>SQ-25120117</t>
  </si>
  <si>
    <t>6000005387 FABR SUPPLY PATRIA BJM</t>
  </si>
  <si>
    <t>SQ-25120116</t>
  </si>
  <si>
    <t>BENDAHARA KODIM 1022</t>
  </si>
  <si>
    <t>05/ BENDAHARA KODIM 1022-SIBIMA/XII/2025</t>
  </si>
  <si>
    <t>SQ-25120115</t>
  </si>
  <si>
    <t>6000005345 DSP FIXED PLANT BATU AMPAR</t>
  </si>
  <si>
    <t>SQ-25120114</t>
  </si>
  <si>
    <t>5001219449 JA</t>
  </si>
  <si>
    <t>SQ-25120113</t>
  </si>
  <si>
    <t>P004088 PAG REF KAVA PRIMATAMA DD 10 FEB 2026</t>
  </si>
  <si>
    <t>SQ-25120112</t>
  </si>
  <si>
    <t>6100003481 DSP GA GROGOT</t>
  </si>
  <si>
    <t>SQ-25120111</t>
  </si>
  <si>
    <t>MV. JHONLIN 001 JMT-STM</t>
  </si>
  <si>
    <t>SQ-25120110</t>
  </si>
  <si>
    <t>DSP MOB PLANT BUNATI (PAK AGAN)</t>
  </si>
  <si>
    <t>SQ-25120109</t>
  </si>
  <si>
    <t>DSP PAK AGAN</t>
  </si>
  <si>
    <t>SQ-25120108</t>
  </si>
  <si>
    <t>6500001825 OPS (SUPPLY BATAM)</t>
  </si>
  <si>
    <t>SQ-25120107</t>
  </si>
  <si>
    <t>6000005073 OPS (SUPPLY BATAM)</t>
  </si>
  <si>
    <t>SQ-25120105</t>
  </si>
  <si>
    <t>REQ JB PLANT SEI 2||FUEL FAST</t>
  </si>
  <si>
    <t>SQ-25120104</t>
  </si>
  <si>
    <t>6000005255 JB PLANT SBB</t>
  </si>
  <si>
    <t>SQ-25120103</t>
  </si>
  <si>
    <t>6500001841 OPS (SUPPLY BATAM)</t>
  </si>
  <si>
    <t>SQ-25120102</t>
  </si>
  <si>
    <t>6100003423 DSP FIXED PLANT BUNATI</t>
  </si>
  <si>
    <t>SQ-25120101</t>
  </si>
  <si>
    <t>5001206995 KAM-2 ; REF SC</t>
  </si>
  <si>
    <t>SQ-25120100</t>
  </si>
  <si>
    <t>6100003475 JB PLANT SEI 2</t>
  </si>
  <si>
    <t>SQ-25120099</t>
  </si>
  <si>
    <t>5001210033 KAM-2 ; REPEAT ORDER</t>
  </si>
  <si>
    <t>SQ-25120098</t>
  </si>
  <si>
    <t>6100003477 JG HO IA</t>
  </si>
  <si>
    <t>SQ-25120097</t>
  </si>
  <si>
    <t>6000005334 JB PLANT SEI 2</t>
  </si>
  <si>
    <t>SQ-25120096</t>
  </si>
  <si>
    <t>6100003485 JG HO PRIVATE</t>
  </si>
  <si>
    <t>SQ-25120095</t>
  </si>
  <si>
    <t>6100003451 DSP FIXED PLANT // BATU AMPAR</t>
  </si>
  <si>
    <t>SQ-25120094</t>
  </si>
  <si>
    <t>6100003422 DSP FIXED PLANT BUNATI // FULL PAYMENT</t>
  </si>
  <si>
    <t>SQ-25120092</t>
  </si>
  <si>
    <t>SQ-25120091</t>
  </si>
  <si>
    <t>SQ-25120090</t>
  </si>
  <si>
    <t>SQ-25120089</t>
  </si>
  <si>
    <t>6000005279 JB PLANT SBB</t>
  </si>
  <si>
    <t>SQ-25120087</t>
  </si>
  <si>
    <t>5001213099 KAM-3 ; REPEAT ORDER</t>
  </si>
  <si>
    <t>SQ-25120086</t>
  </si>
  <si>
    <t>5001207008 KAM-1 ; REF JAYATINDO MULIA</t>
  </si>
  <si>
    <t>SQ-25120085</t>
  </si>
  <si>
    <t>5001207035 KAM-1 ; REF MEGAWIRE ABADI</t>
  </si>
  <si>
    <t>SQ-25120084</t>
  </si>
  <si>
    <t>P004098 PAG FULLPAYMENT REF ARROW ENERGY</t>
  </si>
  <si>
    <t>SQ-25120083</t>
  </si>
  <si>
    <t>6100003457 JG HO</t>
  </si>
  <si>
    <t>SQ-25120082</t>
  </si>
  <si>
    <t>5001212991 MSAM</t>
  </si>
  <si>
    <t>SQ-25120081</t>
  </si>
  <si>
    <t>6100003744 DSP MOB PLANT</t>
  </si>
  <si>
    <t>SQ-25120080</t>
  </si>
  <si>
    <t>DSP MOB PLANT</t>
  </si>
  <si>
    <t>SQ-25120079</t>
  </si>
  <si>
    <t>6000005329 JB PLANT SEI 2</t>
  </si>
  <si>
    <t>SQ-25120078</t>
  </si>
  <si>
    <t>SQ-25120077</t>
  </si>
  <si>
    <t>5001206999 MSAM</t>
  </si>
  <si>
    <t>SQ-25120076</t>
  </si>
  <si>
    <t>SQ-25120075</t>
  </si>
  <si>
    <t>5001207491 MSAM</t>
  </si>
  <si>
    <t>SQ-25120074</t>
  </si>
  <si>
    <t>600005166 DSP FIXED PLANT BUNATI</t>
  </si>
  <si>
    <t>SQ-25120073</t>
  </si>
  <si>
    <t>5001209449 KAM-3 ; REF BERKAT INDOMAS</t>
  </si>
  <si>
    <t>SQ-25120072</t>
  </si>
  <si>
    <t>6000005257 JB PLANT SBB</t>
  </si>
  <si>
    <t>SQ-25120071</t>
  </si>
  <si>
    <t>6000005296 JB PLANT SEI 2//FULL PAYMENT</t>
  </si>
  <si>
    <t>SQ-25120070</t>
  </si>
  <si>
    <t>6100003362 DSP FIXED PLANT BUNATI // FULL PAYMENT</t>
  </si>
  <si>
    <t>SQ-25120069</t>
  </si>
  <si>
    <t>6100003360 DSP FIXED PLANT BUNATI // FULL PAYMENT</t>
  </si>
  <si>
    <t>SQ-25120068</t>
  </si>
  <si>
    <t>RFQ JMT MS ELNV PLANNING DES 2025</t>
  </si>
  <si>
    <t>SQ-25120067</t>
  </si>
  <si>
    <t>6000005274 JB PLANT SEI 2</t>
  </si>
  <si>
    <t>SQ-25120066</t>
  </si>
  <si>
    <t>6000005208 JB PLANT SEI 2</t>
  </si>
  <si>
    <t>SQ-25120065</t>
  </si>
  <si>
    <t>P00060 PT.JEK</t>
  </si>
  <si>
    <t>SQ-25120064</t>
  </si>
  <si>
    <t>5001208419 MSAM</t>
  </si>
  <si>
    <t>SQ-25120063</t>
  </si>
  <si>
    <t>REQ HARGA JML</t>
  </si>
  <si>
    <t>SQ-25120062</t>
  </si>
  <si>
    <t>5001207021 KAM-2 ; REF FORTUNA TEKNINDO</t>
  </si>
  <si>
    <t>SQ-25120061</t>
  </si>
  <si>
    <t>SQ-25120060</t>
  </si>
  <si>
    <t>SQ-25120059</t>
  </si>
  <si>
    <t>REQ URGENT OPS JMT</t>
  </si>
  <si>
    <t>SQ-25120058</t>
  </si>
  <si>
    <t>6000005195 JB PLANT SEI 2</t>
  </si>
  <si>
    <t>SQ-25120057</t>
  </si>
  <si>
    <t>5001207002 MSAM</t>
  </si>
  <si>
    <t>SQ-25120056</t>
  </si>
  <si>
    <t>6000005249 JB PLANT SBB</t>
  </si>
  <si>
    <t>SQ-25120055</t>
  </si>
  <si>
    <t>6500001819 // JB SUNGAI DUA</t>
  </si>
  <si>
    <t>SQ-25120053</t>
  </si>
  <si>
    <t>6500001843 STM (MV.003)</t>
  </si>
  <si>
    <t>SQ-25120052</t>
  </si>
  <si>
    <t>RFQ PP-JMT-0006-XI-2025 - MV JHONLIN 002,003 (REQ E-02 MV JHONLIN 002)</t>
  </si>
  <si>
    <t>SQ-25120051</t>
  </si>
  <si>
    <t>5001211672 KAM-2</t>
  </si>
  <si>
    <t>SQ-25120050</t>
  </si>
  <si>
    <t>6100003361 DSP FIXED PLANT BUNATI // FULL PAYMENT</t>
  </si>
  <si>
    <t>SQ-25120049</t>
  </si>
  <si>
    <t>P004090 PAG FULLPAYMENT //REF LANGGENG TRADA TEKNIK</t>
  </si>
  <si>
    <t>SQ-25120048</t>
  </si>
  <si>
    <t>SQ-25120047</t>
  </si>
  <si>
    <t>RFQ PP-JMT-0002-XII-2025 - MS</t>
  </si>
  <si>
    <t>SQ-25120046</t>
  </si>
  <si>
    <t>CUST UMUM PAK GONDO</t>
  </si>
  <si>
    <t>SQ-25120045</t>
  </si>
  <si>
    <t>6100003327 JB GA SBBN</t>
  </si>
  <si>
    <t>SQ-25120044</t>
  </si>
  <si>
    <t>6100003320 DSP ;MOB PLANT BATU AMPAR</t>
  </si>
  <si>
    <t>SQ-25120043</t>
  </si>
  <si>
    <t>KEPERLUAN DESA MENTEWE</t>
  </si>
  <si>
    <t>SQ-25120042</t>
  </si>
  <si>
    <t>5001206723 KAM-3 / FULL PAYMENT ; REF BERKAT ESA</t>
  </si>
  <si>
    <t>SQ-25120041</t>
  </si>
  <si>
    <t>PT. BUANA KARYA WIRATAMA</t>
  </si>
  <si>
    <t>SEMEN CURAH REQ BKW</t>
  </si>
  <si>
    <t>SQ-25120040</t>
  </si>
  <si>
    <t>SQ-25120039</t>
  </si>
  <si>
    <t>6000005065 DSP MOB PLANT GROGOT</t>
  </si>
  <si>
    <t>SQ-25120038</t>
  </si>
  <si>
    <t>5001206970 MSAM</t>
  </si>
  <si>
    <t>SQ-25120037</t>
  </si>
  <si>
    <t>SQ-25120036</t>
  </si>
  <si>
    <t>6500001810 JMT MV.JHONLIN 001 (STM)</t>
  </si>
  <si>
    <t>SQ-25120035</t>
  </si>
  <si>
    <t>6100003339 JB PLANT SBBN</t>
  </si>
  <si>
    <t>SQ-25120034</t>
  </si>
  <si>
    <t>CV SARANA USAHA</t>
  </si>
  <si>
    <t>AKI PERMINTAAN BAPAK AGUS</t>
  </si>
  <si>
    <t>SQ-25120033</t>
  </si>
  <si>
    <t>6000005070 DSP FIXED PLANT BATAM</t>
  </si>
  <si>
    <t>SQ-25120032</t>
  </si>
  <si>
    <t>6000005072 DSP FIXED PLANT // PARTIAL PAYMENT (DP 50%)</t>
  </si>
  <si>
    <t>SQ-25120031</t>
  </si>
  <si>
    <t>6000005087 DSP DREDGING</t>
  </si>
  <si>
    <t>SQ-25120030</t>
  </si>
  <si>
    <t>6100003301 DSP GA BATUAMPAR</t>
  </si>
  <si>
    <t>SQ-25120028</t>
  </si>
  <si>
    <t>5001207023 JAR 22</t>
  </si>
  <si>
    <t>SQ-25120027</t>
  </si>
  <si>
    <t>P00058 PT.JEK // FULL PAYMENT</t>
  </si>
  <si>
    <t>SQ-25120026</t>
  </si>
  <si>
    <t>P004093 PAG // FULLPAYMENT REF  PT. INDOMAKMUR LESTARI</t>
  </si>
  <si>
    <t>SQ-25120024</t>
  </si>
  <si>
    <t>6100003334 JB PLANT SBBN</t>
  </si>
  <si>
    <t>SQ-25120023</t>
  </si>
  <si>
    <t>SQ-25120022</t>
  </si>
  <si>
    <t>6100003306 JB PLANT SBBN</t>
  </si>
  <si>
    <t>SQ-25120021</t>
  </si>
  <si>
    <t>PT. ONO LOGISTIK RAYA</t>
  </si>
  <si>
    <t>PENAWARAN TERPAL</t>
  </si>
  <si>
    <t>SQ-25120020</t>
  </si>
  <si>
    <t>5001206968 MSAM</t>
  </si>
  <si>
    <t>SQ-25120019</t>
  </si>
  <si>
    <t>5001207004 MSAM</t>
  </si>
  <si>
    <t>SQ-25120018</t>
  </si>
  <si>
    <t>5001206993 MSAM</t>
  </si>
  <si>
    <t>SQ-25120017</t>
  </si>
  <si>
    <t>5001207016 MSAM</t>
  </si>
  <si>
    <t>SQ-25120016</t>
  </si>
  <si>
    <t>6100003317 JB HSE SEI 2</t>
  </si>
  <si>
    <t>SQ-25120015</t>
  </si>
  <si>
    <t>5001206996 KAM-1 ; REF LOGAM JAYA</t>
  </si>
  <si>
    <t>SQ-25120014</t>
  </si>
  <si>
    <t>6100003308 HB HSE SEI 2</t>
  </si>
  <si>
    <t>SQ-25120013</t>
  </si>
  <si>
    <t>SQ-25120011</t>
  </si>
  <si>
    <t>5001206723 KAM-3//FULL PAYMENT</t>
  </si>
  <si>
    <t>SQ-25120010</t>
  </si>
  <si>
    <t>6000005056 JB PLANT SBBN</t>
  </si>
  <si>
    <t>SQ-25120009</t>
  </si>
  <si>
    <t>KONSINYASI DESEMBER 2025 // TEKNIK</t>
  </si>
  <si>
    <t>SQ-25120007</t>
  </si>
  <si>
    <t>6800001059 JB HSE TJG</t>
  </si>
  <si>
    <t>SQ-25120006</t>
  </si>
  <si>
    <t>5001206417 KAM-1//REFF AMS</t>
  </si>
  <si>
    <t>SQ-25120005</t>
  </si>
  <si>
    <t>6800001064 JB GA SEI 2</t>
  </si>
  <si>
    <t>SQ-25120004</t>
  </si>
  <si>
    <t>SQ-25120003</t>
  </si>
  <si>
    <t>5001206843 KAM-2//REFF MMK &amp; TP</t>
  </si>
  <si>
    <t>SQ-25120002</t>
  </si>
  <si>
    <t>5001206626 KAM-1// REFF BAT// FULL PAYMENT</t>
  </si>
  <si>
    <t>SQ-25120001</t>
  </si>
  <si>
    <t>5001207024 KAM-2 ; REF BANJAR BEARING</t>
  </si>
  <si>
    <t>SIBSQ26030282</t>
  </si>
  <si>
    <t>6000007135 JB PLANT MDL</t>
  </si>
  <si>
    <t>SIBSQ26030281</t>
  </si>
  <si>
    <t>5001219676 JA</t>
  </si>
  <si>
    <t>SIBSQ26030280</t>
  </si>
  <si>
    <t>P007341 - Date 2026-03-10 - Due Date 12-04-2026</t>
  </si>
  <si>
    <t>SIBSQ26030278</t>
  </si>
  <si>
    <t>6000007171 DSP SEI 2 (BATU AMPAR)</t>
  </si>
  <si>
    <t>SIBSQ26030277</t>
  </si>
  <si>
    <t>6000007170 DSP SEI 2 (BUNATI)</t>
  </si>
  <si>
    <t>SIBSQ26030276</t>
  </si>
  <si>
    <t>6000007164 DSP SEI 2</t>
  </si>
  <si>
    <t>SIBSQ26030275</t>
  </si>
  <si>
    <t>6100004428 DSP SEI  (BUNATI)</t>
  </si>
  <si>
    <t>SIBSQ26030274</t>
  </si>
  <si>
    <t>6000007117 JB PLANT SBB</t>
  </si>
  <si>
    <t>SIBSQ26030273</t>
  </si>
  <si>
    <t>SIBSQ26030272</t>
  </si>
  <si>
    <t>6000006826 DSP SEI 2 (GROGOT)</t>
  </si>
  <si>
    <t>SIBSQ26030271</t>
  </si>
  <si>
    <t>6000006974 DSP SEI 2</t>
  </si>
  <si>
    <t>SIBSQ26030270</t>
  </si>
  <si>
    <t>3000057732 THM</t>
  </si>
  <si>
    <t>SIBSQ26030269</t>
  </si>
  <si>
    <t>REQ DSP SEI 2 (BAIHAQI)</t>
  </si>
  <si>
    <t>SIBSQ26030268</t>
  </si>
  <si>
    <t>REQ URGENT J7 EXPLORER OPS JMT</t>
  </si>
  <si>
    <t>SIBSQ26030267</t>
  </si>
  <si>
    <t>SIBSQ26030266</t>
  </si>
  <si>
    <t>REQ JB-JG TOOLS</t>
  </si>
  <si>
    <t>SIBSQ26030265</t>
  </si>
  <si>
    <t>6000006817 JB PLANT SBB</t>
  </si>
  <si>
    <t>SIBSQ26030264</t>
  </si>
  <si>
    <t>PENAWARAN BLOWER BR-700</t>
  </si>
  <si>
    <t>SIBSQ26030263</t>
  </si>
  <si>
    <t>SIBSQ26030262</t>
  </si>
  <si>
    <t>6500002306 STM</t>
  </si>
  <si>
    <t>SIBSQ26030261</t>
  </si>
  <si>
    <t>BKPL REQ PAK HALIM</t>
  </si>
  <si>
    <t>SIBSQ26030260</t>
  </si>
  <si>
    <t>SIBSQ26030259</t>
  </si>
  <si>
    <t>SIBSQ26030258</t>
  </si>
  <si>
    <t>6000007127 JB PLANT SEI 2</t>
  </si>
  <si>
    <t>SIBSQ26030257</t>
  </si>
  <si>
    <t>SIBSQ26030256</t>
  </si>
  <si>
    <t>RFQ 003-260326 JA</t>
  </si>
  <si>
    <t>SIBSQ26030255</t>
  </si>
  <si>
    <t>6000007125 JB PLANT SEI 2</t>
  </si>
  <si>
    <t>SIBSQ26030254</t>
  </si>
  <si>
    <t>REQ PART THM</t>
  </si>
  <si>
    <t>SIBSQ26030253</t>
  </si>
  <si>
    <t>6000006961 OPS JMT DD 20/05/26</t>
  </si>
  <si>
    <t>SIBSQ26030252</t>
  </si>
  <si>
    <t>7000000654 ; BIO - C.B.D</t>
  </si>
  <si>
    <t>SIBSQ26030251</t>
  </si>
  <si>
    <t>6000007133 JB PLANT MDL</t>
  </si>
  <si>
    <t>SIBSQ26030250</t>
  </si>
  <si>
    <t>6000006954 OPS JMT DD 20/05/26</t>
  </si>
  <si>
    <t>SIBSQ26030249</t>
  </si>
  <si>
    <t>6000007126 JB PLANT SEI 2</t>
  </si>
  <si>
    <t>SIBSQ26030248</t>
  </si>
  <si>
    <t>6000007134 JB PLANT MDL</t>
  </si>
  <si>
    <t>SIBSQ26030171</t>
  </si>
  <si>
    <t>PT. WAHANA KONSTRUKSI MANDIRI</t>
  </si>
  <si>
    <t>PENAWARAN HARGA PROYEK NUNUKANA DAN BULUNGAN</t>
  </si>
  <si>
    <t>SIBSQ26030136</t>
  </si>
  <si>
    <t>PENAWRAN HARGA PROYEK YTP NUNUKAN DAN BULUNGAN</t>
  </si>
  <si>
    <t>SIBSQ26030135</t>
  </si>
  <si>
    <t>CMP MOTOR SPORT</t>
  </si>
  <si>
    <t>PENAWARAN HARGA TOOL FINDER</t>
  </si>
  <si>
    <t>SIBSQ26030090</t>
  </si>
  <si>
    <t>BARAK PREFAB TAHAP 2 SERDANG BEGADAI, SUMUT YTP 902 //  PO BAHAN-20250602-004</t>
  </si>
  <si>
    <t>SIBSQ26030019</t>
  </si>
  <si>
    <t>PENAWARAN HARGA PROYEK NUNUKAN DAN BULUNGAN</t>
  </si>
  <si>
    <t>SIBSQ26020342</t>
  </si>
  <si>
    <t>PENAWARAN HARGA PLUMBING</t>
  </si>
  <si>
    <t>SIBSQ26020323</t>
  </si>
  <si>
    <t>PENAWARAN PROYEK YTP MAINCON</t>
  </si>
  <si>
    <t>SIBSQ26020296</t>
  </si>
  <si>
    <t>PENAWARAN HARGA PROYEK BULUNGAN DAN NUNUKAN</t>
  </si>
  <si>
    <t>SIBSQ26020283</t>
  </si>
  <si>
    <t>PO ALAT-2025052-YTP-003</t>
  </si>
  <si>
    <t>SIBSQ26020157</t>
  </si>
  <si>
    <t>PENAWRAN HARGA PROYEK WKM MAINCONT DAN PREFAB</t>
  </si>
  <si>
    <t>SIBSQ26020120</t>
  </si>
  <si>
    <t>PENAWARAN HARGA BARAK PREFAB 47 LOKASI</t>
  </si>
  <si>
    <t>SIBSQ26020092</t>
  </si>
  <si>
    <t>PROYEK YTP 828//PO ALAT-2025031-013</t>
  </si>
  <si>
    <t>SIBSQ26020091</t>
  </si>
  <si>
    <t>PENAWRAN HARGA KABEL NYM PROYEK WKM</t>
  </si>
  <si>
    <t>SIBSQ26020084</t>
  </si>
  <si>
    <t>PENAWARAN HARGA BATARINGAN PROYEK WKM</t>
  </si>
  <si>
    <t>SIBSQ26020076</t>
  </si>
  <si>
    <t>PENAWRAN HARGA KABEL PROYEK PREFAB TAHAP 2 YTP KOTABARU</t>
  </si>
  <si>
    <t>SIBSQ26020057</t>
  </si>
  <si>
    <t>PENAWARAN HARGA KABEL NYM 3 X 2,5MM</t>
  </si>
  <si>
    <t>SIBSQ26020049</t>
  </si>
  <si>
    <t>WORKSHOP GROGOT//FRANCO PAL 7</t>
  </si>
  <si>
    <t>SIBSQ26020025</t>
  </si>
  <si>
    <t>PENAWARAN HARGA PROYEK BARAK PREFAB LAMONGAN</t>
  </si>
  <si>
    <t>SIBSQ26020024</t>
  </si>
  <si>
    <t>PENAWARAN HARGA PROYEK BARAK PREFAB BULUNGAN</t>
  </si>
  <si>
    <t>SIBSQ26020023</t>
  </si>
  <si>
    <t>PENAWARAN HARGA PROYEK BARAK PREFAB NUNUKAN</t>
  </si>
  <si>
    <t>SIBSQ26020019</t>
  </si>
  <si>
    <t>PENAWARAN HARGA PROYEK BARAK PREFAB KUTAI TIMUR</t>
  </si>
  <si>
    <t>SIBSQ26020018</t>
  </si>
  <si>
    <t>PENAWARAN HARGA PROYEK BARAK PREFAB KOTA BARU</t>
  </si>
  <si>
    <t>SIBSQ26020001</t>
  </si>
  <si>
    <t>PENAWARAN HARGA PROYEK YTP KOTA BARU</t>
  </si>
  <si>
    <t>SQ-26010370</t>
  </si>
  <si>
    <t>REVISI HARGA PENAWARAN//SIBIMA.SQ.25110026</t>
  </si>
  <si>
    <t>SQ-26010322</t>
  </si>
  <si>
    <t>PENAWARAN PROYEK WKM</t>
  </si>
  <si>
    <t>SQ-26010259</t>
  </si>
  <si>
    <t>PENAWARAN PROYEK PREFAB 30 LOKASI</t>
  </si>
  <si>
    <t>SQ-26010228</t>
  </si>
  <si>
    <t>PENAWARAN HARGA PROYEK 40 LOKASI// FRANCO JAKARTA DAN SURABAYA</t>
  </si>
  <si>
    <t>SQ-26010206</t>
  </si>
  <si>
    <t>PROYEK PEKERJAAN KONSTRUKSI PEMBANGUNAN YTP - KUTAI TIMUR//PO BAHAN-2025052-YTP-001</t>
  </si>
  <si>
    <t>SQ-26010171</t>
  </si>
  <si>
    <t>PENAWARAN YTP KOTA BARU</t>
  </si>
  <si>
    <t>SQ-26010168</t>
  </si>
  <si>
    <t>PROYEK 003-FPM-WKM-WORKSHOP PT.DSP-2025052-I-2026</t>
  </si>
  <si>
    <t>SQ-26010104</t>
  </si>
  <si>
    <t>PROYEK YTP 884 KOTA BARU // FRANCO KTB</t>
  </si>
  <si>
    <t>SQ-26010092</t>
  </si>
  <si>
    <t>PENAWRAN HARGA PROYEK FRANCO GROGOT</t>
  </si>
  <si>
    <t>SQ-26010089</t>
  </si>
  <si>
    <t>PENAWARAN HARGA PROYEK FARNCO YTP KOTA BARU</t>
  </si>
  <si>
    <t>SQ-26010060</t>
  </si>
  <si>
    <t>Salesman</t>
  </si>
  <si>
    <t>PROYEK MAINCONT YTP884 KOTABARU KALSEL</t>
  </si>
  <si>
    <t>SQ-26010059</t>
  </si>
  <si>
    <t>KUTAI</t>
  </si>
  <si>
    <t>SQ-26010005</t>
  </si>
  <si>
    <t>SQ-25120187</t>
  </si>
  <si>
    <t>005-FPM-WKM-YONIF KOTABARU-2025053-XII-2025</t>
  </si>
  <si>
    <t>SQ-25120183</t>
  </si>
  <si>
    <t>PROYEK KUTAI TIMUR</t>
  </si>
  <si>
    <t>SQ-25120146</t>
  </si>
  <si>
    <t>REQ MAS NAFIAH UNTUK CMP MS</t>
  </si>
  <si>
    <t>SQ-25120121</t>
  </si>
  <si>
    <t>SQ-25120093</t>
  </si>
  <si>
    <t>FPM GROGOT</t>
  </si>
  <si>
    <t>SQ-25120088</t>
  </si>
  <si>
    <t>PT.CAHAYA MITRA PERKASA</t>
  </si>
  <si>
    <t>PROYEK RUMAH LIPAT</t>
  </si>
  <si>
    <t>SQ-25120054</t>
  </si>
  <si>
    <t>MATERIAL RUMAH LIPAT</t>
  </si>
  <si>
    <t>SQ-25120029</t>
  </si>
  <si>
    <t>RUMAH LIPAT</t>
  </si>
  <si>
    <t>SQ-25120012</t>
  </si>
  <si>
    <t>PENAWARAN MATERIAL RUMAH LIPAT</t>
  </si>
  <si>
    <t>SQ-25120008</t>
  </si>
  <si>
    <t>PENAWARAN RATCHET LASHING</t>
  </si>
  <si>
    <t>SIBSQ26040026</t>
  </si>
  <si>
    <t>6000007212 DSP SEI 2 (BATU AMPAR)</t>
  </si>
  <si>
    <t>SIBSQ26040025</t>
  </si>
  <si>
    <t>SIBSQ26040024</t>
  </si>
  <si>
    <t>6100004580 DSP SEI 2 (BUNATI) FULL PAYMENT</t>
  </si>
  <si>
    <t>SIBSQ26040023</t>
  </si>
  <si>
    <t>6100004312 DSP SEI 2 (BUNATI) FULL PAYMENT</t>
  </si>
  <si>
    <t>SIBSQ26040022</t>
  </si>
  <si>
    <t>APD REQ BKPL</t>
  </si>
  <si>
    <t>SIBSQ26040021</t>
  </si>
  <si>
    <t>SIBSQ26040020</t>
  </si>
  <si>
    <t>SARUNG TANGAN BINTIK REQ JEK</t>
  </si>
  <si>
    <t>SIBSQ26040019</t>
  </si>
  <si>
    <t>PT. AGUNG ANUGERAH KONSTRUKSI</t>
  </si>
  <si>
    <t>PENAWRAN HARGA PROYEK MAINCON BULUNGAN</t>
  </si>
  <si>
    <t>SIBSQ26040018</t>
  </si>
  <si>
    <t>PT.  AULIA AHMAD PERSADA</t>
  </si>
  <si>
    <t>PENAWARAN HARGA PROYEK MAINCON NUNUKAN</t>
  </si>
  <si>
    <t>SIBSQ26040017</t>
  </si>
  <si>
    <t>SIBSQ26040016</t>
  </si>
  <si>
    <t>REQ - PAG P007326 - Date 2026-03-03 - Due Date 05-04-2026</t>
  </si>
  <si>
    <t>SIBSQ26040015</t>
  </si>
  <si>
    <t>REQ DSP SEI 2 (BP.FIRMAN)</t>
  </si>
  <si>
    <t>SIBSQ26040014</t>
  </si>
  <si>
    <t>SIBSQ26040013</t>
  </si>
  <si>
    <t>SIBSQ26040012</t>
  </si>
  <si>
    <t>6100004600 JB INFRA SEI 2 (KEP. KALTIM)</t>
  </si>
  <si>
    <t>SIBSQ26040011</t>
  </si>
  <si>
    <t>REQ TPR BY WA</t>
  </si>
  <si>
    <t>SIBSQ26040010</t>
  </si>
  <si>
    <t>SIBSQ26040009</t>
  </si>
  <si>
    <t>SIBSQ26040008</t>
  </si>
  <si>
    <t>6000007263 MV. J003 JMT-STM</t>
  </si>
  <si>
    <t>SIBSQ26040007</t>
  </si>
  <si>
    <t>RFQ HPJ PR 3000057596</t>
  </si>
  <si>
    <t>SIBSQ26040006</t>
  </si>
  <si>
    <t>6500002548 OPS JMT DD 02/06/26</t>
  </si>
  <si>
    <t>SIBSQ26040005</t>
  </si>
  <si>
    <t>SIBSQ26040004</t>
  </si>
  <si>
    <t>REQ FABR JMT BG LIANA XVIII</t>
  </si>
  <si>
    <t>SIBSQ26040003</t>
  </si>
  <si>
    <t>REQ FABR JMT BG LIANA XXIV</t>
  </si>
  <si>
    <t>SIBSQ26040002</t>
  </si>
  <si>
    <t>6000007132 DSP SEI 2 (GROGOT)</t>
  </si>
  <si>
    <t>SIBSQ26040001</t>
  </si>
  <si>
    <t>6000007182 DSP SEI 2 (BUNATI)</t>
  </si>
  <si>
    <t>SIBSQ26030286</t>
  </si>
  <si>
    <t>6000007148 DSP SEI 2 (BELUM LENGKAP)</t>
  </si>
  <si>
    <t>SIBSQ26030285</t>
  </si>
  <si>
    <t>6000007020 JB PLANT TJG</t>
  </si>
  <si>
    <t>SIBSQ26030284</t>
  </si>
  <si>
    <t>PERMINTAAN PENAWARAN HARGA MSAM</t>
  </si>
  <si>
    <t>SIBSQ26030283</t>
  </si>
  <si>
    <t>7000000664 ; JAR MILL (37)</t>
  </si>
  <si>
    <t>6000007216 DSP SEI 2 (BUNATI)</t>
  </si>
  <si>
    <t>6500002553 MV. J002 JMT-STM</t>
  </si>
  <si>
    <t>SIBSQ26040043</t>
  </si>
  <si>
    <t>RFQ MILL PT.MSAM2 &gt;&gt; 015.MSAM.GA</t>
  </si>
  <si>
    <t>SIBSQ26040042</t>
  </si>
  <si>
    <t>SIBSQ26040041</t>
  </si>
  <si>
    <t>6000007213 DSP SEI 2 (BUNATI)</t>
  </si>
  <si>
    <t>SIBSQ26040040</t>
  </si>
  <si>
    <t>6000007218 DSP SEI 2</t>
  </si>
  <si>
    <t>SIBSQ26040039</t>
  </si>
  <si>
    <t>6000007243 DSP SEI 2 (GROGOT)</t>
  </si>
  <si>
    <t>SIBSQ26040038</t>
  </si>
  <si>
    <t>6000007242 DSP SEI 2 (BUNATI)</t>
  </si>
  <si>
    <t>SIBSQ26040037</t>
  </si>
  <si>
    <t>6000007239 DSP SEI 2 (BUNATI)</t>
  </si>
  <si>
    <t>SIBSQ26040036</t>
  </si>
  <si>
    <t>PENAWARAN HARGA PROYEK MAINCON WANAM</t>
  </si>
  <si>
    <t>SIBSQ26040035</t>
  </si>
  <si>
    <t>REQ JB INFRA PLANT</t>
  </si>
  <si>
    <t>SIBSQ26040034</t>
  </si>
  <si>
    <t>SIBSQ26040033</t>
  </si>
  <si>
    <t>SIBSQ26040032</t>
  </si>
  <si>
    <t>REQ HSE JB SBB</t>
  </si>
  <si>
    <t>SIBSQ26040031</t>
  </si>
  <si>
    <t>6100004425 DSP SEI 2 (BATU AMPAR )</t>
  </si>
  <si>
    <t>SIBSQ26040030</t>
  </si>
  <si>
    <t>6100004317 DSP SEI 2 (BUNATI) FULL PAYMENT</t>
  </si>
  <si>
    <t>SIBSQ26040029</t>
  </si>
  <si>
    <t>6100004273 // JG HO // DD 11.05.2026</t>
  </si>
  <si>
    <t>SIBSQ26040028</t>
  </si>
  <si>
    <t>6000007217 DSP SEI 2 (BATU AMPAR)</t>
  </si>
  <si>
    <t>SIBSQ26040027</t>
  </si>
  <si>
    <t>6000007248 DSP SEI 2 (BUNATI)</t>
  </si>
  <si>
    <t>SIBSQ26040059</t>
  </si>
  <si>
    <t>6500002570 MV HI 03 STM-OPS</t>
  </si>
  <si>
    <t>SIBSQ26040058</t>
  </si>
  <si>
    <t>6100004616 DSP SEI 2 (BUNATI) FULL PAYMENT</t>
  </si>
  <si>
    <t>SIBSQ26040057</t>
  </si>
  <si>
    <t>6500002558 OPS JMT DD 03/06/26</t>
  </si>
  <si>
    <t>SIBSQ26040056</t>
  </si>
  <si>
    <t>6500002579 MV HI 02 STM-OPS</t>
  </si>
  <si>
    <t>SIBSQ26040055</t>
  </si>
  <si>
    <t>6500002585 MV HI 02 STM</t>
  </si>
  <si>
    <t>SIBSQ26040054</t>
  </si>
  <si>
    <t>6500002578 MV HI 03 OPS-STM</t>
  </si>
  <si>
    <t>SIBSQ26040053</t>
  </si>
  <si>
    <t>SIBSQ26040052</t>
  </si>
  <si>
    <t>REQ - PAG - P004173 - Date 2026-03-24 - Due Date 08-05-2026</t>
  </si>
  <si>
    <t>SIBSQ26040051</t>
  </si>
  <si>
    <t>6000007246 DSP SEI 2 (SERONGGA)</t>
  </si>
  <si>
    <t>SIBSQ26040050</t>
  </si>
  <si>
    <t>6000007210 DSP SEI 2 (PP KODECO)</t>
  </si>
  <si>
    <t>SIBSQ26040049</t>
  </si>
  <si>
    <t>RFQ 002-020126 JA</t>
  </si>
  <si>
    <t>SIBSQ26040048</t>
  </si>
  <si>
    <t>REQ PENAWARAN IMO EAB</t>
  </si>
  <si>
    <t>SIBSQ26040047</t>
  </si>
  <si>
    <t>AHMAD GAZALI</t>
  </si>
  <si>
    <t>P00100 // PP-JEK-22-III-2026</t>
  </si>
  <si>
    <t>SIBSQ26040046</t>
  </si>
  <si>
    <t>SIBSQ26040045</t>
  </si>
  <si>
    <t>SIBSQ26040044</t>
  </si>
  <si>
    <t>REQ - PAG - P007324 - Date 2026-03-03 Due Date 5-04-2026</t>
  </si>
  <si>
    <t>6000007266 SHE JMT DD 04/06/26</t>
  </si>
  <si>
    <t>6500002573 MV.J001 JMT-STM</t>
  </si>
  <si>
    <t>SIBSQ26040089</t>
  </si>
  <si>
    <t>SIBSQ26040088</t>
  </si>
  <si>
    <t>REQ JB PLANT SBB</t>
  </si>
  <si>
    <t>SIBSQ26040087</t>
  </si>
  <si>
    <t>P004154 - Date 2026-03-16 - Due Date 30-04-2026</t>
  </si>
  <si>
    <t>SIBSQ26040086</t>
  </si>
  <si>
    <t>REQ JB GA SEI 2 CHEMICAL &amp; TOOLS</t>
  </si>
  <si>
    <t>SIBSQ26040085</t>
  </si>
  <si>
    <t>P00061 BKPL</t>
  </si>
  <si>
    <t>SIBSQ26040084</t>
  </si>
  <si>
    <t>6100004650 JB INFRA SEI 2 (KEP. KALTIM)</t>
  </si>
  <si>
    <t>SIBSQ26040083</t>
  </si>
  <si>
    <t>REQ E-23/HI-03/III-26 STM</t>
  </si>
  <si>
    <t>SIBSQ26040082</t>
  </si>
  <si>
    <t>6000007220 JB PLANT SEI 2 URGENT</t>
  </si>
  <si>
    <t>SIBSQ26040081</t>
  </si>
  <si>
    <t>6000007219 JB PLANT SEI 2 URGENT</t>
  </si>
  <si>
    <t>SIBSQ26040080</t>
  </si>
  <si>
    <t>6500002653 JB PLANT SEI 2//FULL PAYMENT</t>
  </si>
  <si>
    <t>SIBSQ26040079</t>
  </si>
  <si>
    <t>P004137 - Date 2026-03-09 -Due Date 11-05-2026</t>
  </si>
  <si>
    <t>SIBSQ26040078</t>
  </si>
  <si>
    <t>PENAWARAN HARGA PROYEK MAINCON</t>
  </si>
  <si>
    <t>SIBSQ26040077</t>
  </si>
  <si>
    <t>6500002655 MV HI 03 STM OPS</t>
  </si>
  <si>
    <t>SIBSQ26040076</t>
  </si>
  <si>
    <t>P007827 BBA</t>
  </si>
  <si>
    <t>SIBSQ26040075</t>
  </si>
  <si>
    <t>6100004673 JB GA TJG</t>
  </si>
  <si>
    <t>SIBSQ26040074</t>
  </si>
  <si>
    <t>6000007306 MV.J 001 JMT-STM</t>
  </si>
  <si>
    <t>SIBSQ26040073</t>
  </si>
  <si>
    <t>SIBSQ26040072</t>
  </si>
  <si>
    <t>SIBSQ26040071</t>
  </si>
  <si>
    <t>RFQ PT.MSAM PPNK 0002/CE-MSAM1</t>
  </si>
  <si>
    <t>SIBSQ26040070</t>
  </si>
  <si>
    <t>3000057712 ; 3000057713 ; 3000057714</t>
  </si>
  <si>
    <t>SIBSQ26040069</t>
  </si>
  <si>
    <t>P007347 - Date 2026-03-16 Due Date 30-04-2026</t>
  </si>
  <si>
    <t>SIBSQ26040068</t>
  </si>
  <si>
    <t>RFQ HPJ PR 3000057596 ROBIN</t>
  </si>
  <si>
    <t>SIBSQ26040067</t>
  </si>
  <si>
    <t>REQ E-17/HI-03/II-26 STM</t>
  </si>
  <si>
    <t>SIBSQ26040066</t>
  </si>
  <si>
    <t>SIBSQ26040065</t>
  </si>
  <si>
    <t>P007347 - Date 2026-03-16 - Due Date 30-04-2026</t>
  </si>
  <si>
    <t>SIBSQ26040064</t>
  </si>
  <si>
    <t>SIBSQ26040063</t>
  </si>
  <si>
    <t>P004159 - Date 2026-03-17 - Due Date 01-05-2026</t>
  </si>
  <si>
    <t>SIBSQ26040062</t>
  </si>
  <si>
    <t>REQ URGENT FABR JMT (PERMINTAAN PAK SAPTONO)</t>
  </si>
  <si>
    <t>SIBSQ26040061</t>
  </si>
  <si>
    <t>PENAWARAN KENAIKAN HARGA</t>
  </si>
  <si>
    <t>PERMINTAAN HARGA EAS-CWS-REV</t>
  </si>
  <si>
    <t>SIBSQ26040060</t>
  </si>
  <si>
    <t>PENAWARAN HARGA PROYEK MAINCON KOTABARU</t>
  </si>
  <si>
    <t>RFQ MILL PT.MSAM2 &gt;&gt; 008/MSAM/LTRM</t>
  </si>
  <si>
    <t>REQ JB PLANT SBB TOOLS//COMPLETE</t>
  </si>
  <si>
    <t>6100004666 JB ENG TJG</t>
  </si>
  <si>
    <t>6000007287 DSP SEI 2 (POWER PLANT GROGOT)</t>
  </si>
  <si>
    <t>6100004698 JB PLANT SEI 2 STH012</t>
  </si>
  <si>
    <t>7000000695 PG</t>
  </si>
  <si>
    <t>6500002649 MV.HI 02 STM-OPS</t>
  </si>
  <si>
    <t>6100004392 DSP MOB PLANT (PAK BAYU) FULL PAYMENT</t>
  </si>
  <si>
    <t>Week</t>
  </si>
  <si>
    <t>SIBSQ26040220</t>
  </si>
  <si>
    <t>REQ JG Pak Syahrul By WA</t>
  </si>
  <si>
    <t>SIBSQ26040219</t>
  </si>
  <si>
    <t>6100004854 JML</t>
  </si>
  <si>
    <t>SIBSQ26040218</t>
  </si>
  <si>
    <t>6000007462 MS JMT DD 12/06/26</t>
  </si>
  <si>
    <t>SIBSQ26040217</t>
  </si>
  <si>
    <t>6500002767 OPS JMT DD 06/05/26</t>
  </si>
  <si>
    <t>SIBSQ26040216</t>
  </si>
  <si>
    <t>6000007541 FABR JMT 31/05/26</t>
  </si>
  <si>
    <t>SIBSQ26040215</t>
  </si>
  <si>
    <t>6100004840 JML</t>
  </si>
  <si>
    <t>SIBSQ26040214</t>
  </si>
  <si>
    <t>6500002691 MS JMT DD 12/06/26</t>
  </si>
  <si>
    <t>SIBSQ26040213</t>
  </si>
  <si>
    <t>6100004787 MS JMT DD 30/06/26</t>
  </si>
  <si>
    <t>SIBSQ26040212</t>
  </si>
  <si>
    <t>TANDON REQ JB</t>
  </si>
  <si>
    <t>SIBSQ26040211</t>
  </si>
  <si>
    <t>6100004821 FABR JMT DD 16/06/26</t>
  </si>
  <si>
    <t>SIBSQ26040210</t>
  </si>
  <si>
    <t>6000007508 FABR JMT DD 16/06/26</t>
  </si>
  <si>
    <t>SIBSQ26040209</t>
  </si>
  <si>
    <t>6100004691 DSP SEI 2</t>
  </si>
  <si>
    <t>SIBSQ26040208</t>
  </si>
  <si>
    <t>PERMINTAAN HARGA MSAM UPDATE</t>
  </si>
  <si>
    <t>SIBSQ26040207</t>
  </si>
  <si>
    <t>REQ 6000007462 MS JMT DD 12/06/26</t>
  </si>
  <si>
    <t>SIBSQ26040206</t>
  </si>
  <si>
    <t>SIBSQ26040205</t>
  </si>
  <si>
    <t>PRICELIST SAFETY BOOTS SIBIMA</t>
  </si>
  <si>
    <t>SIBSQ26040204</t>
  </si>
  <si>
    <t>6000007430 JB SEI 2</t>
  </si>
  <si>
    <t>SIBSQ26040203</t>
  </si>
  <si>
    <t>PT. DSP REFF BA TOP URGENT ( Permohonan Peminjaman Bahan Kimia)</t>
  </si>
  <si>
    <t>SIBSQ26040202</t>
  </si>
  <si>
    <t>SIBSQ26040201</t>
  </si>
  <si>
    <t>SIBSQ26040200</t>
  </si>
  <si>
    <t>6000007429 DSP SEI 2</t>
  </si>
  <si>
    <t>SIBSQ26040199</t>
  </si>
  <si>
    <t>RFQ. PT.JB SBB_HRGA (CIVIL) APR'26-SIBIMA</t>
  </si>
  <si>
    <t>SIBSQ26040198</t>
  </si>
  <si>
    <t>6800001505 JB SEI 2 PARTIAL PAYMENT DP 50% (UNIT SY3000E) (UNIT SY1650E)</t>
  </si>
  <si>
    <t>SIBSQ26040197</t>
  </si>
  <si>
    <t>6800001506 JB SBBN PARTIAL PAYMENT DP 50% (UNIT SY1650E)</t>
  </si>
  <si>
    <t>SIBSQ26040196</t>
  </si>
  <si>
    <t>6000005493 FABR JMT</t>
  </si>
  <si>
    <t>SIBSQ26040195</t>
  </si>
  <si>
    <t>BAND STEEL JAM</t>
  </si>
  <si>
    <t>SIBSQ26040194</t>
  </si>
  <si>
    <t>6000006810 DSP SEI 2 (BUNATI)</t>
  </si>
  <si>
    <t>SIBSQ26040193</t>
  </si>
  <si>
    <t>7000000722 KAM-2</t>
  </si>
  <si>
    <t>SIBSQ26040192</t>
  </si>
  <si>
    <t>6000007418 JB SEI 2</t>
  </si>
  <si>
    <t>SIBSQ26040191</t>
  </si>
  <si>
    <t>SIBSQ26040190</t>
  </si>
  <si>
    <t>REQ JG Pak Halim By WA</t>
  </si>
  <si>
    <t>SIBSQ26040189</t>
  </si>
  <si>
    <t>6000007411 JB SEI 2</t>
  </si>
  <si>
    <t>SIBSQ26040188</t>
  </si>
  <si>
    <t>P004136 - Date 2026-03-09 - Due Date 11-04-2026</t>
  </si>
  <si>
    <t>SIBSQ26040187</t>
  </si>
  <si>
    <t>6100004682 DSP SEI 2</t>
  </si>
  <si>
    <t>SIBSQ26040186</t>
  </si>
  <si>
    <t>RFQ PP-JMT-0005-II-2026 - MS</t>
  </si>
  <si>
    <t>SIBSQ26040185</t>
  </si>
  <si>
    <t>6500002676 MV. J003 OPS JMT-STM</t>
  </si>
  <si>
    <t>SIBSQ26040184</t>
  </si>
  <si>
    <t>6500002655 MV HI 03 OPS STM</t>
  </si>
  <si>
    <t>SIBSQ26040183</t>
  </si>
  <si>
    <t>6500002649 MV HI.02 OPS-STM</t>
  </si>
  <si>
    <t>SIBSQ26040182</t>
  </si>
  <si>
    <t>6100004656 DSP SEI 2 (SERONGGA)</t>
  </si>
  <si>
    <t>SIBSQ26040181</t>
  </si>
  <si>
    <t>6100004677 DSP SEI 2</t>
  </si>
  <si>
    <t>SIBSQ26040180</t>
  </si>
  <si>
    <t>6000006740 OPS JMT DD 13/05/26</t>
  </si>
  <si>
    <t>SIBSQ26040179</t>
  </si>
  <si>
    <t>SIBSQ26040178</t>
  </si>
  <si>
    <t>6200000246 JB SUNGAI 2 FULL PAYMENT</t>
  </si>
  <si>
    <t>SIBSQ26040177</t>
  </si>
  <si>
    <t>REQ JEK By WA Pak Tony</t>
  </si>
  <si>
    <t>SIBSQ26040175</t>
  </si>
  <si>
    <t>SIBSQ26040174</t>
  </si>
  <si>
    <t>RFQ PT.MSAM PR 4000000429</t>
  </si>
  <si>
    <t>SIBSQ26040173</t>
  </si>
  <si>
    <t>6500002554 OPS JMT DD 03/06/26</t>
  </si>
  <si>
    <t>SIBSQ26040172</t>
  </si>
  <si>
    <t>6100004647 DSP BOMBANA (SUPPLY KE BOMBENA) FULL PAYMENT</t>
  </si>
  <si>
    <t>SIBSQ26040171</t>
  </si>
  <si>
    <t>SIBSQ26040170</t>
  </si>
  <si>
    <t>6100004660 DSP SEI 2</t>
  </si>
  <si>
    <t>SIBSQ26040169</t>
  </si>
  <si>
    <t>REQ PLANT JB SUNGAI 2</t>
  </si>
  <si>
    <t>SIBSQ26040168</t>
  </si>
  <si>
    <t>6100004676 DSP POWER PLANT SEI 2</t>
  </si>
  <si>
    <t>SIBSQ26040167</t>
  </si>
  <si>
    <t>6000006977 DSP POWER PLANT KODECO</t>
  </si>
  <si>
    <t>SIBSQ26040166</t>
  </si>
  <si>
    <t>PROYEK PEKERJAAN KONSTRUKSI PREFAB BOGOR - JAWA BARAT</t>
  </si>
  <si>
    <t>SIBSQ26040165</t>
  </si>
  <si>
    <t>PROYEK PEKERJAAN KONSTRUKSI PREFAB LAHAT - SUMATERA SELATAN</t>
  </si>
  <si>
    <t>SIBSQ26040164</t>
  </si>
  <si>
    <t>PROYEK PEKERJAAN KONSTRUKSI PREFAB KAMPAR - SUMATERA UTARA</t>
  </si>
  <si>
    <t>SIBSQ26040163</t>
  </si>
  <si>
    <t>SIBSQ26040162</t>
  </si>
  <si>
    <t>PROYEK PEKERJAAN KONSTRUKSI PREFAB SIGALINGGING DAIRI - SUMATERA UTARA</t>
  </si>
  <si>
    <t>SIBSQ26040161</t>
  </si>
  <si>
    <t>PROYEK PEKERJAAN KONSTRUKSI PREFAB TAPANULI TENGAH - SUMATERA UTARA</t>
  </si>
  <si>
    <t>SIBSQ26040160</t>
  </si>
  <si>
    <t>6100004768 PLANT JB SITE TANJUNG</t>
  </si>
  <si>
    <t>SIBSQ26040159</t>
  </si>
  <si>
    <t>PROYEK PEKERJAAN KONSTRUKSI PREFAB TANAH KARO - SUMATERA UTARA</t>
  </si>
  <si>
    <t>SIBSQ26040158</t>
  </si>
  <si>
    <t>RFQ PT.MSAM PR 4100000356</t>
  </si>
  <si>
    <t>SIBSQ26040157</t>
  </si>
  <si>
    <t>6100004674 DSP SEI 2 (BUNATI)</t>
  </si>
  <si>
    <t>SIBSQ26040156</t>
  </si>
  <si>
    <t>PROYEK PEKERJAAN KONSTRUKSI PREFAB SIMALUNGUN - SUMATERA UTARA</t>
  </si>
  <si>
    <t>SIBSQ26040155</t>
  </si>
  <si>
    <t>3000057789 THM</t>
  </si>
  <si>
    <t>SIBSQ26040154</t>
  </si>
  <si>
    <t>PROYEK PEKERJAAN KONSTRUKSI PREFAB SERDANG PEDAGAI - SUMATERA UTARA</t>
  </si>
  <si>
    <t>SIBSQ26040153</t>
  </si>
  <si>
    <t>PROYEK PEKERJAAN KONSTRUKSI PREFAB PAKPAK - SUMATERA UTARA</t>
  </si>
  <si>
    <t>SIBSQ26040152</t>
  </si>
  <si>
    <t>PROYEK PEKERJAAN KONSTRUKSI PREFAB GARUT - JAWA BARAT</t>
  </si>
  <si>
    <t>SIBSQ26040151</t>
  </si>
  <si>
    <t>6100004783 PLANT JB SITE TANJUNG</t>
  </si>
  <si>
    <t>SIBSQ26040150</t>
  </si>
  <si>
    <t>6000007375 DSP SEI 2 (BIUNATI) SUPPLY SEI 2</t>
  </si>
  <si>
    <t>SIBSQ26040149</t>
  </si>
  <si>
    <t>PROYEK PEKERJAAN KONSTRUKSI PREFAB LAMPUNG TENGAH - SUMATERA</t>
  </si>
  <si>
    <t>SIBSQ26040148</t>
  </si>
  <si>
    <t>6000007367 DSP SEI 2</t>
  </si>
  <si>
    <t>SIBSQ26040147</t>
  </si>
  <si>
    <t>P00504 OPS EAB 01</t>
  </si>
  <si>
    <t>SIBSQ26040146</t>
  </si>
  <si>
    <t>P00506 OPS EAB 01</t>
  </si>
  <si>
    <t>SIBSQ26040145</t>
  </si>
  <si>
    <t>6100004726 JB SITE TANJUNG</t>
  </si>
  <si>
    <t>SIBSQ26040144</t>
  </si>
  <si>
    <t>6000007357 DSP SEI 2</t>
  </si>
  <si>
    <t>SIBSQ26040143</t>
  </si>
  <si>
    <t>6100004794 JB SITE TANJUNG DD 10/06/26</t>
  </si>
  <si>
    <t>SIBSQ26040142</t>
  </si>
  <si>
    <t>6000007492 JMT OPS DD 13/06/26</t>
  </si>
  <si>
    <t>SIBSQ26040141</t>
  </si>
  <si>
    <t>6100004813 JB SITE MANDALA DD 12/06/26</t>
  </si>
  <si>
    <t>SIBSQ26040140</t>
  </si>
  <si>
    <t>6100004812 JB SITE SIE 2 DD 12/06/26</t>
  </si>
  <si>
    <t>SIBSQ26040139</t>
  </si>
  <si>
    <t>6100004767 JB OPS SITE SEBAMBAN DD 11/06/26</t>
  </si>
  <si>
    <t>SIBSQ26040138</t>
  </si>
  <si>
    <t>6000007454 FUEL JML</t>
  </si>
  <si>
    <t>SIBSQ26040137</t>
  </si>
  <si>
    <t>REQ JB GA TJG URGENT//RIAN TONDA</t>
  </si>
  <si>
    <t>SIBSQ26040136</t>
  </si>
  <si>
    <t>6800001465 PLANT JB-JG//REVISI MASTER</t>
  </si>
  <si>
    <t>SIBSQ26040135</t>
  </si>
  <si>
    <t>6000007135 JB PLANT MDL//REVISI MASTER</t>
  </si>
  <si>
    <t>SIBSQ26040134</t>
  </si>
  <si>
    <t>7200000058 KAM-EAS</t>
  </si>
  <si>
    <t>SIBSQ26040133</t>
  </si>
  <si>
    <t>6000007127 JB PLANT SEI 2//REVISI MASTER</t>
  </si>
  <si>
    <t>SIBSQ26040132</t>
  </si>
  <si>
    <t>6800001378 JB INFRA SEI 2 (KEP. KM51)//REVISI MASTER</t>
  </si>
  <si>
    <t>SIBSQ26040131</t>
  </si>
  <si>
    <t>6100004159 JB INFRA SEI 2 (KEP. KALTIM)//REVISI MASTER</t>
  </si>
  <si>
    <t>SIBSQ26040130</t>
  </si>
  <si>
    <t>6000007125 JB PLANT SEI 2//REVISI MASTER</t>
  </si>
  <si>
    <t>SIBSQ26040129</t>
  </si>
  <si>
    <t>6000007020 JB PLANT TJG//REVISI MASTER</t>
  </si>
  <si>
    <t>SIBSQ26040128</t>
  </si>
  <si>
    <t>6000007117 JB PLANT SBB//GANTI MASTER</t>
  </si>
  <si>
    <t>SIBSQ26040127</t>
  </si>
  <si>
    <t>SIBSQ26040126</t>
  </si>
  <si>
    <t>6000007410 MV. J003 OPS GA JMT-STM</t>
  </si>
  <si>
    <t>SIBSQ26040125</t>
  </si>
  <si>
    <t>6000007419 MS JMT 11/06/26</t>
  </si>
  <si>
    <t>SIBSQ26040124</t>
  </si>
  <si>
    <t>6000007400 SHE JMT DD 11/06/26</t>
  </si>
  <si>
    <t>SIBSQ26040123</t>
  </si>
  <si>
    <t>6500002678 OPS JMT DD 11/06/26</t>
  </si>
  <si>
    <t>SIBSQ26040122</t>
  </si>
  <si>
    <t>REQ Bpk. Nuel By WA</t>
  </si>
  <si>
    <t>SIBSQ26040121</t>
  </si>
  <si>
    <t>SIBSQ26040120</t>
  </si>
  <si>
    <t>REQ -BBA BOMBANA</t>
  </si>
  <si>
    <t>SIBSQ26040119</t>
  </si>
  <si>
    <t>SIBSQ26040118</t>
  </si>
  <si>
    <t>SIBSQ26040117</t>
  </si>
  <si>
    <t>SIBSQ26040116</t>
  </si>
  <si>
    <t>REQ JB HSE TJG APRIL</t>
  </si>
  <si>
    <t>SIBSQ26040115</t>
  </si>
  <si>
    <t>PERMINTAAN PENAWARAN HARGA HPJ</t>
  </si>
  <si>
    <t>SIBSQ26040114</t>
  </si>
  <si>
    <t>SIBSQ26040113</t>
  </si>
  <si>
    <t>6000007369 DSP SEI 2 (BUNATI)</t>
  </si>
  <si>
    <t>SIBSQ26040112</t>
  </si>
  <si>
    <t>P004146 - Date 2026-03-13 - Due Date 27-04-2026</t>
  </si>
  <si>
    <t>SIBSQ26040111</t>
  </si>
  <si>
    <t>6200000225 DSP BOMBANA (SUPPLY BOMBANA)</t>
  </si>
  <si>
    <t>SIBSQ26040110</t>
  </si>
  <si>
    <t>6000007215 JB PLANT SEI 2</t>
  </si>
  <si>
    <t>SIBSQ26040109</t>
  </si>
  <si>
    <t>6000007251 JB PLANT MDL</t>
  </si>
  <si>
    <t>SIBSQ26040108</t>
  </si>
  <si>
    <t>6000007238 JB PLANT MDL</t>
  </si>
  <si>
    <t>SIBSQ26040107</t>
  </si>
  <si>
    <t>SIBSQ26040106</t>
  </si>
  <si>
    <t>6000007236 JB PLANT SEI 2</t>
  </si>
  <si>
    <t>SIBSQ26040105</t>
  </si>
  <si>
    <t>6800001453 JB INFRA SEI 2 (KEP. KM 51)</t>
  </si>
  <si>
    <t>SIBSQ26040104</t>
  </si>
  <si>
    <t>5001219855 HPJ // REFF SC AGRITAMA MULTISARANA</t>
  </si>
  <si>
    <t>SIBSQ26040103</t>
  </si>
  <si>
    <t>6200000233 // JG HO // DD 01/06/2026</t>
  </si>
  <si>
    <t>SIBSQ26040102</t>
  </si>
  <si>
    <t>RFQ MILL PT.MSAM2 &gt;&gt; 007/MSAM</t>
  </si>
  <si>
    <t>SIBSQ26040101</t>
  </si>
  <si>
    <t>7000000608 ; BIO - B2B (POUCH 1 LTR W3 MEI)</t>
  </si>
  <si>
    <t>SIBSQ26040100</t>
  </si>
  <si>
    <t>SIBSQ26040099</t>
  </si>
  <si>
    <t>P004178 - Date 2026-03-30 -Due Date 14-05-2026</t>
  </si>
  <si>
    <t>SIBSQ26040098</t>
  </si>
  <si>
    <t>6000007342 DSP SEI 2 (BATU AMPAR)</t>
  </si>
  <si>
    <t>SIBSQ26040097</t>
  </si>
  <si>
    <t>6500002586 MV HI 02 STM</t>
  </si>
  <si>
    <t>SIBSQ26040096</t>
  </si>
  <si>
    <t>6200000232 // KEPERLUAN IT RUMAH BANJAR (PRIVATE) // DD 01/06/2026</t>
  </si>
  <si>
    <t>SIBSQ26040095</t>
  </si>
  <si>
    <t>PERMINTAAN HARGA ACCU PG</t>
  </si>
  <si>
    <t>SIBSQ26040094</t>
  </si>
  <si>
    <t>SIBSQ26040093</t>
  </si>
  <si>
    <t>6000007405 JB PLANT SEI 2</t>
  </si>
  <si>
    <t>SIBSQ26040092</t>
  </si>
  <si>
    <t>6000007404 JB PLANT SEI 2</t>
  </si>
  <si>
    <t>SIBSQ26040091</t>
  </si>
  <si>
    <t>6000007408 JB PLANT SEI 2</t>
  </si>
  <si>
    <t>SIBSQ26040090</t>
  </si>
  <si>
    <t>JG MAINTANCE AC RUMAH BANJAR // 6100004577 // DD 01/06/2026</t>
  </si>
  <si>
    <t>REQ E-30/HI-03/III-26 STM</t>
  </si>
  <si>
    <t>SIBSQ26040176</t>
  </si>
  <si>
    <t>6500002672 OPS JMT</t>
  </si>
  <si>
    <t>6100004769 MS JMT DD 12/06/26</t>
  </si>
  <si>
    <t>5001219749 HPJ // FULL PAYMENT</t>
  </si>
  <si>
    <t>REQ JB PLANT TJG UPDATE 1</t>
  </si>
  <si>
    <t>7000000598 KAM-1 // REFF SC AGRITAMA MULTI SARANA</t>
  </si>
  <si>
    <t>6500002689 MV. J002 JMT-STM</t>
  </si>
  <si>
    <t>6100004593 // JG HO // DD 01/06/2026</t>
  </si>
  <si>
    <t>RB_XXVI-00.03 // JG // 6100004588</t>
  </si>
  <si>
    <t>6100004810 GA JMT DD 30/06/26</t>
  </si>
  <si>
    <t>FPB JG GUNUNG PULAU // 6100004443 // DD 26/05/2026</t>
  </si>
  <si>
    <t>6500002641 MV. J001 OPS JMT-STM</t>
  </si>
  <si>
    <t>SIBSQ26040258</t>
  </si>
  <si>
    <t>7000000734 MSAM</t>
  </si>
  <si>
    <t>SIBSQ26040257</t>
  </si>
  <si>
    <t>P00067 // BKPL // DD 14-Jun-26</t>
  </si>
  <si>
    <t>SIBSQ26040256</t>
  </si>
  <si>
    <t>7000000737 MSAM</t>
  </si>
  <si>
    <t>SIBSQ26040255</t>
  </si>
  <si>
    <t>PENAWRAN HARGA KEBUTUHAN ATK</t>
  </si>
  <si>
    <t>SIBSQ26040254</t>
  </si>
  <si>
    <t>6100004689 DSP PP GROGOT (PRANCO GROGOT)</t>
  </si>
  <si>
    <t>SIBSQ26040253</t>
  </si>
  <si>
    <t>6000006629 JB SBBN URGENT</t>
  </si>
  <si>
    <t>SIBSQ26040252</t>
  </si>
  <si>
    <t>REQ JB SEI 2</t>
  </si>
  <si>
    <t>SIBSQ26040251</t>
  </si>
  <si>
    <t>7000000728 MSAM // REFF SC BANJAR BEARING</t>
  </si>
  <si>
    <t>SIBSQ26040250</t>
  </si>
  <si>
    <t>5001219749 HPJ ; DOP 4INCH</t>
  </si>
  <si>
    <t>SIBSQ26040249</t>
  </si>
  <si>
    <t>SIBSQ26040248</t>
  </si>
  <si>
    <t>7000000756 MSAM</t>
  </si>
  <si>
    <t>SIBSQ26040247</t>
  </si>
  <si>
    <t>6100004231 PLANT JB SEI 2</t>
  </si>
  <si>
    <t>SIBSQ26040246</t>
  </si>
  <si>
    <t>SIBSQ26040245</t>
  </si>
  <si>
    <t>SIBSQ26040244</t>
  </si>
  <si>
    <t>RFQ PP-STM-0009-II-2026</t>
  </si>
  <si>
    <t>SIBSQ26040243</t>
  </si>
  <si>
    <t>REQ JML (PAK JANUAR)</t>
  </si>
  <si>
    <t>SIBSQ26040242</t>
  </si>
  <si>
    <t>6000007342 DSP SEI 2 (BATU AMPAR) DD 15/05/2026</t>
  </si>
  <si>
    <t>SIBSQ26040241</t>
  </si>
  <si>
    <t>SIBSQ26040240</t>
  </si>
  <si>
    <t>6000006630 OPS</t>
  </si>
  <si>
    <t>SIBSQ26040239</t>
  </si>
  <si>
    <t>7100000495 PG // FULL PAYMENT</t>
  </si>
  <si>
    <t>SIBSQ26040238</t>
  </si>
  <si>
    <t>6100004318 BM JMT DD 6100004318</t>
  </si>
  <si>
    <t>SIBSQ26040237</t>
  </si>
  <si>
    <t>Permintaan Penawaran Harga JMT BM MATERIAL ACS - sibima</t>
  </si>
  <si>
    <t>SIBSQ26040236</t>
  </si>
  <si>
    <t>6000007610 MS JMT DD 17/06/26</t>
  </si>
  <si>
    <t>SIBSQ26040235</t>
  </si>
  <si>
    <t>6000007603 OPS JMT DD 17/06/26</t>
  </si>
  <si>
    <t>SIBSQ26040231</t>
  </si>
  <si>
    <t>SIBSQ26040234</t>
  </si>
  <si>
    <t>SIBSQ26040233</t>
  </si>
  <si>
    <t>7200000062 JAR 2 (22) ; FULL PAYMENT</t>
  </si>
  <si>
    <t>SIBSQ26040232</t>
  </si>
  <si>
    <t>6100004692 DSP SEI 2</t>
  </si>
  <si>
    <t>SIBSQ26040230</t>
  </si>
  <si>
    <t>7000000750 PG</t>
  </si>
  <si>
    <t>SIBSQ26040229</t>
  </si>
  <si>
    <t>7000000715 MSAM</t>
  </si>
  <si>
    <t>SIBSQ26040228</t>
  </si>
  <si>
    <t>6100004835 // JG HO // DD 16.06.2026</t>
  </si>
  <si>
    <t>SIBSQ26040227</t>
  </si>
  <si>
    <t>7000000714 MSAM // REFF SC AKL</t>
  </si>
  <si>
    <t>SIBSQ26040226</t>
  </si>
  <si>
    <t>6500002655 MV HI 03 STM</t>
  </si>
  <si>
    <t>SIBSQ26040225</t>
  </si>
  <si>
    <t>SIBSQ26040224</t>
  </si>
  <si>
    <t>6100004696 DSP SEI 2 (BUNATI)</t>
  </si>
  <si>
    <t>SIBSQ26040223</t>
  </si>
  <si>
    <t>6100004710 // JG HEAD OFFICE // DD 09.06.2026</t>
  </si>
  <si>
    <t>SIBSQ26040222</t>
  </si>
  <si>
    <t>6100004672 FABR JMT DD 05/06/26</t>
  </si>
  <si>
    <t>SIBSQ26040221</t>
  </si>
  <si>
    <t>6100004849 JML</t>
  </si>
  <si>
    <t>P004146 - Date 2026-03-13 Due Date 27-04-2026</t>
  </si>
  <si>
    <t>7200000060 MSAM</t>
  </si>
  <si>
    <t>3000057712 ; 5001219927 HPJ</t>
  </si>
  <si>
    <t>7000000751 PG</t>
  </si>
  <si>
    <t>6100004864 JML</t>
  </si>
  <si>
    <t>7000000753 PG</t>
  </si>
  <si>
    <t>7100000488 MSAM</t>
  </si>
  <si>
    <t>7000000755 MSAM</t>
  </si>
  <si>
    <t>7000000486 PG</t>
  </si>
  <si>
    <t>SIBSQ26040306</t>
  </si>
  <si>
    <t>6000007690 JB HSE SEI 2</t>
  </si>
  <si>
    <t>SIBSQ26040305</t>
  </si>
  <si>
    <t>6000007678 MV.J001 JMT-STM</t>
  </si>
  <si>
    <t>SIBSQ26040304</t>
  </si>
  <si>
    <t>6000007668 OPS JMT DD 18/06/26</t>
  </si>
  <si>
    <t>SIBSQ26040303</t>
  </si>
  <si>
    <t>6000007646 FABR JMT (SUPPLY PATRIA-BJM) DD 18/06/26</t>
  </si>
  <si>
    <t>RFQ PT.MSAM PR 4000000427</t>
  </si>
  <si>
    <t>SIBSQ26040302</t>
  </si>
  <si>
    <t>REQ DSP SEI 2 TOP URGENT KEP.WANAM</t>
  </si>
  <si>
    <t>SIBSQ26040301</t>
  </si>
  <si>
    <t>6000007759 PLANT JB TANJUNG</t>
  </si>
  <si>
    <t>SIBSQ26040300</t>
  </si>
  <si>
    <t>6000007777 PLANT JB TANJUNG</t>
  </si>
  <si>
    <t>SIBSQ26040299</t>
  </si>
  <si>
    <t>6100004760 PLANT JB TANJUNG</t>
  </si>
  <si>
    <t>SIBSQ26040298</t>
  </si>
  <si>
    <t>6100004724 DSP PP KODECO</t>
  </si>
  <si>
    <t>SIBSQ26040297</t>
  </si>
  <si>
    <t>6100004819 PLANT JB TANJUNG</t>
  </si>
  <si>
    <t>SIBSQ26040296</t>
  </si>
  <si>
    <t>6000007552 JB SBBN</t>
  </si>
  <si>
    <t>SIBSQ26040295</t>
  </si>
  <si>
    <t>6000005531 FABR JMT</t>
  </si>
  <si>
    <t>SIBSQ26040294</t>
  </si>
  <si>
    <t>SIBSQ26040293</t>
  </si>
  <si>
    <t>REQ DSP PRANCO BATULICIN, KEP WANAM</t>
  </si>
  <si>
    <t>SIBSQ26040292</t>
  </si>
  <si>
    <t>SIBSQ26040291</t>
  </si>
  <si>
    <t>6000007479 DSP SEI 2 (GROGOT)</t>
  </si>
  <si>
    <t>SIBSQ26040290</t>
  </si>
  <si>
    <t>6000005476 FABR JMT DD 26/04/26</t>
  </si>
  <si>
    <t>SIBSQ26040289</t>
  </si>
  <si>
    <t>6000007596 JB SUNGAI 2</t>
  </si>
  <si>
    <t>SIBSQ26040288</t>
  </si>
  <si>
    <t>6100004882 JB SITE SBBN</t>
  </si>
  <si>
    <t>SIBSQ26040287</t>
  </si>
  <si>
    <t>6000007447 DSP SEI 2 (TERUM SETANGGA)</t>
  </si>
  <si>
    <t>SIBSQ26040286</t>
  </si>
  <si>
    <t>6000007451 DSP SEI 2</t>
  </si>
  <si>
    <t>SIBSQ26040285</t>
  </si>
  <si>
    <t>6000007631 JB SUNGAI 2</t>
  </si>
  <si>
    <t>SIBSQ26040284</t>
  </si>
  <si>
    <t>6000007446 DSP SEI 2</t>
  </si>
  <si>
    <t>SIBSQ26040283</t>
  </si>
  <si>
    <t>6000007458 DSP SEI 2 DD 10/06/2026</t>
  </si>
  <si>
    <t>SIBSQ26040282</t>
  </si>
  <si>
    <t>RFQ PT.MSAM PR 4100000132</t>
  </si>
  <si>
    <t>SIBSQ26040281</t>
  </si>
  <si>
    <t>HARGA UPDATE REVISI PO 6100004731 JB</t>
  </si>
  <si>
    <t>SIBSQ26040280</t>
  </si>
  <si>
    <t>6000007471 DSP SEI 2 (TERUM SETANGGA) DD 10/06/2026</t>
  </si>
  <si>
    <t>SIBSQ26040279</t>
  </si>
  <si>
    <t>RFQ PT.MSAM PR 4100000339</t>
  </si>
  <si>
    <t>SIBSQ26040278</t>
  </si>
  <si>
    <t>6000007111 DSP SEI 2</t>
  </si>
  <si>
    <t>SIBSQ26040277</t>
  </si>
  <si>
    <t>6000007232 DSP SEI 2 (BUNATI)</t>
  </si>
  <si>
    <t>SIBSQ26040276</t>
  </si>
  <si>
    <t>6000007462 MS JMT</t>
  </si>
  <si>
    <t>SIBSQ26040275</t>
  </si>
  <si>
    <t>SIBSQ26040274</t>
  </si>
  <si>
    <t>6100004674 DSP SEI 2 DD 15/05/2026</t>
  </si>
  <si>
    <t>SIBSQ26040273</t>
  </si>
  <si>
    <t>6100004436 DSP SEI 2 (BUNATI) DD 20/04/2026</t>
  </si>
  <si>
    <t>SIBSQ26040272</t>
  </si>
  <si>
    <t>6100004513 DSP SEI 2 (BUNATI)</t>
  </si>
  <si>
    <t>SIBSQ26040271</t>
  </si>
  <si>
    <t>6100004638 DSP SEI 2 (BATU AMPAR)</t>
  </si>
  <si>
    <t>SIBSQ26040270</t>
  </si>
  <si>
    <t>6000007172 DSP SEI 2 (SERONGGA) DD 25/05/2026</t>
  </si>
  <si>
    <t>SIBSQ26040269</t>
  </si>
  <si>
    <t>RFQ 001-310326 JA</t>
  </si>
  <si>
    <t>SIBSQ26040268</t>
  </si>
  <si>
    <t>6100004661 // JG HO // DD 04.06.2026</t>
  </si>
  <si>
    <t>SIBSQ26040267</t>
  </si>
  <si>
    <t>REQ D-01-HI02-I-26 STM</t>
  </si>
  <si>
    <t>SIBSQ26040266</t>
  </si>
  <si>
    <t>REQ PENAWARAN JML (BU EVA)</t>
  </si>
  <si>
    <t>SIBSQ26040265</t>
  </si>
  <si>
    <t>Permintaan Penawaran Harga JMT BM - SIbima</t>
  </si>
  <si>
    <t>SIBSQ26040264</t>
  </si>
  <si>
    <t>PAG - RFQ KARUNG GULA LOGO + LINER PLASTIK DALAM</t>
  </si>
  <si>
    <t>SIBSQ26040263</t>
  </si>
  <si>
    <t>P004192 Date 2026-04-07 - Due Date 10-05-2026</t>
  </si>
  <si>
    <t>SIBSQ26040262</t>
  </si>
  <si>
    <t>7000000757 MSAM</t>
  </si>
  <si>
    <t>SIBSQ26040261</t>
  </si>
  <si>
    <t>6800001450 JB SBBN DP 50%</t>
  </si>
  <si>
    <t>SIBSQ26040260</t>
  </si>
  <si>
    <t>SIBSQ26040259</t>
  </si>
  <si>
    <t>FPB REQ JG GARDEN</t>
  </si>
  <si>
    <t>FPB REQ JG</t>
  </si>
  <si>
    <t>7100000504 MSAM // REFF SC AGRINDO</t>
  </si>
  <si>
    <t>PENAWRAN HARGA  PROYEK MAINCON BOGOR</t>
  </si>
  <si>
    <t>6500002799 MV HI 03 STM</t>
  </si>
  <si>
    <t>6100004907 JB HSE SEI 2</t>
  </si>
  <si>
    <t>SIBSQ26050001</t>
  </si>
  <si>
    <t>P007357 - Date 13-04-2026 - Due Date 16-05-2026</t>
  </si>
  <si>
    <t>SIBSQ26040532</t>
  </si>
  <si>
    <t>RFQ PR 3500010357 JMT</t>
  </si>
  <si>
    <t>SIBSQ26040531</t>
  </si>
  <si>
    <t>6100004944 DSP PP SEI 2</t>
  </si>
  <si>
    <t>SIBSQ26040530</t>
  </si>
  <si>
    <t>FW: RFQ PR 3100005170 JMT</t>
  </si>
  <si>
    <t>SIBSQ26040529</t>
  </si>
  <si>
    <t>FW: RFQ PR 3100005188 JMT</t>
  </si>
  <si>
    <t>SIBSQ26040528</t>
  </si>
  <si>
    <t>6000007896 DSP POWER PLANT KODECO</t>
  </si>
  <si>
    <t>SIBSQ26040527</t>
  </si>
  <si>
    <t>SIBSQ26040526</t>
  </si>
  <si>
    <t>6000007895 POWER PLANT DSP SEI 2</t>
  </si>
  <si>
    <t>SIBSQ26040525</t>
  </si>
  <si>
    <t>5001219983 HPJ</t>
  </si>
  <si>
    <t>SIBSQ26040524</t>
  </si>
  <si>
    <t>7200000079 KAM-1</t>
  </si>
  <si>
    <t>SIBSQ26040523</t>
  </si>
  <si>
    <t>7100000611 KAM-1</t>
  </si>
  <si>
    <t>SIBSQ26040522</t>
  </si>
  <si>
    <t>71000000587 KAM-1</t>
  </si>
  <si>
    <t>SIBSQ26040521</t>
  </si>
  <si>
    <t>RFQ KAM2-PP-KAM-0016-III-2026</t>
  </si>
  <si>
    <t>SIBSQ26040520</t>
  </si>
  <si>
    <t>6100005037 JB INFRA SEI 2 (KALTIM)</t>
  </si>
  <si>
    <t>SIBSQ26040519</t>
  </si>
  <si>
    <t>6100005109 JB INFRA SEI 2 (KM.51)</t>
  </si>
  <si>
    <t>SIBSQ26040518</t>
  </si>
  <si>
    <t>SIBSQ26040517</t>
  </si>
  <si>
    <t>7000000849 KAM-2</t>
  </si>
  <si>
    <t>SIBSQ26040516</t>
  </si>
  <si>
    <t>SIBSQ26040515</t>
  </si>
  <si>
    <t>6800001456 JB INFRA SEI 2 (KM.51)</t>
  </si>
  <si>
    <t>SIBSQ26040514</t>
  </si>
  <si>
    <t>7000000789 KAM-2</t>
  </si>
  <si>
    <t>SIBSQ26040513</t>
  </si>
  <si>
    <t>REQ GA JMT</t>
  </si>
  <si>
    <t>SIBSQ26040512</t>
  </si>
  <si>
    <t>6100005199 DSP SEI 2(TERUM SETANGGA) SUDAH SUPPLY</t>
  </si>
  <si>
    <t>SIBSQ26040511</t>
  </si>
  <si>
    <t>SIBSQ26040510</t>
  </si>
  <si>
    <t>6000007926 JMT KODECO</t>
  </si>
  <si>
    <t>SIBSQ26040509</t>
  </si>
  <si>
    <t>P007390 JBM - Date 23-04-2026 - Due Date 02-06-2026</t>
  </si>
  <si>
    <t>SIBSQ26040508</t>
  </si>
  <si>
    <t>6100004824 FABR JMT DD 16/06/26</t>
  </si>
  <si>
    <t>SIBSQ26040507</t>
  </si>
  <si>
    <t>PENAWRAN HARGA FREON AC R134A PT JAGAT JAYA SUKSES</t>
  </si>
  <si>
    <t>SIBSQ26040506</t>
  </si>
  <si>
    <t>SIBSQ26040505</t>
  </si>
  <si>
    <t>REQ JB PITA SURVEY</t>
  </si>
  <si>
    <t>SIBSQ26040504</t>
  </si>
  <si>
    <t>REVISI MASTER 6100004488 // SIBSQ26020044 // SIBSO26030252</t>
  </si>
  <si>
    <t>SIBSQ26040503</t>
  </si>
  <si>
    <t>6100004689 DSP PP GROGOT (PRANCO GROGOT) DD 15/05/2026</t>
  </si>
  <si>
    <t>SIBSQ26040502</t>
  </si>
  <si>
    <t>7000000808 KAM-2</t>
  </si>
  <si>
    <t>SIBSQ26040501</t>
  </si>
  <si>
    <t>PT. BATULICIN BETON ASPHALT</t>
  </si>
  <si>
    <t>REVISI MASTER P007827 //  SIBSO26040256 // SIBPR26040400</t>
  </si>
  <si>
    <t>SIBSQ26040500</t>
  </si>
  <si>
    <t>6100004647 DSP BOMBANA (SUPPLY KE BOMBENA) FULL PAYMENT || SO ULANG</t>
  </si>
  <si>
    <t>SIBSQ26040499</t>
  </si>
  <si>
    <t>7000000843 ; JAR MILL (37)</t>
  </si>
  <si>
    <t>SIBSQ26040498</t>
  </si>
  <si>
    <t>REQ OPS JMT SQ-25112509</t>
  </si>
  <si>
    <t>SIBSQ26040497</t>
  </si>
  <si>
    <t>PENAWARAN HARGA LAPTOP PT. JAGAT JAYA SENTOSA</t>
  </si>
  <si>
    <t>SIBSQ26040496</t>
  </si>
  <si>
    <t>SIBSQ26040495</t>
  </si>
  <si>
    <t>6100004657 JB INFRA SEI 2 (KALTIM)</t>
  </si>
  <si>
    <t>SIBSQ26040494</t>
  </si>
  <si>
    <t>FPB JG 2026-JG-GS-V-002</t>
  </si>
  <si>
    <t>SIBSQ26040493</t>
  </si>
  <si>
    <t>REQ JML (PAK REZA)</t>
  </si>
  <si>
    <t>SIBSQ26040492</t>
  </si>
  <si>
    <t>6000007899 OPS JMT DD 27/06/26</t>
  </si>
  <si>
    <t>SIBSQ26040491</t>
  </si>
  <si>
    <t>PERMINTAAN BARANG PT.KAM-10 APRIL 2026</t>
  </si>
  <si>
    <t>SIBSQ26040490</t>
  </si>
  <si>
    <t>REQ STORAGE TANK WP003 DSP SITE SEI DUA</t>
  </si>
  <si>
    <t>SIBSQ26040489</t>
  </si>
  <si>
    <t>7000000794 MSAM</t>
  </si>
  <si>
    <t>SIBSQ26040488</t>
  </si>
  <si>
    <t>7000000838 ; JAR MILL (37)</t>
  </si>
  <si>
    <t>SIBSQ26040487</t>
  </si>
  <si>
    <t>7000000864 MSAM</t>
  </si>
  <si>
    <t>SIBSQ26040486</t>
  </si>
  <si>
    <t>7000000807 ; JAR MILL (37)</t>
  </si>
  <si>
    <t>SIBSQ26040485</t>
  </si>
  <si>
    <t>6100005219 JB SBB</t>
  </si>
  <si>
    <t>SIBSQ26040484</t>
  </si>
  <si>
    <t>6100004980 DSP SITE WANAM</t>
  </si>
  <si>
    <t>SIBSQ26040483</t>
  </si>
  <si>
    <t>REQ JB SEI 2//TOOLS PLUMBING</t>
  </si>
  <si>
    <t>SIBSQ26040482</t>
  </si>
  <si>
    <t>6100005217 GA JMT DD 30/06/26</t>
  </si>
  <si>
    <t>SIBSQ26040481</t>
  </si>
  <si>
    <t>7000000791 KAM-2</t>
  </si>
  <si>
    <t>SIBSQ26040480</t>
  </si>
  <si>
    <t>SIBSQ26040479</t>
  </si>
  <si>
    <t>SIBSQ26040478</t>
  </si>
  <si>
    <t>7000000790 KAM-2</t>
  </si>
  <si>
    <t>SIBSQ26040477</t>
  </si>
  <si>
    <t>6100004712 DSP FIXED PLANT BUNATI</t>
  </si>
  <si>
    <t>SIBSQ26040476</t>
  </si>
  <si>
    <t>6100005021 FABR JMT DD 15/05/26 (FULLPAYMENT)</t>
  </si>
  <si>
    <t>SIBSQ26040475</t>
  </si>
  <si>
    <t>SIBSQ26040474</t>
  </si>
  <si>
    <t>7000000586 ; BIO - B2B ; JUNI</t>
  </si>
  <si>
    <t>SIBSQ26040473</t>
  </si>
  <si>
    <t>REQ PLANT JB-JG</t>
  </si>
  <si>
    <t>SIBSQ26040472</t>
  </si>
  <si>
    <t>REVISI HARGA PO JMT</t>
  </si>
  <si>
    <t>SIBSQ26040471</t>
  </si>
  <si>
    <t>REQ OPS JMT (PIC PAK HENDRY)</t>
  </si>
  <si>
    <t>SIBSQ26040470</t>
  </si>
  <si>
    <t>6000007914 OPS JMT DD 27/06/26</t>
  </si>
  <si>
    <t>SIBSQ26040469</t>
  </si>
  <si>
    <t>6000007824 DSP TERSUS BATU AMPAR &amp; BCMP</t>
  </si>
  <si>
    <t>SIBSQ26040468</t>
  </si>
  <si>
    <t>6000007893 DSP PP KODECO</t>
  </si>
  <si>
    <t>SIBSQ26040467</t>
  </si>
  <si>
    <t>6000007888 DSP FP DEI 2</t>
  </si>
  <si>
    <t>SIBSQ26040466</t>
  </si>
  <si>
    <t>PENGERJAAN PROYEK PREFAB YTP TUULUNG AGUNG</t>
  </si>
  <si>
    <t>SIBSQ26040465</t>
  </si>
  <si>
    <t>SIBSQ26040464</t>
  </si>
  <si>
    <t>6000007682 DSP PP 2X5MW GROGOT</t>
  </si>
  <si>
    <t>SIBSQ26040463</t>
  </si>
  <si>
    <t>7000000806 ; JAR MILL (37)</t>
  </si>
  <si>
    <t>SIBSQ26040462</t>
  </si>
  <si>
    <t>7200000065 EAS-CWS // GANTI MASTER</t>
  </si>
  <si>
    <t>SIBSQ26040461</t>
  </si>
  <si>
    <t>6000007861 DSP FP TERUM PARIA</t>
  </si>
  <si>
    <t>SIBSQ26040460</t>
  </si>
  <si>
    <t>P004197 Date 2026-04-10 - Due Date 10-09-2026 PAG</t>
  </si>
  <si>
    <t>SIBSQ26040459</t>
  </si>
  <si>
    <t>6100005140 DSP TOOLS, PLANT SEI 2</t>
  </si>
  <si>
    <t>SIBSQ26040458</t>
  </si>
  <si>
    <t>6100005118 DSP PLANT SEI 2</t>
  </si>
  <si>
    <t>SIBSQ26040457</t>
  </si>
  <si>
    <t>7000000800 ; JAR MILL (37)</t>
  </si>
  <si>
    <t>SIBSQ26040456</t>
  </si>
  <si>
    <t>6100004848 // JG HO // DD 16.06.2026</t>
  </si>
  <si>
    <t>SIBSQ26040455</t>
  </si>
  <si>
    <t>6100004986 DSP PORT SEI 2</t>
  </si>
  <si>
    <t>SIBSQ26040454</t>
  </si>
  <si>
    <t>REQ JB INFRA SEI 2</t>
  </si>
  <si>
    <t>SIBSQ26040453</t>
  </si>
  <si>
    <t>7200000076 ; JAR 1 (37)</t>
  </si>
  <si>
    <t>SIBSQ26040452</t>
  </si>
  <si>
    <t>PERMINTAAN PENAWARAN OC // IMAM GA BOS GROUP</t>
  </si>
  <si>
    <t>SIBSQ26040451</t>
  </si>
  <si>
    <t>REQ DSP BOMBANA SUPPLY KE BOMBANA</t>
  </si>
  <si>
    <t>SIBSQ26040450</t>
  </si>
  <si>
    <t>7000000386 MSAM // SQ PENGGANTI</t>
  </si>
  <si>
    <t>SIBSQ26040449</t>
  </si>
  <si>
    <t>6000007212 DSP BATU AMPAR</t>
  </si>
  <si>
    <t>SIBSQ26040448</t>
  </si>
  <si>
    <t>JB PLANT SEI 2 URGENT</t>
  </si>
  <si>
    <t>SIBSQ26040447</t>
  </si>
  <si>
    <t>RFQ. PT.JG_JSS (ELEC. MAKO LAMA)</t>
  </si>
  <si>
    <t>SIBSQ26040446</t>
  </si>
  <si>
    <t>7000000793 KAM-1</t>
  </si>
  <si>
    <t>SIBSQ26040445</t>
  </si>
  <si>
    <t>7000000830 KAM-1</t>
  </si>
  <si>
    <t>SIBSQ26040444</t>
  </si>
  <si>
    <t>6000006037 JB HSE SBB//PR ULANG</t>
  </si>
  <si>
    <t>SIBSQ26040443</t>
  </si>
  <si>
    <t>7000000801 KAM-1</t>
  </si>
  <si>
    <t>SIBSQ26040442</t>
  </si>
  <si>
    <t>6800001164 JB INFRA SEI 2 (KEP. KM 51)//PR ULANG</t>
  </si>
  <si>
    <t>SIBSQ26040441</t>
  </si>
  <si>
    <t>7000000814 KAM-1</t>
  </si>
  <si>
    <t>SIBSQ26040440</t>
  </si>
  <si>
    <t>6100003775 JB INFRA SEI 2(KEP. KALTIM)//PR ULANG</t>
  </si>
  <si>
    <t>SIBSQ26040439</t>
  </si>
  <si>
    <t>7000000826 KAM-1</t>
  </si>
  <si>
    <t>SIBSQ26040438</t>
  </si>
  <si>
    <t>6000005427 JB PLANT SEI 2//PR ULANG</t>
  </si>
  <si>
    <t>SIBSQ26040437</t>
  </si>
  <si>
    <t>6800001093 JB-JG//PR ULANG</t>
  </si>
  <si>
    <t>SIBSQ26040436</t>
  </si>
  <si>
    <t>6100004714 DSP SEI 2 (BUNATI) FULL PAYMENT</t>
  </si>
  <si>
    <t>SIBSQ26040435</t>
  </si>
  <si>
    <t>7000000802 MSAM</t>
  </si>
  <si>
    <t>SIBSQ26040434</t>
  </si>
  <si>
    <t>7100000552 MSAM</t>
  </si>
  <si>
    <t>SIBSQ26040433</t>
  </si>
  <si>
    <t>7000000809 KAM-3 // REFF SC PALMINDO</t>
  </si>
  <si>
    <t>SIBSQ26040432</t>
  </si>
  <si>
    <t>6800001394 JB-JG//REVISI GANTI MEREK</t>
  </si>
  <si>
    <t>SIBSQ26040431</t>
  </si>
  <si>
    <t>7000000810 KAM-3</t>
  </si>
  <si>
    <t>SIBSQ26040430</t>
  </si>
  <si>
    <t>7000000827 MSAM</t>
  </si>
  <si>
    <t>SIBSQ26040429</t>
  </si>
  <si>
    <t>Iwan Hendrawan</t>
  </si>
  <si>
    <t>PO.OKG.2026.IV.00134 FORM NCR</t>
  </si>
  <si>
    <t>SIBSQ26040428</t>
  </si>
  <si>
    <t>6500002820 OPS JMT DD 24/06/26</t>
  </si>
  <si>
    <t>SIBSQ26040427</t>
  </si>
  <si>
    <t>OCPO.26040099 // KEPERLUAN FIBER-RETAIL</t>
  </si>
  <si>
    <t>SIBSQ26040426</t>
  </si>
  <si>
    <t>6100004504 DSP SEI 2 (GROGOT)</t>
  </si>
  <si>
    <t>7000000832 MSAM</t>
  </si>
  <si>
    <t>SIBSQ26040425</t>
  </si>
  <si>
    <t>SIBSQ26040424</t>
  </si>
  <si>
    <t>6500002828 OPS JMT MV JHONLIN 001 DD 24/06/26</t>
  </si>
  <si>
    <t>SIBSQ26040423</t>
  </si>
  <si>
    <t>6500002823 GA JMT DD 23/06/26</t>
  </si>
  <si>
    <t>SIBSQ26040422</t>
  </si>
  <si>
    <t>6100005007 GA JMT DD 23/06/26</t>
  </si>
  <si>
    <t>SIBSQ26040421</t>
  </si>
  <si>
    <t>6100005053 JB PLANT SEI 2</t>
  </si>
  <si>
    <t>SIBSQ26040420</t>
  </si>
  <si>
    <t>6100004264 BM JMT DD 24/04/26</t>
  </si>
  <si>
    <t>SIBSQ26040419</t>
  </si>
  <si>
    <t>E-30/RF/JL002/IV-26 JMT-STM</t>
  </si>
  <si>
    <t>SIBSQ26040418</t>
  </si>
  <si>
    <t>REQ JG DEPT GARDEN</t>
  </si>
  <si>
    <t>SIBSQ26040417</t>
  </si>
  <si>
    <t>7000000798 ; JAR MILL (37)</t>
  </si>
  <si>
    <t>SIBSQ26040416</t>
  </si>
  <si>
    <t>REQ DSP SEI 2  PAK AGAN</t>
  </si>
  <si>
    <t>3 Hari</t>
  </si>
  <si>
    <t>SIBSQ26040415</t>
  </si>
  <si>
    <t>6000007894 OPS JMT DD 26/06/26</t>
  </si>
  <si>
    <t>SIBSQ26040414</t>
  </si>
  <si>
    <t>P007830 // BBA //  01-06-2026</t>
  </si>
  <si>
    <t>SIBSQ26040413</t>
  </si>
  <si>
    <t>REVISI HARGA UPDATE</t>
  </si>
  <si>
    <t>SIBSQ26040412</t>
  </si>
  <si>
    <t>SIBSQ26040411</t>
  </si>
  <si>
    <t>REVISI MASTER UNTUK PO P007827 // SIBSQ26040076 // SIBSO26040256</t>
  </si>
  <si>
    <t>SIBSQ26040410</t>
  </si>
  <si>
    <t>6100005018 GA JML</t>
  </si>
  <si>
    <t>SIBSQ26040409</t>
  </si>
  <si>
    <t>FILTER REQ BAA</t>
  </si>
  <si>
    <t>SIBSQ26040408</t>
  </si>
  <si>
    <t>6000007879 OPS JMT DD 26/06/26</t>
  </si>
  <si>
    <t>SIBSQ26040407</t>
  </si>
  <si>
    <t>Permintaan Penawaran Harga JMT BM - Sibima</t>
  </si>
  <si>
    <t>SIBSQ26040406</t>
  </si>
  <si>
    <t>5001219984 THM</t>
  </si>
  <si>
    <t>SIBSQ26040405</t>
  </si>
  <si>
    <t>6000007825 PLANT JML</t>
  </si>
  <si>
    <t>SIBSQ26040404</t>
  </si>
  <si>
    <t>SIBSQ26040403</t>
  </si>
  <si>
    <t>6000007216 DSP BUNATI</t>
  </si>
  <si>
    <t>SIBSQ26040402</t>
  </si>
  <si>
    <t>PENAWRAN HARGA KEBUTUHAN ALAT KERJA</t>
  </si>
  <si>
    <t>SIBSQ26040401</t>
  </si>
  <si>
    <t>6000007815 PLANT JML</t>
  </si>
  <si>
    <t>SIBSQ26040400</t>
  </si>
  <si>
    <t>SIBSQ26040399</t>
  </si>
  <si>
    <t>6800001457 JB INFRA SEI 2 (KM.51)</t>
  </si>
  <si>
    <t>SIBSQ26040398</t>
  </si>
  <si>
    <t>6100004828 // DSP BUNATI // DD 31/5/26</t>
  </si>
  <si>
    <t>SIBSQ26040397</t>
  </si>
  <si>
    <t>6100004709 DSP PP GEROGOT(SUPPLY GEROGOT) DD 25/05/2026</t>
  </si>
  <si>
    <t>SIBSQ26040396</t>
  </si>
  <si>
    <t>6000007877 OPS JMT DD 26/06/26</t>
  </si>
  <si>
    <t>SIBSQ26040395</t>
  </si>
  <si>
    <t>6000007876 OPS JMT DD 26/06/26</t>
  </si>
  <si>
    <t>SIBSQ26040394</t>
  </si>
  <si>
    <t>SIBSQ26040393</t>
  </si>
  <si>
    <t>6000007875 OPS JMT DD 25/06/26</t>
  </si>
  <si>
    <t>SIBSQ26040392</t>
  </si>
  <si>
    <t>6000007860 OPS JMT DD 25/06/26</t>
  </si>
  <si>
    <t>SIBSQ26040391</t>
  </si>
  <si>
    <t>6000007858 OPS JMT DD 25/06/26</t>
  </si>
  <si>
    <t>SIBSQ26040390</t>
  </si>
  <si>
    <t>6100004255 JB GA SBB//DD 11 MEI 2026//SATUAN MASTER BERUBAH</t>
  </si>
  <si>
    <t>SIBSQ26040389</t>
  </si>
  <si>
    <t>6200000248 MS JMT DD 13/06/26</t>
  </si>
  <si>
    <t>SIBSQ26040388</t>
  </si>
  <si>
    <t>6100004696 DSP SEI 2 (BUNATI) PARTIAL</t>
  </si>
  <si>
    <t>RFQ PR 3000057696 PTKAM-2</t>
  </si>
  <si>
    <t>RFQ PT.MSAM PR 4000000550</t>
  </si>
  <si>
    <t>SIBSQ26040387</t>
  </si>
  <si>
    <t>PENAWARAN HARGA PAK HALIM</t>
  </si>
  <si>
    <t>SIBSQ26040386</t>
  </si>
  <si>
    <t>6100004659 DSP SEI 2</t>
  </si>
  <si>
    <t>SIBSQ26040385</t>
  </si>
  <si>
    <t>SIBSQ26040384</t>
  </si>
  <si>
    <t>REQ JG Privat Gunung Pulau</t>
  </si>
  <si>
    <t>SIBSQ26040383</t>
  </si>
  <si>
    <t>5001219986 JA</t>
  </si>
  <si>
    <t>SIBSQ26040382</t>
  </si>
  <si>
    <t>PR 3000057827 JA</t>
  </si>
  <si>
    <t>SIBSQ26040381</t>
  </si>
  <si>
    <t>7200000070-JAR</t>
  </si>
  <si>
    <t>SIBSQ26040380</t>
  </si>
  <si>
    <t>SIBSQ26040379</t>
  </si>
  <si>
    <t>REQ PERMINTAAN PENAWARAN JML (PAK REZA)</t>
  </si>
  <si>
    <t>SIBSQ26040378</t>
  </si>
  <si>
    <t>7000000837 MSAM</t>
  </si>
  <si>
    <t>SIBSQ26040377</t>
  </si>
  <si>
    <t>6100004901 DSP SERONGGA</t>
  </si>
  <si>
    <t>SIBSQ26040376</t>
  </si>
  <si>
    <t>RFQ HPJ PR 3000057529</t>
  </si>
  <si>
    <t>SIBSQ26040375</t>
  </si>
  <si>
    <t>REQ JB PLANT SEI 2 (CONS) APR 26</t>
  </si>
  <si>
    <t>SIBSQ26040374</t>
  </si>
  <si>
    <t>6500002796 MV J001 OPS JMT-STM</t>
  </si>
  <si>
    <t>SIBSQ26040373</t>
  </si>
  <si>
    <t>6500002794 MV J001 OPS JMT-STM</t>
  </si>
  <si>
    <t>SIBSQ26040372</t>
  </si>
  <si>
    <t>PT ONO CRAFT</t>
  </si>
  <si>
    <t>PENAWARAN HARGA UPS</t>
  </si>
  <si>
    <t>SIBSQ26040371</t>
  </si>
  <si>
    <t>6100004871 DSP FIXED PLANT BUNATI</t>
  </si>
  <si>
    <t>SIBSQ26040370</t>
  </si>
  <si>
    <t>6500002789 MV J001 OPS JMT-STM</t>
  </si>
  <si>
    <t>SIBSQ26040369</t>
  </si>
  <si>
    <t>SIBSQ26040368</t>
  </si>
  <si>
    <t>6600000248 FABR JMT DD 18/06/26</t>
  </si>
  <si>
    <t>SIBSQ26040315</t>
  </si>
  <si>
    <t>001/APD/JG-SHE/II/2026</t>
  </si>
  <si>
    <t>PERMINTAAN HARGA KAM-2</t>
  </si>
  <si>
    <t>RFQ PT KAM3 4000000352</t>
  </si>
  <si>
    <t>7200000067</t>
  </si>
  <si>
    <t>SIBSQ26040367</t>
  </si>
  <si>
    <t>PERMINTAAN ONO CRAFT MAS IMAM GA BOS GROUP</t>
  </si>
  <si>
    <t>SIBSQ26040366</t>
  </si>
  <si>
    <t>6100004767 JB SBB UPDTAE1</t>
  </si>
  <si>
    <t>SIBSQ26040365</t>
  </si>
  <si>
    <t>6100004944 DSP POWER PLANT SUNGAI 2</t>
  </si>
  <si>
    <t>SIBSQ26040364</t>
  </si>
  <si>
    <t>PT. GRAND ANUGRAH JAYA</t>
  </si>
  <si>
    <t>P00027 // GAJ JG HO // DD 26-May-26</t>
  </si>
  <si>
    <t>SIBSQ26040363</t>
  </si>
  <si>
    <t>6100004956 PLANT DSP SUNGAI 2</t>
  </si>
  <si>
    <t>SIBSQ26040362</t>
  </si>
  <si>
    <t>6000007613 JB PLANT SEI 2</t>
  </si>
  <si>
    <t>SIBSQ26040361</t>
  </si>
  <si>
    <t>REQ - PAG</t>
  </si>
  <si>
    <t>SIBSQ26040360</t>
  </si>
  <si>
    <t>P004116 - Date 2026-02-19 - Due Date 31-03-2026</t>
  </si>
  <si>
    <t>SIBSQ26040359</t>
  </si>
  <si>
    <t>PENAWARAN HARGA PLUMBING PROYEK PREFAB YTP INDRAMAYU BOGOR DAN DEPOK</t>
  </si>
  <si>
    <t>SIBSQ26040358</t>
  </si>
  <si>
    <t>PT. PANJI LARAS NUSANTARA</t>
  </si>
  <si>
    <t>PENAWARAN EXPANDABLE HOUSE HAMURE</t>
  </si>
  <si>
    <t>SIBSQ26040357</t>
  </si>
  <si>
    <t>6100004920 DSP POWER PLANT SUNGAI 2</t>
  </si>
  <si>
    <t>SIBSQ26040356</t>
  </si>
  <si>
    <t>7000000770 KAM-2</t>
  </si>
  <si>
    <t>SIBSQ26040355</t>
  </si>
  <si>
    <t>PENAWRAN HARGA EXPANDABLE HOUSE UNIT SAJA DAN PEMASANGAN</t>
  </si>
  <si>
    <t>SIBSQ26040354</t>
  </si>
  <si>
    <t>SIBSQ26040353</t>
  </si>
  <si>
    <t>6000007483 // DSP SEI DUA // 10/6/26</t>
  </si>
  <si>
    <t>SIBSQ26040352</t>
  </si>
  <si>
    <t>RFQ PT KAM3 4000000334</t>
  </si>
  <si>
    <t>SIBSQ26040351</t>
  </si>
  <si>
    <t>6100003450 DSP  WANAM || REVISI MERK DAN HARGA</t>
  </si>
  <si>
    <t>SIBSQ26040350</t>
  </si>
  <si>
    <t>6100003438 DSP WANAM || REVISI MERK DAN HARGA</t>
  </si>
  <si>
    <t>SIBSQ26040349</t>
  </si>
  <si>
    <t>6100003438 DSP WANAM || REVISI MERK DAN  HARGA</t>
  </si>
  <si>
    <t>SIBSQ26040348</t>
  </si>
  <si>
    <t>RFQ PT.MSAM PPNK 022/MSAM/SBTE</t>
  </si>
  <si>
    <t>SIBSQ26040347</t>
  </si>
  <si>
    <t>6000007507 // DSP SEI DUA // DD 10/06/2026</t>
  </si>
  <si>
    <t>SIBSQ26040346</t>
  </si>
  <si>
    <t>RFQ PT.MSAM2 PR 4000000217</t>
  </si>
  <si>
    <t>RFQ PT.MSAM PR 4200000055</t>
  </si>
  <si>
    <t>SIBSQ26040345</t>
  </si>
  <si>
    <t>REQ URGENT OPS</t>
  </si>
  <si>
    <t>SIBSQ26040344</t>
  </si>
  <si>
    <t>P007853 // BBA SITE KALTIM // DD 18-06-2026</t>
  </si>
  <si>
    <t>SIBSQ26040343</t>
  </si>
  <si>
    <t>6100004899 // JG HO // DD 17.06.2026</t>
  </si>
  <si>
    <t>SIBSQ26040342</t>
  </si>
  <si>
    <t>6100004927 DSP BATU AMPAR</t>
  </si>
  <si>
    <t>SIBSQ26040341</t>
  </si>
  <si>
    <t>6100004953 DSP PLANT SEI 2</t>
  </si>
  <si>
    <t>SIBSQ26040340</t>
  </si>
  <si>
    <t>6000007679 DSP FIXEDPLANT BUNATI</t>
  </si>
  <si>
    <t>SIBSQ26040339</t>
  </si>
  <si>
    <t>6000007702 DSP SEI 2</t>
  </si>
  <si>
    <t>SIBSQ26040338</t>
  </si>
  <si>
    <t>6000007733 OPS JMT DD 19/06/26</t>
  </si>
  <si>
    <t>SIBSQ26040337</t>
  </si>
  <si>
    <t>7000000775 MSAM</t>
  </si>
  <si>
    <t>SIBSQ26040336</t>
  </si>
  <si>
    <t>7100000509 MSAM</t>
  </si>
  <si>
    <t>SIBSQ26040335</t>
  </si>
  <si>
    <t>SPARE PART BR420</t>
  </si>
  <si>
    <t>SIBSQ26040334</t>
  </si>
  <si>
    <t>SIBSQ26040333</t>
  </si>
  <si>
    <t>7100000513 EAS // FULL PAYMENT</t>
  </si>
  <si>
    <t>SIBSQ26040332</t>
  </si>
  <si>
    <t>7000000785 KAM-3</t>
  </si>
  <si>
    <t>SIBSQ26040331</t>
  </si>
  <si>
    <t>7000000777 KAM-3</t>
  </si>
  <si>
    <t>SIBSQ26040330</t>
  </si>
  <si>
    <t>SIBSQ26040329</t>
  </si>
  <si>
    <t>6100004856 // PP-DSP-0029-II-2026 // SQ-260100114 // SIBIMASQ25120001</t>
  </si>
  <si>
    <t>SIBSQ26040328</t>
  </si>
  <si>
    <t>7000000786 KAM-3</t>
  </si>
  <si>
    <t>SIBSQ26040327</t>
  </si>
  <si>
    <t>PENAWARAN HARGA PROYEK YTP NUNUKAN DAN BULUNGAN</t>
  </si>
  <si>
    <t>SIBSQ26040326</t>
  </si>
  <si>
    <t>PENAWARAN HARGA PROYEK YTP NUNUKAN</t>
  </si>
  <si>
    <t>SIBSQ26040325</t>
  </si>
  <si>
    <t>6100004924</t>
  </si>
  <si>
    <t>SIBSQ26040324</t>
  </si>
  <si>
    <t>6100004737 DSP SEI 2 (GROGOT)</t>
  </si>
  <si>
    <t>SIBSQ26040323</t>
  </si>
  <si>
    <t>7100000481 EAS</t>
  </si>
  <si>
    <t>SIBSQ26040322</t>
  </si>
  <si>
    <t>6100004780 DSP SEI 2 (SERONGGA)</t>
  </si>
  <si>
    <t>SIBSQ26040321</t>
  </si>
  <si>
    <t>6100004766 DSP SEI 2 (GROGOT)</t>
  </si>
  <si>
    <t>SIBSQ26040320</t>
  </si>
  <si>
    <t>6100004730 DSP SEI 2 (BATU AMPAR)</t>
  </si>
  <si>
    <t>SIBSQ26040319</t>
  </si>
  <si>
    <t>6000007602 JB PLANT MDL</t>
  </si>
  <si>
    <t>SIBSQ26040318</t>
  </si>
  <si>
    <t>SPB 00431 // BBA SUNGAI 2</t>
  </si>
  <si>
    <t>SIBSQ26040317</t>
  </si>
  <si>
    <t>P007351 - Date 2026-04-02 - Due Date 05-05-2026</t>
  </si>
  <si>
    <t>SIBSQ26040316</t>
  </si>
  <si>
    <t>5001219937 THM</t>
  </si>
  <si>
    <t>SIBSQ26040314</t>
  </si>
  <si>
    <t>6100004341 JB GA MDL</t>
  </si>
  <si>
    <t>SIBSQ26040313</t>
  </si>
  <si>
    <t>7000000765 ; JAR MILL (37)</t>
  </si>
  <si>
    <t>SIBSQ26040312</t>
  </si>
  <si>
    <t>PERMINTAAN HARGA MSAM</t>
  </si>
  <si>
    <t>SIBSQ26040311</t>
  </si>
  <si>
    <t>7200000070 ; BIO</t>
  </si>
  <si>
    <t>SIBSQ26040310</t>
  </si>
  <si>
    <t>7200000072 ; BIO</t>
  </si>
  <si>
    <t>SIBSQ26040309</t>
  </si>
  <si>
    <t>6500002772 MV JHONLIN 001 GA JMT-STM</t>
  </si>
  <si>
    <t>SIBSQ26040308</t>
  </si>
  <si>
    <t>6000007544 JB PLANT SBB</t>
  </si>
  <si>
    <t>SIBSQ26040307</t>
  </si>
  <si>
    <t>7200000071 ; JAR 2 (22)</t>
  </si>
  <si>
    <t>7000000781 KAM-3</t>
  </si>
  <si>
    <t>7000000831 MSAM</t>
  </si>
  <si>
    <t>6000007535 JB PLANT SBBN</t>
  </si>
  <si>
    <t>6600000249 FABR JMT DD 20/06/26</t>
  </si>
  <si>
    <t>7200000069 MSAM</t>
  </si>
  <si>
    <t>6100004836 // JG HO // DD 16.06.2026</t>
  </si>
  <si>
    <t>7100000535 MSAM</t>
  </si>
  <si>
    <t>7000000847 MSAM</t>
  </si>
  <si>
    <t>6000007420 JB PLANT SEI 2</t>
  </si>
  <si>
    <t>7000000780 MSAM</t>
  </si>
  <si>
    <t>P00109 //  PP-JEK-26-IV-2026</t>
  </si>
  <si>
    <t>7100000526 MSAM</t>
  </si>
  <si>
    <t>7100000508 EAS-CWS</t>
  </si>
  <si>
    <t>6100005005 JB GA TJG</t>
  </si>
  <si>
    <t>7200000065 EAS-CWS</t>
  </si>
  <si>
    <t>6000007820 JB PLANT TJG</t>
  </si>
  <si>
    <t>7100000604 ; JAR MILL (37)</t>
  </si>
  <si>
    <t>6100004731 PLANT JB SEI 2//FULL PAYMENT</t>
  </si>
  <si>
    <t>6100004727 JB PLANT SEI 2//DD 10/06/26</t>
  </si>
  <si>
    <t>6100005077 JB PLANT SEI 2</t>
  </si>
  <si>
    <t>PERMINTAAN HARGA FREON KAM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</si>
</sst>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/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744"/>
  <sheetViews>
    <sheetView tabSelected="1" topLeftCell="G1" workbookViewId="0">
      <selection activeCell="M1" sqref="M1"/>
    </sheetView>
  </sheetViews>
  <sheetFormatPr defaultRowHeight="15.75" x14ac:dyDescent="0.25"/>
  <cols>
    <col min="1" max="1" width="4.875" bestFit="1" customWidth="1"/>
    <col min="2" max="2" width="14.375" bestFit="1" customWidth="1"/>
    <col min="3" max="3" width="10.375" bestFit="1" customWidth="1"/>
    <col min="4" max="4" width="33.25" bestFit="1" customWidth="1"/>
    <col min="5" max="5" width="28.375" bestFit="1" customWidth="1"/>
    <col min="6" max="6" width="12.25" bestFit="1" customWidth="1"/>
    <col min="7" max="7" width="9.875" bestFit="1" customWidth="1"/>
    <col min="8" max="8" width="4.375" bestFit="1" customWidth="1"/>
    <col min="9" max="9" width="85" bestFit="1" customWidth="1"/>
    <col min="10" max="10" width="27.25" bestFit="1" customWidth="1"/>
    <col min="11" max="11" width="17.75" bestFit="1" customWidth="1"/>
    <col min="12" max="12" width="9.875" bestFit="1" customWidth="1"/>
    <col min="13" max="13" width="6.75" bestFit="1" customWidth="1"/>
    <col min="14" max="14" width="16.25" bestFit="1" customWidth="1"/>
    <col min="15" max="15" width="12.125" bestFit="1" customWidth="1"/>
    <col min="16" max="16" width="12.75" bestFit="1" customWidth="1"/>
    <col min="17" max="17" width="9.625" bestFit="1" customWidth="1"/>
    <col min="18" max="18" width="17.375" bestFit="1" customWidth="1"/>
    <col min="19" max="20" width="12.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t="s">
        <v>2486</v>
      </c>
    </row>
    <row r="2" spans="1:21" x14ac:dyDescent="0.25">
      <c r="A2" s="1">
        <v>1</v>
      </c>
      <c r="B2" s="1" t="s">
        <v>2919</v>
      </c>
      <c r="C2" s="2">
        <v>46144</v>
      </c>
      <c r="D2" s="1" t="s">
        <v>349</v>
      </c>
      <c r="E2" s="1" t="s">
        <v>29</v>
      </c>
      <c r="F2" s="1" t="s">
        <v>30</v>
      </c>
      <c r="G2" s="1" t="s">
        <v>24</v>
      </c>
      <c r="H2" s="1">
        <v>1</v>
      </c>
      <c r="I2" s="1" t="s">
        <v>2920</v>
      </c>
      <c r="J2" s="1"/>
      <c r="K2" s="1">
        <v>5903275</v>
      </c>
      <c r="L2" s="1">
        <v>0</v>
      </c>
      <c r="M2" s="1">
        <v>0</v>
      </c>
      <c r="N2" s="1">
        <v>649360.25</v>
      </c>
      <c r="O2" s="1">
        <v>0</v>
      </c>
      <c r="P2" s="1">
        <v>0</v>
      </c>
      <c r="Q2" s="1">
        <v>0</v>
      </c>
      <c r="R2" s="1">
        <v>6552635.25</v>
      </c>
      <c r="S2" s="1">
        <v>1084275</v>
      </c>
      <c r="T2" s="1">
        <v>18.367346938775999</v>
      </c>
      <c r="U2" t="str">
        <f>"Week "&amp;IF(DAY(C2)&gt;=24,4,INT((DAY(C2)-1)/7)+1)</f>
        <v>Week 1</v>
      </c>
    </row>
    <row r="3" spans="1:21" x14ac:dyDescent="0.25">
      <c r="A3" s="1">
        <v>2</v>
      </c>
      <c r="B3" s="1" t="s">
        <v>2921</v>
      </c>
      <c r="C3" s="2">
        <v>46142</v>
      </c>
      <c r="D3" s="1" t="s">
        <v>33</v>
      </c>
      <c r="E3" s="1" t="s">
        <v>34</v>
      </c>
      <c r="F3" s="1" t="s">
        <v>23</v>
      </c>
      <c r="G3" s="1" t="s">
        <v>24</v>
      </c>
      <c r="H3" s="1">
        <v>1</v>
      </c>
      <c r="I3" s="1" t="s">
        <v>2922</v>
      </c>
      <c r="J3" s="1"/>
      <c r="K3" s="1">
        <v>18487000</v>
      </c>
      <c r="L3" s="1">
        <v>0</v>
      </c>
      <c r="M3" s="1">
        <v>0</v>
      </c>
      <c r="N3" s="1">
        <v>2033570</v>
      </c>
      <c r="O3" s="1">
        <v>0</v>
      </c>
      <c r="P3" s="1">
        <v>0</v>
      </c>
      <c r="Q3" s="1">
        <v>0</v>
      </c>
      <c r="R3" s="1">
        <v>20520570</v>
      </c>
      <c r="S3" s="1">
        <v>7411918.9189189002</v>
      </c>
      <c r="T3" s="1">
        <v>40.092599766966003</v>
      </c>
      <c r="U3" t="str">
        <f t="shared" ref="U3:U66" si="0">"Week "&amp;IF(DAY(C3)&gt;=24,4,INT((DAY(C3)-1)/7)+1)</f>
        <v>Week 4</v>
      </c>
    </row>
    <row r="4" spans="1:21" x14ac:dyDescent="0.25">
      <c r="A4" s="1">
        <v>3</v>
      </c>
      <c r="B4" s="1" t="s">
        <v>2923</v>
      </c>
      <c r="C4" s="2">
        <v>46142</v>
      </c>
      <c r="D4" s="1" t="s">
        <v>53</v>
      </c>
      <c r="E4" s="1" t="s">
        <v>54</v>
      </c>
      <c r="F4" s="1" t="s">
        <v>30</v>
      </c>
      <c r="G4" s="1" t="s">
        <v>24</v>
      </c>
      <c r="H4" s="1">
        <v>1</v>
      </c>
      <c r="I4" s="1" t="s">
        <v>2924</v>
      </c>
      <c r="J4" s="1"/>
      <c r="K4" s="1">
        <v>242280</v>
      </c>
      <c r="L4" s="1">
        <v>0</v>
      </c>
      <c r="M4" s="1">
        <v>0</v>
      </c>
      <c r="N4" s="1">
        <v>26650.799999999999</v>
      </c>
      <c r="O4" s="1">
        <v>0</v>
      </c>
      <c r="P4" s="1">
        <v>0</v>
      </c>
      <c r="Q4" s="1">
        <v>0</v>
      </c>
      <c r="R4" s="1">
        <v>268930.8</v>
      </c>
      <c r="S4" s="1">
        <v>-27720</v>
      </c>
      <c r="T4" s="1">
        <v>-11.441307578009001</v>
      </c>
      <c r="U4" t="str">
        <f t="shared" si="0"/>
        <v>Week 4</v>
      </c>
    </row>
    <row r="5" spans="1:21" x14ac:dyDescent="0.25">
      <c r="A5" s="1">
        <v>4</v>
      </c>
      <c r="B5" s="1" t="s">
        <v>2925</v>
      </c>
      <c r="C5" s="2">
        <v>46142</v>
      </c>
      <c r="D5" s="1" t="s">
        <v>33</v>
      </c>
      <c r="E5" s="1" t="s">
        <v>34</v>
      </c>
      <c r="F5" s="1" t="s">
        <v>23</v>
      </c>
      <c r="G5" s="1" t="s">
        <v>24</v>
      </c>
      <c r="H5" s="1">
        <v>1</v>
      </c>
      <c r="I5" s="1" t="s">
        <v>2926</v>
      </c>
      <c r="J5" s="1"/>
      <c r="K5" s="1">
        <v>25469000</v>
      </c>
      <c r="L5" s="1">
        <v>0</v>
      </c>
      <c r="M5" s="1">
        <v>0</v>
      </c>
      <c r="N5" s="1">
        <v>2801590</v>
      </c>
      <c r="O5" s="1">
        <v>0</v>
      </c>
      <c r="P5" s="1">
        <v>0</v>
      </c>
      <c r="Q5" s="1">
        <v>0</v>
      </c>
      <c r="R5" s="1">
        <v>28270590</v>
      </c>
      <c r="S5" s="1">
        <v>4665250</v>
      </c>
      <c r="T5" s="1">
        <v>18.317366209902001</v>
      </c>
      <c r="U5" t="str">
        <f t="shared" si="0"/>
        <v>Week 4</v>
      </c>
    </row>
    <row r="6" spans="1:21" x14ac:dyDescent="0.25">
      <c r="A6" s="1">
        <v>5</v>
      </c>
      <c r="B6" s="1" t="s">
        <v>2927</v>
      </c>
      <c r="C6" s="2">
        <v>46142</v>
      </c>
      <c r="D6" s="1" t="s">
        <v>33</v>
      </c>
      <c r="E6" s="1" t="s">
        <v>34</v>
      </c>
      <c r="F6" s="1" t="s">
        <v>23</v>
      </c>
      <c r="G6" s="1" t="s">
        <v>24</v>
      </c>
      <c r="H6" s="1">
        <v>1</v>
      </c>
      <c r="I6" s="1" t="s">
        <v>2928</v>
      </c>
      <c r="J6" s="1"/>
      <c r="K6" s="1">
        <v>3155000</v>
      </c>
      <c r="L6" s="1">
        <v>0</v>
      </c>
      <c r="M6" s="1">
        <v>0</v>
      </c>
      <c r="N6" s="1">
        <v>347050</v>
      </c>
      <c r="O6" s="1">
        <v>0</v>
      </c>
      <c r="P6" s="1">
        <v>0</v>
      </c>
      <c r="Q6" s="1">
        <v>0</v>
      </c>
      <c r="R6" s="1">
        <v>3502050</v>
      </c>
      <c r="S6" s="1">
        <v>936590.09009008994</v>
      </c>
      <c r="T6" s="1">
        <v>29.685898259590999</v>
      </c>
      <c r="U6" t="str">
        <f t="shared" si="0"/>
        <v>Week 4</v>
      </c>
    </row>
    <row r="7" spans="1:21" x14ac:dyDescent="0.25">
      <c r="A7" s="1">
        <v>6</v>
      </c>
      <c r="B7" s="1" t="s">
        <v>2929</v>
      </c>
      <c r="C7" s="2">
        <v>46142</v>
      </c>
      <c r="D7" s="1" t="s">
        <v>53</v>
      </c>
      <c r="E7" s="1" t="s">
        <v>38</v>
      </c>
      <c r="F7" s="1" t="s">
        <v>39</v>
      </c>
      <c r="G7" s="1" t="s">
        <v>24</v>
      </c>
      <c r="H7" s="1">
        <v>1</v>
      </c>
      <c r="I7" s="1" t="s">
        <v>2930</v>
      </c>
      <c r="J7" s="1"/>
      <c r="K7" s="1">
        <v>24849545</v>
      </c>
      <c r="L7" s="1">
        <v>0</v>
      </c>
      <c r="M7" s="1">
        <v>0</v>
      </c>
      <c r="N7" s="1">
        <v>2733449.95</v>
      </c>
      <c r="O7" s="1">
        <v>0</v>
      </c>
      <c r="P7" s="1">
        <v>0</v>
      </c>
      <c r="Q7" s="1">
        <v>0</v>
      </c>
      <c r="R7" s="1">
        <v>27582994.949999999</v>
      </c>
      <c r="S7" s="1">
        <v>9253346.25</v>
      </c>
      <c r="T7" s="1">
        <v>37.237487648163999</v>
      </c>
      <c r="U7" t="str">
        <f t="shared" si="0"/>
        <v>Week 4</v>
      </c>
    </row>
    <row r="8" spans="1:21" x14ac:dyDescent="0.25">
      <c r="A8" s="1">
        <v>7</v>
      </c>
      <c r="B8" s="1" t="s">
        <v>2931</v>
      </c>
      <c r="C8" s="2">
        <v>46142</v>
      </c>
      <c r="D8" s="1" t="s">
        <v>21</v>
      </c>
      <c r="E8" s="1" t="s">
        <v>22</v>
      </c>
      <c r="F8" s="1" t="s">
        <v>30</v>
      </c>
      <c r="G8" s="1" t="s">
        <v>24</v>
      </c>
      <c r="H8" s="1">
        <v>1</v>
      </c>
      <c r="I8" s="1" t="s">
        <v>2654</v>
      </c>
      <c r="J8" s="1" t="s">
        <v>26</v>
      </c>
      <c r="K8" s="1">
        <v>7663110</v>
      </c>
      <c r="L8" s="1">
        <v>0</v>
      </c>
      <c r="M8" s="1">
        <v>0</v>
      </c>
      <c r="N8" s="1">
        <v>842942.1</v>
      </c>
      <c r="O8" s="1">
        <v>0</v>
      </c>
      <c r="P8" s="1">
        <v>0</v>
      </c>
      <c r="Q8" s="1">
        <v>0</v>
      </c>
      <c r="R8" s="1">
        <v>8506052.0999999996</v>
      </c>
      <c r="S8" s="1">
        <v>331110</v>
      </c>
      <c r="T8" s="1">
        <v>4.3208305766197004</v>
      </c>
      <c r="U8" t="str">
        <f t="shared" si="0"/>
        <v>Week 4</v>
      </c>
    </row>
    <row r="9" spans="1:21" x14ac:dyDescent="0.25">
      <c r="A9" s="1">
        <v>8</v>
      </c>
      <c r="B9" s="1" t="s">
        <v>2932</v>
      </c>
      <c r="C9" s="2">
        <v>46142</v>
      </c>
      <c r="D9" s="1" t="s">
        <v>53</v>
      </c>
      <c r="E9" s="1" t="s">
        <v>38</v>
      </c>
      <c r="F9" s="1" t="s">
        <v>39</v>
      </c>
      <c r="G9" s="1" t="s">
        <v>24</v>
      </c>
      <c r="H9" s="1">
        <v>1</v>
      </c>
      <c r="I9" s="1" t="s">
        <v>2933</v>
      </c>
      <c r="J9" s="1" t="s">
        <v>56</v>
      </c>
      <c r="K9" s="1">
        <v>112276530</v>
      </c>
      <c r="L9" s="1">
        <v>0</v>
      </c>
      <c r="M9" s="1">
        <v>0</v>
      </c>
      <c r="N9" s="1">
        <v>12350418.300000001</v>
      </c>
      <c r="O9" s="1">
        <v>0</v>
      </c>
      <c r="P9" s="1">
        <v>0</v>
      </c>
      <c r="Q9" s="1">
        <v>0</v>
      </c>
      <c r="R9" s="1">
        <v>124626948.3</v>
      </c>
      <c r="S9" s="1">
        <v>28666087</v>
      </c>
      <c r="T9" s="1">
        <v>25.531682356053999</v>
      </c>
      <c r="U9" t="str">
        <f t="shared" si="0"/>
        <v>Week 4</v>
      </c>
    </row>
    <row r="10" spans="1:21" x14ac:dyDescent="0.25">
      <c r="A10" s="1">
        <v>9</v>
      </c>
      <c r="B10" s="1" t="s">
        <v>2934</v>
      </c>
      <c r="C10" s="2">
        <v>46142</v>
      </c>
      <c r="D10" s="1" t="s">
        <v>115</v>
      </c>
      <c r="E10" s="1" t="s">
        <v>116</v>
      </c>
      <c r="F10" s="1" t="s">
        <v>30</v>
      </c>
      <c r="G10" s="1" t="s">
        <v>24</v>
      </c>
      <c r="H10" s="1">
        <v>1</v>
      </c>
      <c r="I10" s="1" t="s">
        <v>2935</v>
      </c>
      <c r="J10" s="1" t="s">
        <v>26</v>
      </c>
      <c r="K10" s="1">
        <v>5328557</v>
      </c>
      <c r="L10" s="1">
        <v>0</v>
      </c>
      <c r="M10" s="1">
        <v>0</v>
      </c>
      <c r="N10" s="1">
        <v>586141.27</v>
      </c>
      <c r="O10" s="1">
        <v>0</v>
      </c>
      <c r="P10" s="1">
        <v>0</v>
      </c>
      <c r="Q10" s="1">
        <v>0</v>
      </c>
      <c r="R10" s="1">
        <v>5914698.2699999996</v>
      </c>
      <c r="S10" s="1">
        <v>568286.73</v>
      </c>
      <c r="T10" s="1">
        <v>10.664927296451999</v>
      </c>
      <c r="U10" t="str">
        <f t="shared" si="0"/>
        <v>Week 4</v>
      </c>
    </row>
    <row r="11" spans="1:21" x14ac:dyDescent="0.25">
      <c r="A11" s="1">
        <v>10</v>
      </c>
      <c r="B11" s="1" t="s">
        <v>2936</v>
      </c>
      <c r="C11" s="2">
        <v>46142</v>
      </c>
      <c r="D11" s="1" t="s">
        <v>306</v>
      </c>
      <c r="E11" s="1" t="s">
        <v>99</v>
      </c>
      <c r="F11" s="1" t="s">
        <v>30</v>
      </c>
      <c r="G11" s="1" t="s">
        <v>24</v>
      </c>
      <c r="H11" s="1">
        <v>1</v>
      </c>
      <c r="I11" s="1" t="s">
        <v>2937</v>
      </c>
      <c r="J11" s="1"/>
      <c r="K11" s="1">
        <v>36766880</v>
      </c>
      <c r="L11" s="1">
        <v>0</v>
      </c>
      <c r="M11" s="1">
        <v>0</v>
      </c>
      <c r="N11" s="1">
        <v>4044356.8</v>
      </c>
      <c r="O11" s="1">
        <v>0</v>
      </c>
      <c r="P11" s="1">
        <v>0</v>
      </c>
      <c r="Q11" s="1">
        <v>0</v>
      </c>
      <c r="R11" s="1">
        <v>40811236.799999997</v>
      </c>
      <c r="S11" s="1">
        <v>-21093750.640000001</v>
      </c>
      <c r="T11" s="1">
        <v>-57.371609013329</v>
      </c>
      <c r="U11" t="str">
        <f t="shared" si="0"/>
        <v>Week 4</v>
      </c>
    </row>
    <row r="12" spans="1:21" x14ac:dyDescent="0.25">
      <c r="A12" s="1">
        <v>11</v>
      </c>
      <c r="B12" s="1" t="s">
        <v>2938</v>
      </c>
      <c r="C12" s="2">
        <v>46142</v>
      </c>
      <c r="D12" s="1" t="s">
        <v>306</v>
      </c>
      <c r="E12" s="1" t="s">
        <v>99</v>
      </c>
      <c r="F12" s="1" t="s">
        <v>30</v>
      </c>
      <c r="G12" s="1" t="s">
        <v>24</v>
      </c>
      <c r="H12" s="1">
        <v>1</v>
      </c>
      <c r="I12" s="1" t="s">
        <v>2939</v>
      </c>
      <c r="J12" s="1"/>
      <c r="K12" s="1">
        <v>1099010</v>
      </c>
      <c r="L12" s="1">
        <v>0</v>
      </c>
      <c r="M12" s="1">
        <v>0</v>
      </c>
      <c r="N12" s="1">
        <v>120891.1</v>
      </c>
      <c r="O12" s="1">
        <v>0</v>
      </c>
      <c r="P12" s="1">
        <v>0</v>
      </c>
      <c r="Q12" s="1">
        <v>0</v>
      </c>
      <c r="R12" s="1">
        <v>1219901.1000000001</v>
      </c>
      <c r="S12" s="1">
        <v>381816.3</v>
      </c>
      <c r="T12" s="1">
        <v>34.741840383617998</v>
      </c>
      <c r="U12" t="str">
        <f t="shared" si="0"/>
        <v>Week 4</v>
      </c>
    </row>
    <row r="13" spans="1:21" x14ac:dyDescent="0.25">
      <c r="A13" s="1">
        <v>12</v>
      </c>
      <c r="B13" s="1" t="s">
        <v>2940</v>
      </c>
      <c r="C13" s="2">
        <v>46142</v>
      </c>
      <c r="D13" s="1" t="s">
        <v>306</v>
      </c>
      <c r="E13" s="1" t="s">
        <v>99</v>
      </c>
      <c r="F13" s="1" t="s">
        <v>39</v>
      </c>
      <c r="G13" s="1" t="s">
        <v>24</v>
      </c>
      <c r="H13" s="1">
        <v>1</v>
      </c>
      <c r="I13" s="1" t="s">
        <v>2941</v>
      </c>
      <c r="J13" s="1"/>
      <c r="K13" s="1">
        <v>2348400</v>
      </c>
      <c r="L13" s="1">
        <v>0</v>
      </c>
      <c r="M13" s="1">
        <v>0</v>
      </c>
      <c r="N13" s="1">
        <v>258324</v>
      </c>
      <c r="O13" s="1">
        <v>0</v>
      </c>
      <c r="P13" s="1">
        <v>0</v>
      </c>
      <c r="Q13" s="1">
        <v>0</v>
      </c>
      <c r="R13" s="1">
        <v>2606724</v>
      </c>
      <c r="S13" s="1">
        <v>148396</v>
      </c>
      <c r="T13" s="1">
        <v>6.3190257196389004</v>
      </c>
      <c r="U13" t="str">
        <f t="shared" si="0"/>
        <v>Week 4</v>
      </c>
    </row>
    <row r="14" spans="1:21" x14ac:dyDescent="0.25">
      <c r="A14" s="1">
        <v>13</v>
      </c>
      <c r="B14" s="1" t="s">
        <v>2942</v>
      </c>
      <c r="C14" s="2">
        <v>46142</v>
      </c>
      <c r="D14" s="1" t="s">
        <v>37</v>
      </c>
      <c r="E14" s="1" t="s">
        <v>38</v>
      </c>
      <c r="F14" s="1" t="s">
        <v>23</v>
      </c>
      <c r="G14" s="1" t="s">
        <v>24</v>
      </c>
      <c r="H14" s="1">
        <v>1</v>
      </c>
      <c r="I14" s="1" t="s">
        <v>1800</v>
      </c>
      <c r="J14" s="1" t="s">
        <v>26</v>
      </c>
      <c r="K14" s="1">
        <v>1603000</v>
      </c>
      <c r="L14" s="1">
        <v>0</v>
      </c>
      <c r="M14" s="1">
        <v>0</v>
      </c>
      <c r="N14" s="1">
        <v>176330</v>
      </c>
      <c r="O14" s="1">
        <v>0</v>
      </c>
      <c r="P14" s="1">
        <v>0</v>
      </c>
      <c r="Q14" s="1">
        <v>0</v>
      </c>
      <c r="R14" s="1">
        <v>1779330</v>
      </c>
      <c r="S14" s="1">
        <v>424500</v>
      </c>
      <c r="T14" s="1">
        <v>26.481597005613999</v>
      </c>
      <c r="U14" t="str">
        <f t="shared" si="0"/>
        <v>Week 4</v>
      </c>
    </row>
    <row r="15" spans="1:21" x14ac:dyDescent="0.25">
      <c r="A15" s="1">
        <v>14</v>
      </c>
      <c r="B15" s="1" t="s">
        <v>1245</v>
      </c>
      <c r="C15" s="2">
        <v>46141</v>
      </c>
      <c r="D15" s="1" t="s">
        <v>306</v>
      </c>
      <c r="E15" s="1" t="s">
        <v>99</v>
      </c>
      <c r="F15" s="1" t="s">
        <v>23</v>
      </c>
      <c r="G15" s="1" t="s">
        <v>24</v>
      </c>
      <c r="H15" s="1">
        <v>1</v>
      </c>
      <c r="I15" s="1" t="s">
        <v>2943</v>
      </c>
      <c r="J15" s="1" t="s">
        <v>26</v>
      </c>
      <c r="K15" s="1">
        <v>870207500</v>
      </c>
      <c r="L15" s="1">
        <v>0</v>
      </c>
      <c r="M15" s="1">
        <v>0</v>
      </c>
      <c r="N15" s="1">
        <v>95722825</v>
      </c>
      <c r="O15" s="1">
        <v>0</v>
      </c>
      <c r="P15" s="1">
        <v>0</v>
      </c>
      <c r="Q15" s="1">
        <v>0</v>
      </c>
      <c r="R15" s="1">
        <v>965930325</v>
      </c>
      <c r="S15" s="1">
        <v>247058174</v>
      </c>
      <c r="T15" s="1">
        <v>28.390719914502998</v>
      </c>
      <c r="U15" t="str">
        <f t="shared" si="0"/>
        <v>Week 4</v>
      </c>
    </row>
    <row r="16" spans="1:21" x14ac:dyDescent="0.25">
      <c r="A16" s="1">
        <v>15</v>
      </c>
      <c r="B16" s="1" t="s">
        <v>2944</v>
      </c>
      <c r="C16" s="2">
        <v>46141</v>
      </c>
      <c r="D16" s="1" t="s">
        <v>21</v>
      </c>
      <c r="E16" s="1" t="s">
        <v>22</v>
      </c>
      <c r="F16" s="1" t="s">
        <v>30</v>
      </c>
      <c r="G16" s="1" t="s">
        <v>24</v>
      </c>
      <c r="H16" s="1">
        <v>1</v>
      </c>
      <c r="I16" s="1" t="s">
        <v>2945</v>
      </c>
      <c r="J16" s="1" t="s">
        <v>26</v>
      </c>
      <c r="K16" s="1">
        <v>6152085.2400000002</v>
      </c>
      <c r="L16" s="1">
        <v>0</v>
      </c>
      <c r="M16" s="1">
        <v>0</v>
      </c>
      <c r="N16" s="1">
        <v>676729.37639999995</v>
      </c>
      <c r="O16" s="1">
        <v>0</v>
      </c>
      <c r="P16" s="1">
        <v>0</v>
      </c>
      <c r="Q16" s="1">
        <v>0</v>
      </c>
      <c r="R16" s="1">
        <v>6828814.6163999997</v>
      </c>
      <c r="S16" s="1">
        <v>1881558.212973</v>
      </c>
      <c r="T16" s="1">
        <v>30.584072547293999</v>
      </c>
      <c r="U16" t="str">
        <f t="shared" si="0"/>
        <v>Week 4</v>
      </c>
    </row>
    <row r="17" spans="1:21" x14ac:dyDescent="0.25">
      <c r="A17" s="1">
        <v>16</v>
      </c>
      <c r="B17" s="1" t="s">
        <v>2946</v>
      </c>
      <c r="C17" s="2">
        <v>46141</v>
      </c>
      <c r="D17" s="1" t="s">
        <v>21</v>
      </c>
      <c r="E17" s="1" t="s">
        <v>22</v>
      </c>
      <c r="F17" s="1" t="s">
        <v>30</v>
      </c>
      <c r="G17" s="1" t="s">
        <v>24</v>
      </c>
      <c r="H17" s="1">
        <v>1</v>
      </c>
      <c r="I17" s="1" t="s">
        <v>2947</v>
      </c>
      <c r="J17" s="1" t="s">
        <v>26</v>
      </c>
      <c r="K17" s="1">
        <v>9753980</v>
      </c>
      <c r="L17" s="1">
        <v>0</v>
      </c>
      <c r="M17" s="1">
        <v>0</v>
      </c>
      <c r="N17" s="1">
        <v>1072937.8</v>
      </c>
      <c r="O17" s="1">
        <v>0</v>
      </c>
      <c r="P17" s="1">
        <v>0</v>
      </c>
      <c r="Q17" s="1">
        <v>0</v>
      </c>
      <c r="R17" s="1">
        <v>10826917.800000001</v>
      </c>
      <c r="S17" s="1">
        <v>2274624.3536950001</v>
      </c>
      <c r="T17" s="1">
        <v>23.319961222957001</v>
      </c>
      <c r="U17" t="str">
        <f t="shared" si="0"/>
        <v>Week 4</v>
      </c>
    </row>
    <row r="18" spans="1:21" x14ac:dyDescent="0.25">
      <c r="A18" s="1">
        <v>17</v>
      </c>
      <c r="B18" s="1" t="s">
        <v>2948</v>
      </c>
      <c r="C18" s="2">
        <v>46141</v>
      </c>
      <c r="D18" s="1" t="s">
        <v>21</v>
      </c>
      <c r="E18" s="1" t="s">
        <v>22</v>
      </c>
      <c r="F18" s="1" t="s">
        <v>23</v>
      </c>
      <c r="G18" s="1" t="s">
        <v>24</v>
      </c>
      <c r="H18" s="1">
        <v>1</v>
      </c>
      <c r="I18" s="1" t="s">
        <v>143</v>
      </c>
      <c r="J18" s="1" t="s">
        <v>26</v>
      </c>
      <c r="K18" s="1">
        <v>125000</v>
      </c>
      <c r="L18" s="1">
        <v>0</v>
      </c>
      <c r="M18" s="1">
        <v>0</v>
      </c>
      <c r="N18" s="1">
        <v>13750</v>
      </c>
      <c r="O18" s="1">
        <v>0</v>
      </c>
      <c r="P18" s="1">
        <v>0</v>
      </c>
      <c r="Q18" s="1">
        <v>0</v>
      </c>
      <c r="R18" s="1">
        <v>138750</v>
      </c>
      <c r="S18" s="1">
        <v>42450</v>
      </c>
      <c r="T18" s="1">
        <v>33.96</v>
      </c>
      <c r="U18" t="str">
        <f t="shared" si="0"/>
        <v>Week 4</v>
      </c>
    </row>
    <row r="19" spans="1:21" x14ac:dyDescent="0.25">
      <c r="A19" s="1">
        <v>18</v>
      </c>
      <c r="B19" s="1" t="s">
        <v>2949</v>
      </c>
      <c r="C19" s="2">
        <v>46141</v>
      </c>
      <c r="D19" s="1" t="s">
        <v>306</v>
      </c>
      <c r="E19" s="1" t="s">
        <v>99</v>
      </c>
      <c r="F19" s="1" t="s">
        <v>30</v>
      </c>
      <c r="G19" s="1" t="s">
        <v>24</v>
      </c>
      <c r="H19" s="1">
        <v>1</v>
      </c>
      <c r="I19" s="1" t="s">
        <v>2950</v>
      </c>
      <c r="J19" s="1"/>
      <c r="K19" s="1">
        <v>2348400</v>
      </c>
      <c r="L19" s="1">
        <v>0</v>
      </c>
      <c r="M19" s="1">
        <v>0</v>
      </c>
      <c r="N19" s="1">
        <v>258324</v>
      </c>
      <c r="O19" s="1">
        <v>0</v>
      </c>
      <c r="P19" s="1">
        <v>0</v>
      </c>
      <c r="Q19" s="1">
        <v>0</v>
      </c>
      <c r="R19" s="1">
        <v>2606724</v>
      </c>
      <c r="S19" s="1">
        <v>148396</v>
      </c>
      <c r="T19" s="1">
        <v>6.3190257196389004</v>
      </c>
      <c r="U19" t="str">
        <f t="shared" si="0"/>
        <v>Week 4</v>
      </c>
    </row>
    <row r="20" spans="1:21" x14ac:dyDescent="0.25">
      <c r="A20" s="1">
        <v>19</v>
      </c>
      <c r="B20" s="1" t="s">
        <v>2951</v>
      </c>
      <c r="C20" s="2">
        <v>46141</v>
      </c>
      <c r="D20" s="1" t="s">
        <v>421</v>
      </c>
      <c r="E20" s="1" t="s">
        <v>203</v>
      </c>
      <c r="F20" s="1" t="s">
        <v>23</v>
      </c>
      <c r="G20" s="1" t="s">
        <v>24</v>
      </c>
      <c r="H20" s="1">
        <v>1</v>
      </c>
      <c r="I20" s="1" t="s">
        <v>1047</v>
      </c>
      <c r="J20" s="1" t="s">
        <v>26</v>
      </c>
      <c r="K20" s="1">
        <v>265000</v>
      </c>
      <c r="L20" s="1">
        <v>0</v>
      </c>
      <c r="M20" s="1">
        <v>0</v>
      </c>
      <c r="N20" s="1">
        <v>29150</v>
      </c>
      <c r="O20" s="1">
        <v>0</v>
      </c>
      <c r="P20" s="1">
        <v>0</v>
      </c>
      <c r="Q20" s="1">
        <v>0</v>
      </c>
      <c r="R20" s="1">
        <v>294150</v>
      </c>
      <c r="S20" s="1">
        <v>265000</v>
      </c>
      <c r="T20" s="1">
        <v>100</v>
      </c>
      <c r="U20" t="str">
        <f t="shared" si="0"/>
        <v>Week 4</v>
      </c>
    </row>
    <row r="21" spans="1:21" x14ac:dyDescent="0.25">
      <c r="A21" s="1">
        <v>20</v>
      </c>
      <c r="B21" s="1" t="s">
        <v>2952</v>
      </c>
      <c r="C21" s="2">
        <v>46141</v>
      </c>
      <c r="D21" s="1" t="s">
        <v>21</v>
      </c>
      <c r="E21" s="1" t="s">
        <v>22</v>
      </c>
      <c r="F21" s="1" t="s">
        <v>30</v>
      </c>
      <c r="G21" s="1" t="s">
        <v>24</v>
      </c>
      <c r="H21" s="1">
        <v>1</v>
      </c>
      <c r="I21" s="1" t="s">
        <v>2953</v>
      </c>
      <c r="J21" s="1" t="s">
        <v>26</v>
      </c>
      <c r="K21" s="1">
        <v>13677028.98</v>
      </c>
      <c r="L21" s="1">
        <v>0</v>
      </c>
      <c r="M21" s="1">
        <v>0</v>
      </c>
      <c r="N21" s="1">
        <v>1504473.1878</v>
      </c>
      <c r="O21" s="1">
        <v>0</v>
      </c>
      <c r="P21" s="1">
        <v>0</v>
      </c>
      <c r="Q21" s="1">
        <v>0</v>
      </c>
      <c r="R21" s="1">
        <v>15181502.1678</v>
      </c>
      <c r="S21" s="1">
        <v>3265972.9034250001</v>
      </c>
      <c r="T21" s="1">
        <v>23.879257024320001</v>
      </c>
      <c r="U21" t="str">
        <f t="shared" si="0"/>
        <v>Week 4</v>
      </c>
    </row>
    <row r="22" spans="1:21" x14ac:dyDescent="0.25">
      <c r="A22" s="1">
        <v>21</v>
      </c>
      <c r="B22" s="1" t="s">
        <v>2954</v>
      </c>
      <c r="C22" s="2">
        <v>46141</v>
      </c>
      <c r="D22" s="1" t="s">
        <v>306</v>
      </c>
      <c r="E22" s="1" t="s">
        <v>99</v>
      </c>
      <c r="F22" s="1" t="s">
        <v>30</v>
      </c>
      <c r="G22" s="1" t="s">
        <v>24</v>
      </c>
      <c r="H22" s="1">
        <v>1</v>
      </c>
      <c r="I22" s="1" t="s">
        <v>2955</v>
      </c>
      <c r="J22" s="1" t="s">
        <v>26</v>
      </c>
      <c r="K22" s="1">
        <v>29543972</v>
      </c>
      <c r="L22" s="1">
        <v>0</v>
      </c>
      <c r="M22" s="1">
        <v>0</v>
      </c>
      <c r="N22" s="1">
        <v>3249836.92</v>
      </c>
      <c r="O22" s="1">
        <v>0</v>
      </c>
      <c r="P22" s="1">
        <v>0</v>
      </c>
      <c r="Q22" s="1">
        <v>0</v>
      </c>
      <c r="R22" s="1">
        <v>32793808.920000002</v>
      </c>
      <c r="S22" s="1">
        <v>570772</v>
      </c>
      <c r="T22" s="1">
        <v>1.9319406341165</v>
      </c>
      <c r="U22" t="str">
        <f t="shared" si="0"/>
        <v>Week 4</v>
      </c>
    </row>
    <row r="23" spans="1:21" x14ac:dyDescent="0.25">
      <c r="A23" s="1">
        <v>22</v>
      </c>
      <c r="B23" s="1" t="s">
        <v>2956</v>
      </c>
      <c r="C23" s="2">
        <v>46141</v>
      </c>
      <c r="D23" s="1" t="s">
        <v>33</v>
      </c>
      <c r="E23" s="1" t="s">
        <v>34</v>
      </c>
      <c r="F23" s="1" t="s">
        <v>23</v>
      </c>
      <c r="G23" s="1" t="s">
        <v>24</v>
      </c>
      <c r="H23" s="1">
        <v>1</v>
      </c>
      <c r="I23" s="1" t="s">
        <v>2957</v>
      </c>
      <c r="J23" s="1"/>
      <c r="K23" s="1">
        <v>1250000</v>
      </c>
      <c r="L23" s="1">
        <v>0</v>
      </c>
      <c r="M23" s="1">
        <v>0</v>
      </c>
      <c r="N23" s="1">
        <v>137500</v>
      </c>
      <c r="O23" s="1">
        <v>0</v>
      </c>
      <c r="P23" s="1">
        <v>0</v>
      </c>
      <c r="Q23" s="1">
        <v>0</v>
      </c>
      <c r="R23" s="1">
        <v>1387500</v>
      </c>
      <c r="S23" s="1">
        <v>609800</v>
      </c>
      <c r="T23" s="1">
        <v>48.783999999999999</v>
      </c>
      <c r="U23" t="str">
        <f t="shared" si="0"/>
        <v>Week 4</v>
      </c>
    </row>
    <row r="24" spans="1:21" x14ac:dyDescent="0.25">
      <c r="A24" s="1">
        <v>23</v>
      </c>
      <c r="B24" s="1" t="s">
        <v>2958</v>
      </c>
      <c r="C24" s="2">
        <v>46141</v>
      </c>
      <c r="D24" s="1" t="s">
        <v>53</v>
      </c>
      <c r="E24" s="1" t="s">
        <v>54</v>
      </c>
      <c r="F24" s="1" t="s">
        <v>30</v>
      </c>
      <c r="G24" s="1" t="s">
        <v>24</v>
      </c>
      <c r="H24" s="1">
        <v>1</v>
      </c>
      <c r="I24" s="1" t="s">
        <v>2959</v>
      </c>
      <c r="J24" s="1"/>
      <c r="K24" s="1">
        <v>38134250</v>
      </c>
      <c r="L24" s="1">
        <v>0</v>
      </c>
      <c r="M24" s="1">
        <v>0</v>
      </c>
      <c r="N24" s="1">
        <v>4194767.5</v>
      </c>
      <c r="O24" s="1">
        <v>0</v>
      </c>
      <c r="P24" s="1">
        <v>0</v>
      </c>
      <c r="Q24" s="1">
        <v>0</v>
      </c>
      <c r="R24" s="1">
        <v>42329017.5</v>
      </c>
      <c r="S24" s="1">
        <v>7784250</v>
      </c>
      <c r="T24" s="1">
        <v>20.412752315832002</v>
      </c>
      <c r="U24" t="str">
        <f t="shared" si="0"/>
        <v>Week 4</v>
      </c>
    </row>
    <row r="25" spans="1:21" x14ac:dyDescent="0.25">
      <c r="A25" s="1">
        <v>24</v>
      </c>
      <c r="B25" s="1" t="s">
        <v>2960</v>
      </c>
      <c r="C25" s="2">
        <v>46141</v>
      </c>
      <c r="D25" s="1" t="s">
        <v>33</v>
      </c>
      <c r="E25" s="1" t="s">
        <v>34</v>
      </c>
      <c r="F25" s="1" t="s">
        <v>23</v>
      </c>
      <c r="G25" s="1" t="s">
        <v>24</v>
      </c>
      <c r="H25" s="1">
        <v>1</v>
      </c>
      <c r="I25" s="1" t="s">
        <v>2957</v>
      </c>
      <c r="J25" s="1"/>
      <c r="K25" s="1">
        <v>5927048.6486477004</v>
      </c>
      <c r="L25" s="1">
        <v>0</v>
      </c>
      <c r="M25" s="1">
        <v>0</v>
      </c>
      <c r="N25" s="1">
        <v>651975.35135124996</v>
      </c>
      <c r="O25" s="1">
        <v>0</v>
      </c>
      <c r="P25" s="1">
        <v>0</v>
      </c>
      <c r="Q25" s="1">
        <v>0</v>
      </c>
      <c r="R25" s="1">
        <v>6579023.9999989001</v>
      </c>
      <c r="S25" s="1">
        <v>2738421.1886477</v>
      </c>
      <c r="T25" s="1">
        <v>46.202104132762003</v>
      </c>
      <c r="U25" t="str">
        <f t="shared" si="0"/>
        <v>Week 4</v>
      </c>
    </row>
    <row r="26" spans="1:21" x14ac:dyDescent="0.25">
      <c r="A26" s="1">
        <v>25</v>
      </c>
      <c r="B26" s="1" t="s">
        <v>2961</v>
      </c>
      <c r="C26" s="2">
        <v>46141</v>
      </c>
      <c r="D26" s="1" t="s">
        <v>33</v>
      </c>
      <c r="E26" s="1" t="s">
        <v>34</v>
      </c>
      <c r="F26" s="1" t="s">
        <v>30</v>
      </c>
      <c r="G26" s="1" t="s">
        <v>24</v>
      </c>
      <c r="H26" s="1">
        <v>1</v>
      </c>
      <c r="I26" s="1" t="s">
        <v>2962</v>
      </c>
      <c r="J26" s="1"/>
      <c r="K26" s="1">
        <v>71777911</v>
      </c>
      <c r="L26" s="1">
        <v>0</v>
      </c>
      <c r="M26" s="1">
        <v>0</v>
      </c>
      <c r="N26" s="1">
        <v>7895570.21</v>
      </c>
      <c r="O26" s="1">
        <v>0</v>
      </c>
      <c r="P26" s="1">
        <v>0</v>
      </c>
      <c r="Q26" s="1">
        <v>0</v>
      </c>
      <c r="R26" s="1">
        <v>79673481.209999993</v>
      </c>
      <c r="S26" s="1">
        <v>-1577089</v>
      </c>
      <c r="T26" s="1">
        <v>-2.1971787392921001</v>
      </c>
      <c r="U26" t="str">
        <f t="shared" si="0"/>
        <v>Week 4</v>
      </c>
    </row>
    <row r="27" spans="1:21" x14ac:dyDescent="0.25">
      <c r="A27" s="1">
        <v>26</v>
      </c>
      <c r="B27" s="1" t="s">
        <v>2963</v>
      </c>
      <c r="C27" s="2">
        <v>46141</v>
      </c>
      <c r="D27" s="1" t="s">
        <v>349</v>
      </c>
      <c r="E27" s="1" t="s">
        <v>29</v>
      </c>
      <c r="F27" s="1" t="s">
        <v>30</v>
      </c>
      <c r="G27" s="1" t="s">
        <v>24</v>
      </c>
      <c r="H27" s="1">
        <v>1</v>
      </c>
      <c r="I27" s="1" t="s">
        <v>2964</v>
      </c>
      <c r="J27" s="1"/>
      <c r="K27" s="1">
        <v>297974.88</v>
      </c>
      <c r="L27" s="1">
        <v>0</v>
      </c>
      <c r="M27" s="1">
        <v>0</v>
      </c>
      <c r="N27" s="1">
        <v>32777.236799999999</v>
      </c>
      <c r="O27" s="1">
        <v>0</v>
      </c>
      <c r="P27" s="1">
        <v>0</v>
      </c>
      <c r="Q27" s="1">
        <v>0</v>
      </c>
      <c r="R27" s="1">
        <v>330752.11680000002</v>
      </c>
      <c r="S27" s="1">
        <v>27974.880000000001</v>
      </c>
      <c r="T27" s="1">
        <v>9.3883350166967006</v>
      </c>
      <c r="U27" t="str">
        <f t="shared" si="0"/>
        <v>Week 4</v>
      </c>
    </row>
    <row r="28" spans="1:21" x14ac:dyDescent="0.25">
      <c r="A28" s="1">
        <v>27</v>
      </c>
      <c r="B28" s="1" t="s">
        <v>2965</v>
      </c>
      <c r="C28" s="2">
        <v>46141</v>
      </c>
      <c r="D28" s="1" t="s">
        <v>33</v>
      </c>
      <c r="E28" s="1" t="s">
        <v>34</v>
      </c>
      <c r="F28" s="1" t="s">
        <v>30</v>
      </c>
      <c r="G28" s="1" t="s">
        <v>24</v>
      </c>
      <c r="H28" s="1">
        <v>1</v>
      </c>
      <c r="I28" s="1" t="s">
        <v>2966</v>
      </c>
      <c r="J28" s="1"/>
      <c r="K28" s="1">
        <v>5880000</v>
      </c>
      <c r="L28" s="1">
        <v>0</v>
      </c>
      <c r="M28" s="1">
        <v>0</v>
      </c>
      <c r="N28" s="1">
        <v>646800</v>
      </c>
      <c r="O28" s="1">
        <v>0</v>
      </c>
      <c r="P28" s="1">
        <v>0</v>
      </c>
      <c r="Q28" s="1">
        <v>0</v>
      </c>
      <c r="R28" s="1">
        <v>6526800</v>
      </c>
      <c r="S28" s="1">
        <v>3980000</v>
      </c>
      <c r="T28" s="1">
        <v>67.687074829932001</v>
      </c>
      <c r="U28" t="str">
        <f t="shared" si="0"/>
        <v>Week 4</v>
      </c>
    </row>
    <row r="29" spans="1:21" x14ac:dyDescent="0.25">
      <c r="A29" s="1">
        <v>28</v>
      </c>
      <c r="B29" s="1" t="s">
        <v>2967</v>
      </c>
      <c r="C29" s="2">
        <v>46141</v>
      </c>
      <c r="D29" s="1" t="s">
        <v>321</v>
      </c>
      <c r="E29" s="1" t="s">
        <v>192</v>
      </c>
      <c r="F29" s="1" t="s">
        <v>23</v>
      </c>
      <c r="G29" s="1" t="s">
        <v>24</v>
      </c>
      <c r="H29" s="1">
        <v>1</v>
      </c>
      <c r="I29" s="1" t="s">
        <v>2968</v>
      </c>
      <c r="J29" s="1" t="s">
        <v>56</v>
      </c>
      <c r="K29" s="1">
        <v>2950000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2950000</v>
      </c>
      <c r="S29" s="1">
        <v>506000</v>
      </c>
      <c r="T29" s="1">
        <v>17.152542372881001</v>
      </c>
      <c r="U29" t="str">
        <f t="shared" si="0"/>
        <v>Week 4</v>
      </c>
    </row>
    <row r="30" spans="1:21" x14ac:dyDescent="0.25">
      <c r="A30" s="1">
        <v>29</v>
      </c>
      <c r="B30" s="1" t="s">
        <v>2969</v>
      </c>
      <c r="C30" s="2">
        <v>46141</v>
      </c>
      <c r="D30" s="1" t="s">
        <v>37</v>
      </c>
      <c r="E30" s="1" t="s">
        <v>38</v>
      </c>
      <c r="F30" s="1" t="s">
        <v>30</v>
      </c>
      <c r="G30" s="1" t="s">
        <v>24</v>
      </c>
      <c r="H30" s="1">
        <v>1</v>
      </c>
      <c r="I30" s="1" t="s">
        <v>94</v>
      </c>
      <c r="J30" s="1"/>
      <c r="K30" s="1">
        <v>966280</v>
      </c>
      <c r="L30" s="1">
        <v>0</v>
      </c>
      <c r="M30" s="1">
        <v>0</v>
      </c>
      <c r="N30" s="1">
        <v>106290.8</v>
      </c>
      <c r="O30" s="1">
        <v>0</v>
      </c>
      <c r="P30" s="1">
        <v>0</v>
      </c>
      <c r="Q30" s="1">
        <v>0</v>
      </c>
      <c r="R30" s="1">
        <v>1072570.8</v>
      </c>
      <c r="S30" s="1">
        <v>732608.83</v>
      </c>
      <c r="T30" s="1">
        <v>75.817447323756994</v>
      </c>
      <c r="U30" t="str">
        <f t="shared" si="0"/>
        <v>Week 4</v>
      </c>
    </row>
    <row r="31" spans="1:21" x14ac:dyDescent="0.25">
      <c r="A31" s="1">
        <v>30</v>
      </c>
      <c r="B31" s="1" t="s">
        <v>2970</v>
      </c>
      <c r="C31" s="2">
        <v>46141</v>
      </c>
      <c r="D31" s="1" t="s">
        <v>21</v>
      </c>
      <c r="E31" s="1" t="s">
        <v>22</v>
      </c>
      <c r="F31" s="1" t="s">
        <v>23</v>
      </c>
      <c r="G31" s="1" t="s">
        <v>24</v>
      </c>
      <c r="H31" s="1">
        <v>1</v>
      </c>
      <c r="I31" s="1" t="s">
        <v>2971</v>
      </c>
      <c r="J31" s="1" t="s">
        <v>26</v>
      </c>
      <c r="K31" s="1">
        <v>18960000</v>
      </c>
      <c r="L31" s="1">
        <v>0</v>
      </c>
      <c r="M31" s="1">
        <v>0</v>
      </c>
      <c r="N31" s="1">
        <v>2085600</v>
      </c>
      <c r="O31" s="1">
        <v>0</v>
      </c>
      <c r="P31" s="1">
        <v>0</v>
      </c>
      <c r="Q31" s="1">
        <v>0</v>
      </c>
      <c r="R31" s="1">
        <v>21045600</v>
      </c>
      <c r="S31" s="1">
        <v>10980000</v>
      </c>
      <c r="T31" s="1">
        <v>57.911392405062998</v>
      </c>
      <c r="U31" t="str">
        <f t="shared" si="0"/>
        <v>Week 4</v>
      </c>
    </row>
    <row r="32" spans="1:21" x14ac:dyDescent="0.25">
      <c r="A32" s="1">
        <v>31</v>
      </c>
      <c r="B32" s="1" t="s">
        <v>2972</v>
      </c>
      <c r="C32" s="2">
        <v>46141</v>
      </c>
      <c r="D32" s="1" t="s">
        <v>202</v>
      </c>
      <c r="E32" s="1" t="s">
        <v>203</v>
      </c>
      <c r="F32" s="1" t="s">
        <v>30</v>
      </c>
      <c r="G32" s="1" t="s">
        <v>24</v>
      </c>
      <c r="H32" s="1">
        <v>1</v>
      </c>
      <c r="I32" s="1" t="s">
        <v>2973</v>
      </c>
      <c r="J32" s="1"/>
      <c r="K32" s="1">
        <v>150000</v>
      </c>
      <c r="L32" s="1">
        <v>0</v>
      </c>
      <c r="M32" s="1">
        <v>0</v>
      </c>
      <c r="N32" s="1">
        <v>16500</v>
      </c>
      <c r="O32" s="1">
        <v>0</v>
      </c>
      <c r="P32" s="1">
        <v>0</v>
      </c>
      <c r="Q32" s="1">
        <v>0</v>
      </c>
      <c r="R32" s="1">
        <v>166500</v>
      </c>
      <c r="S32" s="1">
        <v>9699.99</v>
      </c>
      <c r="T32" s="1">
        <v>6.4666600000000001</v>
      </c>
      <c r="U32" t="str">
        <f t="shared" si="0"/>
        <v>Week 4</v>
      </c>
    </row>
    <row r="33" spans="1:21" x14ac:dyDescent="0.25">
      <c r="A33" s="1">
        <v>32</v>
      </c>
      <c r="B33" s="1" t="s">
        <v>2974</v>
      </c>
      <c r="C33" s="2">
        <v>46141</v>
      </c>
      <c r="D33" s="1" t="s">
        <v>53</v>
      </c>
      <c r="E33" s="1" t="s">
        <v>54</v>
      </c>
      <c r="F33" s="1" t="s">
        <v>30</v>
      </c>
      <c r="G33" s="1" t="s">
        <v>24</v>
      </c>
      <c r="H33" s="1">
        <v>1</v>
      </c>
      <c r="I33" s="1" t="s">
        <v>2975</v>
      </c>
      <c r="J33" s="1"/>
      <c r="K33" s="1">
        <v>831348</v>
      </c>
      <c r="L33" s="1">
        <v>0</v>
      </c>
      <c r="M33" s="1">
        <v>0</v>
      </c>
      <c r="N33" s="1">
        <v>91448.28</v>
      </c>
      <c r="O33" s="1">
        <v>0</v>
      </c>
      <c r="P33" s="1">
        <v>0</v>
      </c>
      <c r="Q33" s="1">
        <v>0</v>
      </c>
      <c r="R33" s="1">
        <v>922796.28</v>
      </c>
      <c r="S33" s="1">
        <v>461906.56</v>
      </c>
      <c r="T33" s="1">
        <v>55.561156098288997</v>
      </c>
      <c r="U33" t="str">
        <f t="shared" si="0"/>
        <v>Week 4</v>
      </c>
    </row>
    <row r="34" spans="1:21" x14ac:dyDescent="0.25">
      <c r="A34" s="1">
        <v>33</v>
      </c>
      <c r="B34" s="1" t="s">
        <v>2976</v>
      </c>
      <c r="C34" s="2">
        <v>46141</v>
      </c>
      <c r="D34" s="1" t="s">
        <v>306</v>
      </c>
      <c r="E34" s="1" t="s">
        <v>99</v>
      </c>
      <c r="F34" s="1" t="s">
        <v>30</v>
      </c>
      <c r="G34" s="1" t="s">
        <v>24</v>
      </c>
      <c r="H34" s="1">
        <v>1</v>
      </c>
      <c r="I34" s="1" t="s">
        <v>2977</v>
      </c>
      <c r="J34" s="1"/>
      <c r="K34" s="1">
        <v>1352390</v>
      </c>
      <c r="L34" s="1">
        <v>0</v>
      </c>
      <c r="M34" s="1">
        <v>0</v>
      </c>
      <c r="N34" s="1">
        <v>148762.9</v>
      </c>
      <c r="O34" s="1">
        <v>0</v>
      </c>
      <c r="P34" s="1">
        <v>0</v>
      </c>
      <c r="Q34" s="1">
        <v>0</v>
      </c>
      <c r="R34" s="1">
        <v>1501152.9</v>
      </c>
      <c r="S34" s="1">
        <v>250590</v>
      </c>
      <c r="T34" s="1">
        <v>18.529418289102999</v>
      </c>
      <c r="U34" t="str">
        <f t="shared" si="0"/>
        <v>Week 4</v>
      </c>
    </row>
    <row r="35" spans="1:21" x14ac:dyDescent="0.25">
      <c r="A35" s="1">
        <v>34</v>
      </c>
      <c r="B35" s="1" t="s">
        <v>2978</v>
      </c>
      <c r="C35" s="2">
        <v>46141</v>
      </c>
      <c r="D35" s="1" t="s">
        <v>2979</v>
      </c>
      <c r="E35" s="1" t="s">
        <v>203</v>
      </c>
      <c r="F35" s="1" t="s">
        <v>30</v>
      </c>
      <c r="G35" s="1" t="s">
        <v>24</v>
      </c>
      <c r="H35" s="1">
        <v>1</v>
      </c>
      <c r="I35" s="1" t="s">
        <v>2980</v>
      </c>
      <c r="J35" s="1" t="s">
        <v>26</v>
      </c>
      <c r="K35" s="1">
        <v>18231000</v>
      </c>
      <c r="L35" s="1">
        <v>0</v>
      </c>
      <c r="M35" s="1">
        <v>0</v>
      </c>
      <c r="N35" s="1">
        <v>2005410</v>
      </c>
      <c r="O35" s="1">
        <v>0</v>
      </c>
      <c r="P35" s="1">
        <v>0</v>
      </c>
      <c r="Q35" s="1">
        <v>0</v>
      </c>
      <c r="R35" s="1">
        <v>20236410</v>
      </c>
      <c r="S35" s="1">
        <v>1341000</v>
      </c>
      <c r="T35" s="1">
        <v>7.3556030936317001</v>
      </c>
      <c r="U35" t="str">
        <f t="shared" si="0"/>
        <v>Week 4</v>
      </c>
    </row>
    <row r="36" spans="1:21" x14ac:dyDescent="0.25">
      <c r="A36" s="1">
        <v>35</v>
      </c>
      <c r="B36" s="1" t="s">
        <v>2981</v>
      </c>
      <c r="C36" s="2">
        <v>46141</v>
      </c>
      <c r="D36" s="1" t="s">
        <v>53</v>
      </c>
      <c r="E36" s="1" t="s">
        <v>54</v>
      </c>
      <c r="F36" s="1" t="s">
        <v>30</v>
      </c>
      <c r="G36" s="1" t="s">
        <v>24</v>
      </c>
      <c r="H36" s="1">
        <v>1</v>
      </c>
      <c r="I36" s="1" t="s">
        <v>2982</v>
      </c>
      <c r="J36" s="1"/>
      <c r="K36" s="1">
        <v>403707683.68000001</v>
      </c>
      <c r="L36" s="1">
        <v>0</v>
      </c>
      <c r="M36" s="1">
        <v>0</v>
      </c>
      <c r="N36" s="1">
        <v>44407845.204800002</v>
      </c>
      <c r="O36" s="1">
        <v>0</v>
      </c>
      <c r="P36" s="1">
        <v>0</v>
      </c>
      <c r="Q36" s="1">
        <v>0</v>
      </c>
      <c r="R36" s="1">
        <v>448115528.88480002</v>
      </c>
      <c r="S36" s="1">
        <v>53840530.526846997</v>
      </c>
      <c r="T36" s="1">
        <v>13.336513696261999</v>
      </c>
      <c r="U36" t="str">
        <f t="shared" si="0"/>
        <v>Week 4</v>
      </c>
    </row>
    <row r="37" spans="1:21" x14ac:dyDescent="0.25">
      <c r="A37" s="1">
        <v>36</v>
      </c>
      <c r="B37" s="1" t="s">
        <v>2983</v>
      </c>
      <c r="C37" s="2">
        <v>46141</v>
      </c>
      <c r="D37" s="1" t="s">
        <v>248</v>
      </c>
      <c r="E37" s="1" t="s">
        <v>116</v>
      </c>
      <c r="F37" s="1" t="s">
        <v>30</v>
      </c>
      <c r="G37" s="1" t="s">
        <v>24</v>
      </c>
      <c r="H37" s="1">
        <v>1</v>
      </c>
      <c r="I37" s="1" t="s">
        <v>2984</v>
      </c>
      <c r="J37" s="1" t="s">
        <v>26</v>
      </c>
      <c r="K37" s="1">
        <v>3399000</v>
      </c>
      <c r="L37" s="1">
        <v>0</v>
      </c>
      <c r="M37" s="1">
        <v>0</v>
      </c>
      <c r="N37" s="1">
        <v>373890</v>
      </c>
      <c r="O37" s="1">
        <v>0</v>
      </c>
      <c r="P37" s="1">
        <v>0</v>
      </c>
      <c r="Q37" s="1">
        <v>0</v>
      </c>
      <c r="R37" s="1">
        <v>3772890</v>
      </c>
      <c r="S37" s="1">
        <v>3399000</v>
      </c>
      <c r="T37" s="1">
        <v>100</v>
      </c>
      <c r="U37" t="str">
        <f t="shared" si="0"/>
        <v>Week 4</v>
      </c>
    </row>
    <row r="38" spans="1:21" x14ac:dyDescent="0.25">
      <c r="A38" s="1">
        <v>37</v>
      </c>
      <c r="B38" s="1" t="s">
        <v>2985</v>
      </c>
      <c r="C38" s="2">
        <v>46141</v>
      </c>
      <c r="D38" s="1" t="s">
        <v>33</v>
      </c>
      <c r="E38" s="1" t="s">
        <v>34</v>
      </c>
      <c r="F38" s="1" t="s">
        <v>23</v>
      </c>
      <c r="G38" s="1" t="s">
        <v>24</v>
      </c>
      <c r="H38" s="1">
        <v>1</v>
      </c>
      <c r="I38" s="1" t="s">
        <v>2986</v>
      </c>
      <c r="J38" s="1"/>
      <c r="K38" s="1">
        <v>30110628</v>
      </c>
      <c r="L38" s="1">
        <v>0</v>
      </c>
      <c r="M38" s="1">
        <v>0</v>
      </c>
      <c r="N38" s="1">
        <v>3312169.08</v>
      </c>
      <c r="O38" s="1">
        <v>0</v>
      </c>
      <c r="P38" s="1">
        <v>0</v>
      </c>
      <c r="Q38" s="1">
        <v>0</v>
      </c>
      <c r="R38" s="1">
        <v>33422797.079999998</v>
      </c>
      <c r="S38" s="1">
        <v>8903909.7363063991</v>
      </c>
      <c r="T38" s="1">
        <v>29.570654375945001</v>
      </c>
      <c r="U38" t="str">
        <f t="shared" si="0"/>
        <v>Week 4</v>
      </c>
    </row>
    <row r="39" spans="1:21" x14ac:dyDescent="0.25">
      <c r="A39" s="1">
        <v>38</v>
      </c>
      <c r="B39" s="1" t="s">
        <v>2987</v>
      </c>
      <c r="C39" s="2">
        <v>46141</v>
      </c>
      <c r="D39" s="1" t="s">
        <v>321</v>
      </c>
      <c r="E39" s="1" t="s">
        <v>192</v>
      </c>
      <c r="F39" s="1" t="s">
        <v>23</v>
      </c>
      <c r="G39" s="1" t="s">
        <v>24</v>
      </c>
      <c r="H39" s="1">
        <v>1</v>
      </c>
      <c r="I39" s="1" t="s">
        <v>2988</v>
      </c>
      <c r="J39" s="1" t="s">
        <v>56</v>
      </c>
      <c r="K39" s="1">
        <v>14750000</v>
      </c>
      <c r="L39" s="1">
        <v>0</v>
      </c>
      <c r="M39" s="1">
        <v>0</v>
      </c>
      <c r="N39" s="1">
        <v>1622500</v>
      </c>
      <c r="O39" s="1">
        <v>0</v>
      </c>
      <c r="P39" s="1">
        <v>0</v>
      </c>
      <c r="Q39" s="1">
        <v>0</v>
      </c>
      <c r="R39" s="1">
        <v>16372500</v>
      </c>
      <c r="S39" s="1">
        <v>2750000</v>
      </c>
      <c r="T39" s="1">
        <v>18.644067796609999</v>
      </c>
      <c r="U39" t="str">
        <f t="shared" si="0"/>
        <v>Week 4</v>
      </c>
    </row>
    <row r="40" spans="1:21" x14ac:dyDescent="0.25">
      <c r="A40" s="1">
        <v>39</v>
      </c>
      <c r="B40" s="1" t="s">
        <v>2989</v>
      </c>
      <c r="C40" s="2">
        <v>46141</v>
      </c>
      <c r="D40" s="1" t="s">
        <v>33</v>
      </c>
      <c r="E40" s="1" t="s">
        <v>34</v>
      </c>
      <c r="F40" s="1" t="s">
        <v>23</v>
      </c>
      <c r="G40" s="1" t="s">
        <v>24</v>
      </c>
      <c r="H40" s="1">
        <v>1</v>
      </c>
      <c r="I40" s="1" t="s">
        <v>145</v>
      </c>
      <c r="J40" s="1"/>
      <c r="K40" s="1">
        <v>1480000</v>
      </c>
      <c r="L40" s="1">
        <v>0</v>
      </c>
      <c r="M40" s="1">
        <v>0</v>
      </c>
      <c r="N40" s="1">
        <v>162800</v>
      </c>
      <c r="O40" s="1">
        <v>0</v>
      </c>
      <c r="P40" s="1">
        <v>0</v>
      </c>
      <c r="Q40" s="1">
        <v>0</v>
      </c>
      <c r="R40" s="1">
        <v>1642800</v>
      </c>
      <c r="S40" s="1">
        <v>499819.84</v>
      </c>
      <c r="T40" s="1">
        <v>33.771610810810998</v>
      </c>
      <c r="U40" t="str">
        <f t="shared" si="0"/>
        <v>Week 4</v>
      </c>
    </row>
    <row r="41" spans="1:21" x14ac:dyDescent="0.25">
      <c r="A41" s="1">
        <v>40</v>
      </c>
      <c r="B41" s="1" t="s">
        <v>2990</v>
      </c>
      <c r="C41" s="2">
        <v>46141</v>
      </c>
      <c r="D41" s="1" t="s">
        <v>21</v>
      </c>
      <c r="E41" s="1" t="s">
        <v>22</v>
      </c>
      <c r="F41" s="1" t="s">
        <v>30</v>
      </c>
      <c r="G41" s="1" t="s">
        <v>24</v>
      </c>
      <c r="H41" s="1">
        <v>1</v>
      </c>
      <c r="I41" s="1" t="s">
        <v>2991</v>
      </c>
      <c r="J41" s="1" t="s">
        <v>26</v>
      </c>
      <c r="K41" s="1">
        <v>16132977.060000001</v>
      </c>
      <c r="L41" s="1">
        <v>0</v>
      </c>
      <c r="M41" s="1">
        <v>0</v>
      </c>
      <c r="N41" s="1">
        <v>1774627.4765999999</v>
      </c>
      <c r="O41" s="1">
        <v>0</v>
      </c>
      <c r="P41" s="1">
        <v>0</v>
      </c>
      <c r="Q41" s="1">
        <v>0</v>
      </c>
      <c r="R41" s="1">
        <v>17907604.536600001</v>
      </c>
      <c r="S41" s="1">
        <v>3588148.5104522002</v>
      </c>
      <c r="T41" s="1">
        <v>22.2410810919</v>
      </c>
      <c r="U41" t="str">
        <f t="shared" si="0"/>
        <v>Week 4</v>
      </c>
    </row>
    <row r="42" spans="1:21" x14ac:dyDescent="0.25">
      <c r="A42" s="1">
        <v>41</v>
      </c>
      <c r="B42" s="1" t="s">
        <v>2992</v>
      </c>
      <c r="C42" s="2">
        <v>46141</v>
      </c>
      <c r="D42" s="1" t="s">
        <v>202</v>
      </c>
      <c r="E42" s="1" t="s">
        <v>203</v>
      </c>
      <c r="F42" s="1" t="s">
        <v>23</v>
      </c>
      <c r="G42" s="1" t="s">
        <v>24</v>
      </c>
      <c r="H42" s="1">
        <v>1</v>
      </c>
      <c r="I42" s="1" t="s">
        <v>2993</v>
      </c>
      <c r="J42" s="1" t="s">
        <v>26</v>
      </c>
      <c r="K42" s="1">
        <v>5708750</v>
      </c>
      <c r="L42" s="1">
        <v>0</v>
      </c>
      <c r="M42" s="1">
        <v>0</v>
      </c>
      <c r="N42" s="1">
        <v>627962.5</v>
      </c>
      <c r="O42" s="1">
        <v>0</v>
      </c>
      <c r="P42" s="1">
        <v>0</v>
      </c>
      <c r="Q42" s="1">
        <v>0</v>
      </c>
      <c r="R42" s="1">
        <v>6336712.5</v>
      </c>
      <c r="S42" s="1">
        <v>2653525</v>
      </c>
      <c r="T42" s="1">
        <v>46.481716663016996</v>
      </c>
      <c r="U42" t="str">
        <f t="shared" si="0"/>
        <v>Week 4</v>
      </c>
    </row>
    <row r="43" spans="1:21" x14ac:dyDescent="0.25">
      <c r="A43" s="1">
        <v>42</v>
      </c>
      <c r="B43" s="1" t="s">
        <v>2994</v>
      </c>
      <c r="C43" s="2">
        <v>46141</v>
      </c>
      <c r="D43" s="1" t="s">
        <v>37</v>
      </c>
      <c r="E43" s="1" t="s">
        <v>38</v>
      </c>
      <c r="F43" s="1" t="s">
        <v>23</v>
      </c>
      <c r="G43" s="1" t="s">
        <v>24</v>
      </c>
      <c r="H43" s="1">
        <v>1</v>
      </c>
      <c r="I43" s="1" t="s">
        <v>2995</v>
      </c>
      <c r="J43" s="1" t="s">
        <v>26</v>
      </c>
      <c r="K43" s="1">
        <v>257352</v>
      </c>
      <c r="L43" s="1">
        <v>0</v>
      </c>
      <c r="M43" s="1">
        <v>0</v>
      </c>
      <c r="N43" s="1">
        <v>28308.720000000001</v>
      </c>
      <c r="O43" s="1">
        <v>0</v>
      </c>
      <c r="P43" s="1">
        <v>0</v>
      </c>
      <c r="Q43" s="1">
        <v>0</v>
      </c>
      <c r="R43" s="1">
        <v>285660.71999999997</v>
      </c>
      <c r="S43" s="1">
        <v>175249</v>
      </c>
      <c r="T43" s="1">
        <v>68.097003326183994</v>
      </c>
      <c r="U43" t="str">
        <f t="shared" si="0"/>
        <v>Week 4</v>
      </c>
    </row>
    <row r="44" spans="1:21" x14ac:dyDescent="0.25">
      <c r="A44" s="1">
        <v>43</v>
      </c>
      <c r="B44" s="1" t="s">
        <v>2996</v>
      </c>
      <c r="C44" s="2">
        <v>46141</v>
      </c>
      <c r="D44" s="1" t="s">
        <v>33</v>
      </c>
      <c r="E44" s="1" t="s">
        <v>34</v>
      </c>
      <c r="F44" s="1" t="s">
        <v>30</v>
      </c>
      <c r="G44" s="1" t="s">
        <v>24</v>
      </c>
      <c r="H44" s="1">
        <v>1</v>
      </c>
      <c r="I44" s="1" t="s">
        <v>2997</v>
      </c>
      <c r="J44" s="1"/>
      <c r="K44" s="1">
        <v>16259670</v>
      </c>
      <c r="L44" s="1">
        <v>0</v>
      </c>
      <c r="M44" s="1">
        <v>0</v>
      </c>
      <c r="N44" s="1">
        <v>1788563.7</v>
      </c>
      <c r="O44" s="1">
        <v>0</v>
      </c>
      <c r="P44" s="1">
        <v>0</v>
      </c>
      <c r="Q44" s="1">
        <v>0</v>
      </c>
      <c r="R44" s="1">
        <v>18048233.699999999</v>
      </c>
      <c r="S44" s="1">
        <v>2256572.6956757</v>
      </c>
      <c r="T44" s="1">
        <v>13.878342522792</v>
      </c>
      <c r="U44" t="str">
        <f t="shared" si="0"/>
        <v>Week 4</v>
      </c>
    </row>
    <row r="45" spans="1:21" x14ac:dyDescent="0.25">
      <c r="A45" s="1">
        <v>44</v>
      </c>
      <c r="B45" s="1" t="s">
        <v>2998</v>
      </c>
      <c r="C45" s="2">
        <v>46141</v>
      </c>
      <c r="D45" s="1" t="s">
        <v>53</v>
      </c>
      <c r="E45" s="1" t="s">
        <v>38</v>
      </c>
      <c r="F45" s="1" t="s">
        <v>30</v>
      </c>
      <c r="G45" s="1" t="s">
        <v>24</v>
      </c>
      <c r="H45" s="1">
        <v>1</v>
      </c>
      <c r="I45" s="1" t="s">
        <v>266</v>
      </c>
      <c r="J45" s="1" t="s">
        <v>26</v>
      </c>
      <c r="K45" s="1">
        <v>50274000</v>
      </c>
      <c r="L45" s="1">
        <v>0</v>
      </c>
      <c r="M45" s="1">
        <v>0</v>
      </c>
      <c r="N45" s="1">
        <v>5530140</v>
      </c>
      <c r="O45" s="1">
        <v>0</v>
      </c>
      <c r="P45" s="1">
        <v>0</v>
      </c>
      <c r="Q45" s="1">
        <v>0</v>
      </c>
      <c r="R45" s="1">
        <v>55804140</v>
      </c>
      <c r="S45" s="1">
        <v>30425351.351351</v>
      </c>
      <c r="T45" s="1">
        <v>60.519058263418998</v>
      </c>
      <c r="U45" t="str">
        <f t="shared" si="0"/>
        <v>Week 4</v>
      </c>
    </row>
    <row r="46" spans="1:21" x14ac:dyDescent="0.25">
      <c r="A46" s="1">
        <v>45</v>
      </c>
      <c r="B46" s="1" t="s">
        <v>2423</v>
      </c>
      <c r="C46" s="2">
        <v>46141</v>
      </c>
      <c r="D46" s="1" t="s">
        <v>21</v>
      </c>
      <c r="E46" s="1" t="s">
        <v>22</v>
      </c>
      <c r="F46" s="1" t="s">
        <v>23</v>
      </c>
      <c r="G46" s="1" t="s">
        <v>24</v>
      </c>
      <c r="H46" s="1">
        <v>1</v>
      </c>
      <c r="I46" s="1" t="s">
        <v>2424</v>
      </c>
      <c r="J46" s="1" t="s">
        <v>26</v>
      </c>
      <c r="K46" s="1">
        <v>7700000</v>
      </c>
      <c r="L46" s="1">
        <v>0</v>
      </c>
      <c r="M46" s="1">
        <v>0</v>
      </c>
      <c r="N46" s="1">
        <v>969155</v>
      </c>
      <c r="O46" s="1">
        <v>0</v>
      </c>
      <c r="P46" s="1">
        <v>0</v>
      </c>
      <c r="Q46" s="1">
        <v>0</v>
      </c>
      <c r="R46" s="1">
        <v>8669155</v>
      </c>
      <c r="S46" s="1">
        <v>3948783.7837838</v>
      </c>
      <c r="T46" s="1">
        <v>51.282906282905998</v>
      </c>
      <c r="U46" t="str">
        <f t="shared" si="0"/>
        <v>Week 4</v>
      </c>
    </row>
    <row r="47" spans="1:21" x14ac:dyDescent="0.25">
      <c r="A47" s="1">
        <v>46</v>
      </c>
      <c r="B47" s="1" t="s">
        <v>1425</v>
      </c>
      <c r="C47" s="2">
        <v>46140</v>
      </c>
      <c r="D47" s="1" t="s">
        <v>306</v>
      </c>
      <c r="E47" s="1" t="s">
        <v>99</v>
      </c>
      <c r="F47" s="1" t="s">
        <v>23</v>
      </c>
      <c r="G47" s="1" t="s">
        <v>24</v>
      </c>
      <c r="H47" s="1">
        <v>1</v>
      </c>
      <c r="I47" s="1" t="s">
        <v>2999</v>
      </c>
      <c r="J47" s="1"/>
      <c r="K47" s="1">
        <v>69145250</v>
      </c>
      <c r="L47" s="1">
        <v>0</v>
      </c>
      <c r="M47" s="1">
        <v>0</v>
      </c>
      <c r="N47" s="1">
        <v>7605977.5</v>
      </c>
      <c r="O47" s="1">
        <v>0</v>
      </c>
      <c r="P47" s="1">
        <v>0</v>
      </c>
      <c r="Q47" s="1">
        <v>0</v>
      </c>
      <c r="R47" s="1">
        <v>76751227.5</v>
      </c>
      <c r="S47" s="1">
        <v>33445787.101803001</v>
      </c>
      <c r="T47" s="1">
        <v>48.370332165698997</v>
      </c>
      <c r="U47" t="str">
        <f t="shared" si="0"/>
        <v>Week 4</v>
      </c>
    </row>
    <row r="48" spans="1:21" x14ac:dyDescent="0.25">
      <c r="A48" s="1">
        <v>47</v>
      </c>
      <c r="B48" s="1" t="s">
        <v>3000</v>
      </c>
      <c r="C48" s="2">
        <v>46140</v>
      </c>
      <c r="D48" s="1" t="s">
        <v>53</v>
      </c>
      <c r="E48" s="1" t="s">
        <v>38</v>
      </c>
      <c r="F48" s="1" t="s">
        <v>23</v>
      </c>
      <c r="G48" s="1" t="s">
        <v>24</v>
      </c>
      <c r="H48" s="1">
        <v>1</v>
      </c>
      <c r="I48" s="1" t="s">
        <v>3001</v>
      </c>
      <c r="J48" s="1" t="s">
        <v>56</v>
      </c>
      <c r="K48" s="1">
        <v>580334759</v>
      </c>
      <c r="L48" s="1">
        <v>0</v>
      </c>
      <c r="M48" s="1">
        <v>0</v>
      </c>
      <c r="N48" s="1">
        <v>63836823.490000002</v>
      </c>
      <c r="O48" s="1">
        <v>0</v>
      </c>
      <c r="P48" s="1">
        <v>0</v>
      </c>
      <c r="Q48" s="1">
        <v>0</v>
      </c>
      <c r="R48" s="1">
        <v>644171582.49000001</v>
      </c>
      <c r="S48" s="1">
        <v>223477710.60383999</v>
      </c>
      <c r="T48" s="1">
        <v>38.508413831513998</v>
      </c>
      <c r="U48" t="str">
        <f t="shared" si="0"/>
        <v>Week 4</v>
      </c>
    </row>
    <row r="49" spans="1:21" x14ac:dyDescent="0.25">
      <c r="A49" s="1">
        <v>48</v>
      </c>
      <c r="B49" s="1" t="s">
        <v>3002</v>
      </c>
      <c r="C49" s="2">
        <v>46140</v>
      </c>
      <c r="D49" s="1" t="s">
        <v>98</v>
      </c>
      <c r="E49" s="1" t="s">
        <v>99</v>
      </c>
      <c r="F49" s="1" t="s">
        <v>30</v>
      </c>
      <c r="G49" s="1" t="s">
        <v>24</v>
      </c>
      <c r="H49" s="1">
        <v>1</v>
      </c>
      <c r="I49" s="1" t="s">
        <v>3003</v>
      </c>
      <c r="J49" s="1"/>
      <c r="K49" s="1">
        <v>824330</v>
      </c>
      <c r="L49" s="1">
        <v>0</v>
      </c>
      <c r="M49" s="1">
        <v>0</v>
      </c>
      <c r="N49" s="1">
        <v>90676.3</v>
      </c>
      <c r="O49" s="1">
        <v>0</v>
      </c>
      <c r="P49" s="1">
        <v>0</v>
      </c>
      <c r="Q49" s="1">
        <v>0</v>
      </c>
      <c r="R49" s="1">
        <v>915006.3</v>
      </c>
      <c r="S49" s="1">
        <v>33330</v>
      </c>
      <c r="T49" s="1">
        <v>4.0432836364076996</v>
      </c>
      <c r="U49" t="str">
        <f t="shared" si="0"/>
        <v>Week 4</v>
      </c>
    </row>
    <row r="50" spans="1:21" x14ac:dyDescent="0.25">
      <c r="A50" s="1">
        <v>49</v>
      </c>
      <c r="B50" s="1" t="s">
        <v>3004</v>
      </c>
      <c r="C50" s="2">
        <v>46140</v>
      </c>
      <c r="D50" s="1" t="s">
        <v>248</v>
      </c>
      <c r="E50" s="1" t="s">
        <v>116</v>
      </c>
      <c r="F50" s="1" t="s">
        <v>30</v>
      </c>
      <c r="G50" s="1" t="s">
        <v>24</v>
      </c>
      <c r="H50" s="1">
        <v>1</v>
      </c>
      <c r="I50" s="1" t="s">
        <v>3005</v>
      </c>
      <c r="J50" s="1" t="s">
        <v>26</v>
      </c>
      <c r="K50" s="1">
        <v>2084720</v>
      </c>
      <c r="L50" s="1">
        <v>0</v>
      </c>
      <c r="M50" s="1">
        <v>0</v>
      </c>
      <c r="N50" s="1">
        <v>229319.2</v>
      </c>
      <c r="O50" s="1">
        <v>0</v>
      </c>
      <c r="P50" s="1">
        <v>0</v>
      </c>
      <c r="Q50" s="1">
        <v>0</v>
      </c>
      <c r="R50" s="1">
        <v>2314039.2000000002</v>
      </c>
      <c r="S50" s="1">
        <v>60720</v>
      </c>
      <c r="T50" s="1">
        <v>2.9126213592233001</v>
      </c>
      <c r="U50" t="str">
        <f t="shared" si="0"/>
        <v>Week 4</v>
      </c>
    </row>
    <row r="51" spans="1:21" x14ac:dyDescent="0.25">
      <c r="A51" s="1">
        <v>50</v>
      </c>
      <c r="B51" s="1" t="s">
        <v>3006</v>
      </c>
      <c r="C51" s="2">
        <v>46140</v>
      </c>
      <c r="D51" s="1" t="s">
        <v>98</v>
      </c>
      <c r="E51" s="1" t="s">
        <v>99</v>
      </c>
      <c r="F51" s="1" t="s">
        <v>30</v>
      </c>
      <c r="G51" s="1" t="s">
        <v>24</v>
      </c>
      <c r="H51" s="1">
        <v>1</v>
      </c>
      <c r="I51" s="1" t="s">
        <v>3007</v>
      </c>
      <c r="J51" s="1"/>
      <c r="K51" s="1">
        <v>5497800</v>
      </c>
      <c r="L51" s="1">
        <v>0</v>
      </c>
      <c r="M51" s="1">
        <v>0</v>
      </c>
      <c r="N51" s="1">
        <v>604758</v>
      </c>
      <c r="O51" s="1">
        <v>0</v>
      </c>
      <c r="P51" s="1">
        <v>0</v>
      </c>
      <c r="Q51" s="1">
        <v>0</v>
      </c>
      <c r="R51" s="1">
        <v>6102558</v>
      </c>
      <c r="S51" s="1">
        <v>1485404.7</v>
      </c>
      <c r="T51" s="1">
        <v>27.018165447996999</v>
      </c>
      <c r="U51" t="str">
        <f t="shared" si="0"/>
        <v>Week 4</v>
      </c>
    </row>
    <row r="52" spans="1:21" x14ac:dyDescent="0.25">
      <c r="A52" s="1">
        <v>51</v>
      </c>
      <c r="B52" s="1" t="s">
        <v>3008</v>
      </c>
      <c r="C52" s="2">
        <v>46140</v>
      </c>
      <c r="D52" s="1" t="s">
        <v>248</v>
      </c>
      <c r="E52" s="1" t="s">
        <v>116</v>
      </c>
      <c r="F52" s="1" t="s">
        <v>30</v>
      </c>
      <c r="G52" s="1" t="s">
        <v>24</v>
      </c>
      <c r="H52" s="1">
        <v>1</v>
      </c>
      <c r="I52" s="1" t="s">
        <v>3009</v>
      </c>
      <c r="J52" s="1" t="s">
        <v>26</v>
      </c>
      <c r="K52" s="1">
        <v>14140870</v>
      </c>
      <c r="L52" s="1">
        <v>0</v>
      </c>
      <c r="M52" s="1">
        <v>0</v>
      </c>
      <c r="N52" s="1">
        <v>1555495.7</v>
      </c>
      <c r="O52" s="1">
        <v>0</v>
      </c>
      <c r="P52" s="1">
        <v>0</v>
      </c>
      <c r="Q52" s="1">
        <v>0</v>
      </c>
      <c r="R52" s="1">
        <v>15696365.699999999</v>
      </c>
      <c r="S52" s="1">
        <v>-439132</v>
      </c>
      <c r="T52" s="1">
        <v>-3.1054100631715</v>
      </c>
      <c r="U52" t="str">
        <f t="shared" si="0"/>
        <v>Week 4</v>
      </c>
    </row>
    <row r="53" spans="1:21" x14ac:dyDescent="0.25">
      <c r="A53" s="1">
        <v>52</v>
      </c>
      <c r="B53" s="1" t="s">
        <v>3010</v>
      </c>
      <c r="C53" s="2">
        <v>46140</v>
      </c>
      <c r="D53" s="1" t="s">
        <v>21</v>
      </c>
      <c r="E53" s="1" t="s">
        <v>22</v>
      </c>
      <c r="F53" s="1" t="s">
        <v>23</v>
      </c>
      <c r="G53" s="1" t="s">
        <v>24</v>
      </c>
      <c r="H53" s="1">
        <v>1</v>
      </c>
      <c r="I53" s="1" t="s">
        <v>3011</v>
      </c>
      <c r="J53" s="1" t="s">
        <v>26</v>
      </c>
      <c r="K53" s="1">
        <v>762800</v>
      </c>
      <c r="L53" s="1">
        <v>0</v>
      </c>
      <c r="M53" s="1">
        <v>0</v>
      </c>
      <c r="N53" s="1">
        <v>83908</v>
      </c>
      <c r="O53" s="1">
        <v>0</v>
      </c>
      <c r="P53" s="1">
        <v>0</v>
      </c>
      <c r="Q53" s="1">
        <v>0</v>
      </c>
      <c r="R53" s="1">
        <v>846708</v>
      </c>
      <c r="S53" s="1">
        <v>167800</v>
      </c>
      <c r="T53" s="1">
        <v>21.997902464604</v>
      </c>
      <c r="U53" t="str">
        <f t="shared" si="0"/>
        <v>Week 4</v>
      </c>
    </row>
    <row r="54" spans="1:21" x14ac:dyDescent="0.25">
      <c r="A54" s="1">
        <v>53</v>
      </c>
      <c r="B54" s="1" t="s">
        <v>3012</v>
      </c>
      <c r="C54" s="2">
        <v>46140</v>
      </c>
      <c r="D54" s="1" t="s">
        <v>53</v>
      </c>
      <c r="E54" s="1" t="s">
        <v>38</v>
      </c>
      <c r="F54" s="1" t="s">
        <v>30</v>
      </c>
      <c r="G54" s="1" t="s">
        <v>24</v>
      </c>
      <c r="H54" s="1">
        <v>1</v>
      </c>
      <c r="I54" s="1" t="s">
        <v>3013</v>
      </c>
      <c r="J54" s="1"/>
      <c r="K54" s="1">
        <v>161072464.12</v>
      </c>
      <c r="L54" s="1">
        <v>0</v>
      </c>
      <c r="M54" s="1">
        <v>0</v>
      </c>
      <c r="N54" s="1">
        <v>17717971.053199999</v>
      </c>
      <c r="O54" s="1">
        <v>0</v>
      </c>
      <c r="P54" s="1">
        <v>0</v>
      </c>
      <c r="Q54" s="1">
        <v>0</v>
      </c>
      <c r="R54" s="1">
        <v>178790435.17320001</v>
      </c>
      <c r="S54" s="1">
        <v>51444264.119999997</v>
      </c>
      <c r="T54" s="1">
        <v>31.938583916909</v>
      </c>
      <c r="U54" t="str">
        <f t="shared" si="0"/>
        <v>Week 4</v>
      </c>
    </row>
    <row r="55" spans="1:21" x14ac:dyDescent="0.25">
      <c r="A55" s="1">
        <v>54</v>
      </c>
      <c r="B55" s="1" t="s">
        <v>3014</v>
      </c>
      <c r="C55" s="2">
        <v>46140</v>
      </c>
      <c r="D55" s="1" t="s">
        <v>21</v>
      </c>
      <c r="E55" s="1" t="s">
        <v>22</v>
      </c>
      <c r="F55" s="1" t="s">
        <v>23</v>
      </c>
      <c r="G55" s="1" t="s">
        <v>24</v>
      </c>
      <c r="H55" s="1">
        <v>1</v>
      </c>
      <c r="I55" s="1" t="s">
        <v>3015</v>
      </c>
      <c r="J55" s="1" t="s">
        <v>26</v>
      </c>
      <c r="K55" s="1">
        <v>16437500</v>
      </c>
      <c r="L55" s="1">
        <v>0</v>
      </c>
      <c r="M55" s="1">
        <v>0</v>
      </c>
      <c r="N55" s="1">
        <v>1808125</v>
      </c>
      <c r="O55" s="1">
        <v>0</v>
      </c>
      <c r="P55" s="1">
        <v>0</v>
      </c>
      <c r="Q55" s="1">
        <v>0</v>
      </c>
      <c r="R55" s="1">
        <v>18245625</v>
      </c>
      <c r="S55" s="1">
        <v>3287500</v>
      </c>
      <c r="T55" s="1">
        <v>20</v>
      </c>
      <c r="U55" t="str">
        <f t="shared" si="0"/>
        <v>Week 4</v>
      </c>
    </row>
    <row r="56" spans="1:21" x14ac:dyDescent="0.25">
      <c r="A56" s="1">
        <v>55</v>
      </c>
      <c r="B56" s="1" t="s">
        <v>3016</v>
      </c>
      <c r="C56" s="2">
        <v>46140</v>
      </c>
      <c r="D56" s="1" t="s">
        <v>33</v>
      </c>
      <c r="E56" s="1" t="s">
        <v>34</v>
      </c>
      <c r="F56" s="1" t="s">
        <v>30</v>
      </c>
      <c r="G56" s="1" t="s">
        <v>24</v>
      </c>
      <c r="H56" s="1">
        <v>1</v>
      </c>
      <c r="I56" s="1" t="s">
        <v>3017</v>
      </c>
      <c r="J56" s="1"/>
      <c r="K56" s="1">
        <v>4851000</v>
      </c>
      <c r="L56" s="1">
        <v>0</v>
      </c>
      <c r="M56" s="1">
        <v>0</v>
      </c>
      <c r="N56" s="1">
        <v>533610</v>
      </c>
      <c r="O56" s="1">
        <v>0</v>
      </c>
      <c r="P56" s="1">
        <v>0</v>
      </c>
      <c r="Q56" s="1">
        <v>0</v>
      </c>
      <c r="R56" s="1">
        <v>5384610</v>
      </c>
      <c r="S56" s="1">
        <v>612000</v>
      </c>
      <c r="T56" s="1">
        <v>12.615955473097999</v>
      </c>
      <c r="U56" t="str">
        <f t="shared" si="0"/>
        <v>Week 4</v>
      </c>
    </row>
    <row r="57" spans="1:21" x14ac:dyDescent="0.25">
      <c r="A57" s="1">
        <v>56</v>
      </c>
      <c r="B57" s="1" t="s">
        <v>3018</v>
      </c>
      <c r="C57" s="2">
        <v>46140</v>
      </c>
      <c r="D57" s="1" t="s">
        <v>306</v>
      </c>
      <c r="E57" s="1" t="s">
        <v>99</v>
      </c>
      <c r="F57" s="1" t="s">
        <v>30</v>
      </c>
      <c r="G57" s="1" t="s">
        <v>24</v>
      </c>
      <c r="H57" s="1">
        <v>1</v>
      </c>
      <c r="I57" s="1" t="s">
        <v>3019</v>
      </c>
      <c r="J57" s="1"/>
      <c r="K57" s="1">
        <v>3222098</v>
      </c>
      <c r="L57" s="1">
        <v>0</v>
      </c>
      <c r="M57" s="1">
        <v>0</v>
      </c>
      <c r="N57" s="1">
        <v>354430.78</v>
      </c>
      <c r="O57" s="1">
        <v>0</v>
      </c>
      <c r="P57" s="1">
        <v>0</v>
      </c>
      <c r="Q57" s="1">
        <v>0</v>
      </c>
      <c r="R57" s="1">
        <v>3576528.78</v>
      </c>
      <c r="S57" s="1">
        <v>272098</v>
      </c>
      <c r="T57" s="1">
        <v>8.4447462491829999</v>
      </c>
      <c r="U57" t="str">
        <f t="shared" si="0"/>
        <v>Week 4</v>
      </c>
    </row>
    <row r="58" spans="1:21" x14ac:dyDescent="0.25">
      <c r="A58" s="1">
        <v>57</v>
      </c>
      <c r="B58" s="1" t="s">
        <v>3020</v>
      </c>
      <c r="C58" s="2">
        <v>46140</v>
      </c>
      <c r="D58" s="1" t="s">
        <v>306</v>
      </c>
      <c r="E58" s="1" t="s">
        <v>99</v>
      </c>
      <c r="F58" s="1" t="s">
        <v>39</v>
      </c>
      <c r="G58" s="1" t="s">
        <v>24</v>
      </c>
      <c r="H58" s="1">
        <v>1</v>
      </c>
      <c r="I58" s="1" t="s">
        <v>2955</v>
      </c>
      <c r="J58" s="1"/>
      <c r="K58" s="1">
        <v>1360825</v>
      </c>
      <c r="L58" s="1">
        <v>0</v>
      </c>
      <c r="M58" s="1">
        <v>0</v>
      </c>
      <c r="N58" s="1">
        <v>149690.75</v>
      </c>
      <c r="O58" s="1">
        <v>0</v>
      </c>
      <c r="P58" s="1">
        <v>0</v>
      </c>
      <c r="Q58" s="1">
        <v>0</v>
      </c>
      <c r="R58" s="1">
        <v>1510515.75</v>
      </c>
      <c r="S58" s="1">
        <v>1360825</v>
      </c>
      <c r="T58" s="1">
        <v>100</v>
      </c>
      <c r="U58" t="str">
        <f t="shared" si="0"/>
        <v>Week 4</v>
      </c>
    </row>
    <row r="59" spans="1:21" x14ac:dyDescent="0.25">
      <c r="A59" s="1">
        <v>58</v>
      </c>
      <c r="B59" s="1" t="s">
        <v>3021</v>
      </c>
      <c r="C59" s="2">
        <v>46140</v>
      </c>
      <c r="D59" s="1" t="s">
        <v>33</v>
      </c>
      <c r="E59" s="1" t="s">
        <v>34</v>
      </c>
      <c r="F59" s="1" t="s">
        <v>23</v>
      </c>
      <c r="G59" s="1" t="s">
        <v>24</v>
      </c>
      <c r="H59" s="1">
        <v>1</v>
      </c>
      <c r="I59" s="1" t="s">
        <v>145</v>
      </c>
      <c r="J59" s="1"/>
      <c r="K59" s="1">
        <v>3746650</v>
      </c>
      <c r="L59" s="1">
        <v>0</v>
      </c>
      <c r="M59" s="1">
        <v>0</v>
      </c>
      <c r="N59" s="1">
        <v>412131.5</v>
      </c>
      <c r="O59" s="1">
        <v>0</v>
      </c>
      <c r="P59" s="1">
        <v>0</v>
      </c>
      <c r="Q59" s="1">
        <v>0</v>
      </c>
      <c r="R59" s="1">
        <v>4158781.5</v>
      </c>
      <c r="S59" s="1">
        <v>1719623</v>
      </c>
      <c r="T59" s="1">
        <v>45.897615202914999</v>
      </c>
      <c r="U59" t="str">
        <f t="shared" si="0"/>
        <v>Week 4</v>
      </c>
    </row>
    <row r="60" spans="1:21" x14ac:dyDescent="0.25">
      <c r="A60" s="1">
        <v>59</v>
      </c>
      <c r="B60" s="1" t="s">
        <v>3022</v>
      </c>
      <c r="C60" s="2">
        <v>46140</v>
      </c>
      <c r="D60" s="1" t="s">
        <v>306</v>
      </c>
      <c r="E60" s="1" t="s">
        <v>99</v>
      </c>
      <c r="F60" s="1" t="s">
        <v>30</v>
      </c>
      <c r="G60" s="1" t="s">
        <v>24</v>
      </c>
      <c r="H60" s="1">
        <v>1</v>
      </c>
      <c r="I60" s="1" t="s">
        <v>3023</v>
      </c>
      <c r="J60" s="1"/>
      <c r="K60" s="1">
        <v>5253000</v>
      </c>
      <c r="L60" s="1">
        <v>0</v>
      </c>
      <c r="M60" s="1">
        <v>0</v>
      </c>
      <c r="N60" s="1">
        <v>577830</v>
      </c>
      <c r="O60" s="1">
        <v>0</v>
      </c>
      <c r="P60" s="1">
        <v>0</v>
      </c>
      <c r="Q60" s="1">
        <v>0</v>
      </c>
      <c r="R60" s="1">
        <v>5830830</v>
      </c>
      <c r="S60" s="1">
        <v>-447000</v>
      </c>
      <c r="T60" s="1">
        <v>-8.5094231867504</v>
      </c>
      <c r="U60" t="str">
        <f t="shared" si="0"/>
        <v>Week 4</v>
      </c>
    </row>
    <row r="61" spans="1:21" x14ac:dyDescent="0.25">
      <c r="A61" s="1">
        <v>60</v>
      </c>
      <c r="B61" s="1" t="s">
        <v>3024</v>
      </c>
      <c r="C61" s="2">
        <v>46140</v>
      </c>
      <c r="D61" s="1" t="s">
        <v>53</v>
      </c>
      <c r="E61" s="1" t="s">
        <v>38</v>
      </c>
      <c r="F61" s="1" t="s">
        <v>30</v>
      </c>
      <c r="G61" s="1" t="s">
        <v>24</v>
      </c>
      <c r="H61" s="1">
        <v>1</v>
      </c>
      <c r="I61" s="1" t="s">
        <v>3025</v>
      </c>
      <c r="J61" s="1"/>
      <c r="K61" s="1">
        <v>76041502</v>
      </c>
      <c r="L61" s="1">
        <v>0</v>
      </c>
      <c r="M61" s="1">
        <v>0</v>
      </c>
      <c r="N61" s="1">
        <v>8364565.2199999997</v>
      </c>
      <c r="O61" s="1">
        <v>0</v>
      </c>
      <c r="P61" s="1">
        <v>0</v>
      </c>
      <c r="Q61" s="1">
        <v>0</v>
      </c>
      <c r="R61" s="1">
        <v>84406067.219999999</v>
      </c>
      <c r="S61" s="1">
        <v>7542502</v>
      </c>
      <c r="T61" s="1">
        <v>9.9189282189612999</v>
      </c>
      <c r="U61" t="str">
        <f t="shared" si="0"/>
        <v>Week 4</v>
      </c>
    </row>
    <row r="62" spans="1:21" x14ac:dyDescent="0.25">
      <c r="A62" s="1">
        <v>61</v>
      </c>
      <c r="B62" s="1" t="s">
        <v>3026</v>
      </c>
      <c r="C62" s="2">
        <v>46140</v>
      </c>
      <c r="D62" s="1" t="s">
        <v>33</v>
      </c>
      <c r="E62" s="1" t="s">
        <v>34</v>
      </c>
      <c r="F62" s="1" t="s">
        <v>30</v>
      </c>
      <c r="G62" s="1" t="s">
        <v>24</v>
      </c>
      <c r="H62" s="1">
        <v>1</v>
      </c>
      <c r="I62" s="1" t="s">
        <v>3027</v>
      </c>
      <c r="J62" s="1" t="s">
        <v>56</v>
      </c>
      <c r="K62" s="1">
        <v>2598072000</v>
      </c>
      <c r="L62" s="1">
        <v>0</v>
      </c>
      <c r="M62" s="1">
        <v>0</v>
      </c>
      <c r="N62" s="1">
        <v>285787920</v>
      </c>
      <c r="O62" s="1">
        <v>0</v>
      </c>
      <c r="P62" s="1">
        <v>0</v>
      </c>
      <c r="Q62" s="1">
        <v>0</v>
      </c>
      <c r="R62" s="1">
        <v>2883859920</v>
      </c>
      <c r="S62" s="1">
        <v>75672000</v>
      </c>
      <c r="T62" s="1">
        <v>2.9126213592233001</v>
      </c>
      <c r="U62" t="str">
        <f t="shared" si="0"/>
        <v>Week 4</v>
      </c>
    </row>
    <row r="63" spans="1:21" x14ac:dyDescent="0.25">
      <c r="A63" s="1">
        <v>62</v>
      </c>
      <c r="B63" s="1" t="s">
        <v>3028</v>
      </c>
      <c r="C63" s="2">
        <v>46140</v>
      </c>
      <c r="D63" s="1" t="s">
        <v>33</v>
      </c>
      <c r="E63" s="1" t="s">
        <v>34</v>
      </c>
      <c r="F63" s="1" t="s">
        <v>23</v>
      </c>
      <c r="G63" s="1" t="s">
        <v>24</v>
      </c>
      <c r="H63" s="1">
        <v>1</v>
      </c>
      <c r="I63" s="1" t="s">
        <v>661</v>
      </c>
      <c r="J63" s="1"/>
      <c r="K63" s="1">
        <v>4930</v>
      </c>
      <c r="L63" s="1">
        <v>0</v>
      </c>
      <c r="M63" s="1">
        <v>0</v>
      </c>
      <c r="N63" s="1">
        <v>542.29999999999995</v>
      </c>
      <c r="O63" s="1">
        <v>0</v>
      </c>
      <c r="P63" s="1">
        <v>0</v>
      </c>
      <c r="Q63" s="1">
        <v>0</v>
      </c>
      <c r="R63" s="1">
        <v>5472.3</v>
      </c>
      <c r="S63" s="1">
        <v>2468</v>
      </c>
      <c r="T63" s="1">
        <v>50.060851926978003</v>
      </c>
      <c r="U63" t="str">
        <f t="shared" si="0"/>
        <v>Week 4</v>
      </c>
    </row>
    <row r="64" spans="1:21" x14ac:dyDescent="0.25">
      <c r="A64" s="1">
        <v>63</v>
      </c>
      <c r="B64" s="1" t="s">
        <v>3029</v>
      </c>
      <c r="C64" s="2">
        <v>46140</v>
      </c>
      <c r="D64" s="1" t="s">
        <v>248</v>
      </c>
      <c r="E64" s="1" t="s">
        <v>116</v>
      </c>
      <c r="F64" s="1" t="s">
        <v>30</v>
      </c>
      <c r="G64" s="1" t="s">
        <v>24</v>
      </c>
      <c r="H64" s="1">
        <v>1</v>
      </c>
      <c r="I64" s="1" t="s">
        <v>3030</v>
      </c>
      <c r="J64" s="1" t="s">
        <v>56</v>
      </c>
      <c r="K64" s="1">
        <v>398630000</v>
      </c>
      <c r="L64" s="1">
        <v>0</v>
      </c>
      <c r="M64" s="1">
        <v>0</v>
      </c>
      <c r="N64" s="1">
        <v>43849300</v>
      </c>
      <c r="O64" s="1">
        <v>0</v>
      </c>
      <c r="P64" s="1">
        <v>0</v>
      </c>
      <c r="Q64" s="1">
        <v>0</v>
      </c>
      <c r="R64" s="1">
        <v>442479300</v>
      </c>
      <c r="S64" s="1">
        <v>57350000</v>
      </c>
      <c r="T64" s="1">
        <v>14.386774703359</v>
      </c>
      <c r="U64" t="str">
        <f t="shared" si="0"/>
        <v>Week 4</v>
      </c>
    </row>
    <row r="65" spans="1:21" x14ac:dyDescent="0.25">
      <c r="A65" s="1">
        <v>64</v>
      </c>
      <c r="B65" s="1" t="s">
        <v>3031</v>
      </c>
      <c r="C65" s="2">
        <v>46140</v>
      </c>
      <c r="D65" s="1" t="s">
        <v>21</v>
      </c>
      <c r="E65" s="1" t="s">
        <v>22</v>
      </c>
      <c r="F65" s="1" t="s">
        <v>23</v>
      </c>
      <c r="G65" s="1" t="s">
        <v>24</v>
      </c>
      <c r="H65" s="1">
        <v>1</v>
      </c>
      <c r="I65" s="1" t="s">
        <v>3032</v>
      </c>
      <c r="J65" s="1" t="s">
        <v>26</v>
      </c>
      <c r="K65" s="1">
        <v>12966966</v>
      </c>
      <c r="L65" s="1">
        <v>0</v>
      </c>
      <c r="M65" s="1">
        <v>0</v>
      </c>
      <c r="N65" s="1">
        <v>1426366.26</v>
      </c>
      <c r="O65" s="1">
        <v>0</v>
      </c>
      <c r="P65" s="1">
        <v>0</v>
      </c>
      <c r="Q65" s="1">
        <v>0</v>
      </c>
      <c r="R65" s="1">
        <v>14393332.26</v>
      </c>
      <c r="S65" s="1">
        <v>2851472.4</v>
      </c>
      <c r="T65" s="1">
        <v>21.990282075235999</v>
      </c>
      <c r="U65" t="str">
        <f t="shared" si="0"/>
        <v>Week 4</v>
      </c>
    </row>
    <row r="66" spans="1:21" x14ac:dyDescent="0.25">
      <c r="A66" s="1">
        <v>65</v>
      </c>
      <c r="B66" s="1" t="s">
        <v>3033</v>
      </c>
      <c r="C66" s="2">
        <v>46140</v>
      </c>
      <c r="D66" s="1" t="s">
        <v>33</v>
      </c>
      <c r="E66" s="1" t="s">
        <v>34</v>
      </c>
      <c r="F66" s="1" t="s">
        <v>23</v>
      </c>
      <c r="G66" s="1" t="s">
        <v>24</v>
      </c>
      <c r="H66" s="1">
        <v>1</v>
      </c>
      <c r="I66" s="1" t="s">
        <v>3034</v>
      </c>
      <c r="J66" s="1"/>
      <c r="K66" s="1">
        <v>1100200</v>
      </c>
      <c r="L66" s="1">
        <v>0</v>
      </c>
      <c r="M66" s="1">
        <v>0</v>
      </c>
      <c r="N66" s="1">
        <v>121022</v>
      </c>
      <c r="O66" s="1">
        <v>0</v>
      </c>
      <c r="P66" s="1">
        <v>0</v>
      </c>
      <c r="Q66" s="1">
        <v>0</v>
      </c>
      <c r="R66" s="1">
        <v>1221222</v>
      </c>
      <c r="S66" s="1">
        <v>438037.83783784002</v>
      </c>
      <c r="T66" s="1">
        <v>39.814382642959004</v>
      </c>
      <c r="U66" t="str">
        <f t="shared" si="0"/>
        <v>Week 4</v>
      </c>
    </row>
    <row r="67" spans="1:21" x14ac:dyDescent="0.25">
      <c r="A67" s="1">
        <v>66</v>
      </c>
      <c r="B67" s="1" t="s">
        <v>3035</v>
      </c>
      <c r="C67" s="2">
        <v>46140</v>
      </c>
      <c r="D67" s="1" t="s">
        <v>33</v>
      </c>
      <c r="E67" s="1" t="s">
        <v>34</v>
      </c>
      <c r="F67" s="1" t="s">
        <v>23</v>
      </c>
      <c r="G67" s="1" t="s">
        <v>24</v>
      </c>
      <c r="H67" s="1">
        <v>1</v>
      </c>
      <c r="I67" s="1" t="s">
        <v>3036</v>
      </c>
      <c r="J67" s="1"/>
      <c r="K67" s="1">
        <v>8360000</v>
      </c>
      <c r="L67" s="1">
        <v>0</v>
      </c>
      <c r="M67" s="1">
        <v>0</v>
      </c>
      <c r="N67" s="1">
        <v>919600</v>
      </c>
      <c r="O67" s="1">
        <v>0</v>
      </c>
      <c r="P67" s="1">
        <v>0</v>
      </c>
      <c r="Q67" s="1">
        <v>0</v>
      </c>
      <c r="R67" s="1">
        <v>9279600</v>
      </c>
      <c r="S67" s="1">
        <v>3030000</v>
      </c>
      <c r="T67" s="1">
        <v>36.244019138756002</v>
      </c>
      <c r="U67" t="str">
        <f t="shared" ref="U67:U130" si="1">"Week "&amp;IF(DAY(C67)&gt;=24,4,INT((DAY(C67)-1)/7)+1)</f>
        <v>Week 4</v>
      </c>
    </row>
    <row r="68" spans="1:21" x14ac:dyDescent="0.25">
      <c r="A68" s="1">
        <v>67</v>
      </c>
      <c r="B68" s="1" t="s">
        <v>3037</v>
      </c>
      <c r="C68" s="2">
        <v>46140</v>
      </c>
      <c r="D68" s="1" t="s">
        <v>33</v>
      </c>
      <c r="E68" s="1" t="s">
        <v>34</v>
      </c>
      <c r="F68" s="1" t="s">
        <v>30</v>
      </c>
      <c r="G68" s="1" t="s">
        <v>24</v>
      </c>
      <c r="H68" s="1">
        <v>1</v>
      </c>
      <c r="I68" s="1" t="s">
        <v>3038</v>
      </c>
      <c r="J68" s="1"/>
      <c r="K68" s="1">
        <v>101730000</v>
      </c>
      <c r="L68" s="1">
        <v>0</v>
      </c>
      <c r="M68" s="1">
        <v>0</v>
      </c>
      <c r="N68" s="1">
        <v>11190300</v>
      </c>
      <c r="O68" s="1">
        <v>0</v>
      </c>
      <c r="P68" s="1">
        <v>0</v>
      </c>
      <c r="Q68" s="1">
        <v>0</v>
      </c>
      <c r="R68" s="1">
        <v>112920300</v>
      </c>
      <c r="S68" s="1">
        <v>9330000</v>
      </c>
      <c r="T68" s="1">
        <v>9.1713358891182999</v>
      </c>
      <c r="U68" t="str">
        <f t="shared" si="1"/>
        <v>Week 4</v>
      </c>
    </row>
    <row r="69" spans="1:21" x14ac:dyDescent="0.25">
      <c r="A69" s="1">
        <v>68</v>
      </c>
      <c r="B69" s="1" t="s">
        <v>3039</v>
      </c>
      <c r="C69" s="2">
        <v>46139</v>
      </c>
      <c r="D69" s="1" t="s">
        <v>53</v>
      </c>
      <c r="E69" s="1" t="s">
        <v>54</v>
      </c>
      <c r="F69" s="1" t="s">
        <v>30</v>
      </c>
      <c r="G69" s="1" t="s">
        <v>24</v>
      </c>
      <c r="H69" s="1">
        <v>1</v>
      </c>
      <c r="I69" s="1" t="s">
        <v>3040</v>
      </c>
      <c r="J69" s="1"/>
      <c r="K69" s="1">
        <v>1925400</v>
      </c>
      <c r="L69" s="1">
        <v>0</v>
      </c>
      <c r="M69" s="1">
        <v>0</v>
      </c>
      <c r="N69" s="1">
        <v>211794</v>
      </c>
      <c r="O69" s="1">
        <v>0</v>
      </c>
      <c r="P69" s="1">
        <v>0</v>
      </c>
      <c r="Q69" s="1">
        <v>0</v>
      </c>
      <c r="R69" s="1">
        <v>2137194</v>
      </c>
      <c r="S69" s="1">
        <v>334400</v>
      </c>
      <c r="T69" s="1">
        <v>17.367819673833999</v>
      </c>
      <c r="U69" t="str">
        <f t="shared" si="1"/>
        <v>Week 4</v>
      </c>
    </row>
    <row r="70" spans="1:21" x14ac:dyDescent="0.25">
      <c r="A70" s="1">
        <v>69</v>
      </c>
      <c r="B70" s="1" t="s">
        <v>3041</v>
      </c>
      <c r="C70" s="2">
        <v>46139</v>
      </c>
      <c r="D70" s="1" t="s">
        <v>53</v>
      </c>
      <c r="E70" s="1" t="s">
        <v>54</v>
      </c>
      <c r="F70" s="1" t="s">
        <v>30</v>
      </c>
      <c r="G70" s="1" t="s">
        <v>24</v>
      </c>
      <c r="H70" s="1">
        <v>1</v>
      </c>
      <c r="I70" s="1" t="s">
        <v>3042</v>
      </c>
      <c r="J70" s="1"/>
      <c r="K70" s="1">
        <v>4316375</v>
      </c>
      <c r="L70" s="1">
        <v>0</v>
      </c>
      <c r="M70" s="1">
        <v>0</v>
      </c>
      <c r="N70" s="1">
        <v>474801.25</v>
      </c>
      <c r="O70" s="1">
        <v>0</v>
      </c>
      <c r="P70" s="1">
        <v>0</v>
      </c>
      <c r="Q70" s="1">
        <v>0</v>
      </c>
      <c r="R70" s="1">
        <v>4791176.25</v>
      </c>
      <c r="S70" s="1">
        <v>1052625</v>
      </c>
      <c r="T70" s="1">
        <v>24.386782890736001</v>
      </c>
      <c r="U70" t="str">
        <f t="shared" si="1"/>
        <v>Week 4</v>
      </c>
    </row>
    <row r="71" spans="1:21" x14ac:dyDescent="0.25">
      <c r="A71" s="1">
        <v>70</v>
      </c>
      <c r="B71" s="1" t="s">
        <v>3043</v>
      </c>
      <c r="C71" s="2">
        <v>46139</v>
      </c>
      <c r="D71" s="1" t="s">
        <v>53</v>
      </c>
      <c r="E71" s="1" t="s">
        <v>54</v>
      </c>
      <c r="F71" s="1" t="s">
        <v>30</v>
      </c>
      <c r="G71" s="1" t="s">
        <v>24</v>
      </c>
      <c r="H71" s="1">
        <v>1</v>
      </c>
      <c r="I71" s="1" t="s">
        <v>3044</v>
      </c>
      <c r="J71" s="1"/>
      <c r="K71" s="1">
        <v>2041200</v>
      </c>
      <c r="L71" s="1">
        <v>0</v>
      </c>
      <c r="M71" s="1">
        <v>0</v>
      </c>
      <c r="N71" s="1">
        <v>224532</v>
      </c>
      <c r="O71" s="1">
        <v>0</v>
      </c>
      <c r="P71" s="1">
        <v>0</v>
      </c>
      <c r="Q71" s="1">
        <v>0</v>
      </c>
      <c r="R71" s="1">
        <v>2265732</v>
      </c>
      <c r="S71" s="1">
        <v>403535.13513513003</v>
      </c>
      <c r="T71" s="1">
        <v>19.769504954689999</v>
      </c>
      <c r="U71" t="str">
        <f t="shared" si="1"/>
        <v>Week 4</v>
      </c>
    </row>
    <row r="72" spans="1:21" x14ac:dyDescent="0.25">
      <c r="A72" s="1">
        <v>71</v>
      </c>
      <c r="B72" s="1" t="s">
        <v>3045</v>
      </c>
      <c r="C72" s="2">
        <v>46139</v>
      </c>
      <c r="D72" s="1" t="s">
        <v>2210</v>
      </c>
      <c r="E72" s="1" t="s">
        <v>192</v>
      </c>
      <c r="F72" s="1" t="s">
        <v>30</v>
      </c>
      <c r="G72" s="1" t="s">
        <v>24</v>
      </c>
      <c r="H72" s="1">
        <v>1</v>
      </c>
      <c r="I72" s="1" t="s">
        <v>3046</v>
      </c>
      <c r="J72" s="1" t="s">
        <v>56</v>
      </c>
      <c r="K72" s="1">
        <v>44160000</v>
      </c>
      <c r="L72" s="1">
        <v>0</v>
      </c>
      <c r="M72" s="1">
        <v>0</v>
      </c>
      <c r="N72" s="1">
        <v>4857600</v>
      </c>
      <c r="O72" s="1">
        <v>0</v>
      </c>
      <c r="P72" s="1">
        <v>0</v>
      </c>
      <c r="Q72" s="1">
        <v>0</v>
      </c>
      <c r="R72" s="1">
        <v>49017600</v>
      </c>
      <c r="S72" s="1">
        <v>4376216.2162162</v>
      </c>
      <c r="T72" s="1">
        <v>9.9099099099098993</v>
      </c>
      <c r="U72" t="str">
        <f t="shared" si="1"/>
        <v>Week 4</v>
      </c>
    </row>
    <row r="73" spans="1:21" x14ac:dyDescent="0.25">
      <c r="A73" s="1">
        <v>72</v>
      </c>
      <c r="B73" s="1" t="s">
        <v>3047</v>
      </c>
      <c r="C73" s="2">
        <v>46139</v>
      </c>
      <c r="D73" s="1" t="s">
        <v>21</v>
      </c>
      <c r="E73" s="1" t="s">
        <v>22</v>
      </c>
      <c r="F73" s="1" t="s">
        <v>23</v>
      </c>
      <c r="G73" s="1" t="s">
        <v>24</v>
      </c>
      <c r="H73" s="1">
        <v>1</v>
      </c>
      <c r="I73" s="1" t="s">
        <v>147</v>
      </c>
      <c r="J73" s="1" t="s">
        <v>26</v>
      </c>
      <c r="K73" s="1">
        <v>12956600</v>
      </c>
      <c r="L73" s="1">
        <v>0</v>
      </c>
      <c r="M73" s="1">
        <v>0</v>
      </c>
      <c r="N73" s="1">
        <v>1425226</v>
      </c>
      <c r="O73" s="1">
        <v>0</v>
      </c>
      <c r="P73" s="1">
        <v>0</v>
      </c>
      <c r="Q73" s="1">
        <v>0</v>
      </c>
      <c r="R73" s="1">
        <v>14381826</v>
      </c>
      <c r="S73" s="1">
        <v>906600</v>
      </c>
      <c r="T73" s="1">
        <v>6.9972060571446004</v>
      </c>
      <c r="U73" t="str">
        <f t="shared" si="1"/>
        <v>Week 4</v>
      </c>
    </row>
    <row r="74" spans="1:21" x14ac:dyDescent="0.25">
      <c r="A74" s="1">
        <v>73</v>
      </c>
      <c r="B74" s="1" t="s">
        <v>3048</v>
      </c>
      <c r="C74" s="2">
        <v>46139</v>
      </c>
      <c r="D74" s="1" t="s">
        <v>53</v>
      </c>
      <c r="E74" s="1" t="s">
        <v>54</v>
      </c>
      <c r="F74" s="1" t="s">
        <v>30</v>
      </c>
      <c r="G74" s="1" t="s">
        <v>24</v>
      </c>
      <c r="H74" s="1">
        <v>1</v>
      </c>
      <c r="I74" s="1" t="s">
        <v>3049</v>
      </c>
      <c r="J74" s="1"/>
      <c r="K74" s="1">
        <v>2959610</v>
      </c>
      <c r="L74" s="1">
        <v>0</v>
      </c>
      <c r="M74" s="1">
        <v>0</v>
      </c>
      <c r="N74" s="1">
        <v>325557.09999999998</v>
      </c>
      <c r="O74" s="1">
        <v>0</v>
      </c>
      <c r="P74" s="1">
        <v>0</v>
      </c>
      <c r="Q74" s="1">
        <v>0</v>
      </c>
      <c r="R74" s="1">
        <v>3285167.1</v>
      </c>
      <c r="S74" s="1">
        <v>371546.90811000002</v>
      </c>
      <c r="T74" s="1">
        <v>12.553914472177</v>
      </c>
      <c r="U74" t="str">
        <f t="shared" si="1"/>
        <v>Week 4</v>
      </c>
    </row>
    <row r="75" spans="1:21" x14ac:dyDescent="0.25">
      <c r="A75" s="1">
        <v>74</v>
      </c>
      <c r="B75" s="1" t="s">
        <v>3050</v>
      </c>
      <c r="C75" s="2">
        <v>46139</v>
      </c>
      <c r="D75" s="1" t="s">
        <v>248</v>
      </c>
      <c r="E75" s="1" t="s">
        <v>116</v>
      </c>
      <c r="F75" s="1" t="s">
        <v>30</v>
      </c>
      <c r="G75" s="1" t="s">
        <v>24</v>
      </c>
      <c r="H75" s="1">
        <v>1</v>
      </c>
      <c r="I75" s="1" t="s">
        <v>3051</v>
      </c>
      <c r="J75" s="1" t="s">
        <v>26</v>
      </c>
      <c r="K75" s="1">
        <v>3353684</v>
      </c>
      <c r="L75" s="1">
        <v>0</v>
      </c>
      <c r="M75" s="1">
        <v>0</v>
      </c>
      <c r="N75" s="1">
        <v>368905.24</v>
      </c>
      <c r="O75" s="1">
        <v>0</v>
      </c>
      <c r="P75" s="1">
        <v>0</v>
      </c>
      <c r="Q75" s="1">
        <v>0</v>
      </c>
      <c r="R75" s="1">
        <v>3722589.24</v>
      </c>
      <c r="S75" s="1">
        <v>150884</v>
      </c>
      <c r="T75" s="1">
        <v>4.4990523853767996</v>
      </c>
      <c r="U75" t="str">
        <f t="shared" si="1"/>
        <v>Week 4</v>
      </c>
    </row>
    <row r="76" spans="1:21" x14ac:dyDescent="0.25">
      <c r="A76" s="1">
        <v>75</v>
      </c>
      <c r="B76" s="1" t="s">
        <v>3052</v>
      </c>
      <c r="C76" s="2">
        <v>46139</v>
      </c>
      <c r="D76" s="1" t="s">
        <v>306</v>
      </c>
      <c r="E76" s="1" t="s">
        <v>99</v>
      </c>
      <c r="F76" s="1" t="s">
        <v>30</v>
      </c>
      <c r="G76" s="1" t="s">
        <v>24</v>
      </c>
      <c r="H76" s="1">
        <v>1</v>
      </c>
      <c r="I76" s="1" t="s">
        <v>3053</v>
      </c>
      <c r="J76" s="1"/>
      <c r="K76" s="1">
        <v>1748425</v>
      </c>
      <c r="L76" s="1">
        <v>0</v>
      </c>
      <c r="M76" s="1">
        <v>0</v>
      </c>
      <c r="N76" s="1">
        <v>192326.75</v>
      </c>
      <c r="O76" s="1">
        <v>0</v>
      </c>
      <c r="P76" s="1">
        <v>0</v>
      </c>
      <c r="Q76" s="1">
        <v>0</v>
      </c>
      <c r="R76" s="1">
        <v>1940751.75</v>
      </c>
      <c r="S76" s="1">
        <v>641425</v>
      </c>
      <c r="T76" s="1">
        <v>36.685874429843999</v>
      </c>
      <c r="U76" t="str">
        <f t="shared" si="1"/>
        <v>Week 4</v>
      </c>
    </row>
    <row r="77" spans="1:21" x14ac:dyDescent="0.25">
      <c r="A77" s="1">
        <v>76</v>
      </c>
      <c r="B77" s="1" t="s">
        <v>3054</v>
      </c>
      <c r="C77" s="2">
        <v>46139</v>
      </c>
      <c r="D77" s="1" t="s">
        <v>53</v>
      </c>
      <c r="E77" s="1" t="s">
        <v>54</v>
      </c>
      <c r="F77" s="1" t="s">
        <v>30</v>
      </c>
      <c r="G77" s="1" t="s">
        <v>24</v>
      </c>
      <c r="H77" s="1">
        <v>1</v>
      </c>
      <c r="I77" s="1" t="s">
        <v>3055</v>
      </c>
      <c r="J77" s="1"/>
      <c r="K77" s="1">
        <v>1923600</v>
      </c>
      <c r="L77" s="1">
        <v>0</v>
      </c>
      <c r="M77" s="1">
        <v>0</v>
      </c>
      <c r="N77" s="1">
        <v>211596</v>
      </c>
      <c r="O77" s="1">
        <v>0</v>
      </c>
      <c r="P77" s="1">
        <v>0</v>
      </c>
      <c r="Q77" s="1">
        <v>0</v>
      </c>
      <c r="R77" s="1">
        <v>2135196</v>
      </c>
      <c r="S77" s="1">
        <v>345935.13513513003</v>
      </c>
      <c r="T77" s="1">
        <v>17.983735450984</v>
      </c>
      <c r="U77" t="str">
        <f t="shared" si="1"/>
        <v>Week 4</v>
      </c>
    </row>
    <row r="78" spans="1:21" x14ac:dyDescent="0.25">
      <c r="A78" s="1">
        <v>77</v>
      </c>
      <c r="B78" s="1" t="s">
        <v>3056</v>
      </c>
      <c r="C78" s="2">
        <v>46139</v>
      </c>
      <c r="D78" s="1" t="s">
        <v>28</v>
      </c>
      <c r="E78" s="1" t="s">
        <v>29</v>
      </c>
      <c r="F78" s="1" t="s">
        <v>23</v>
      </c>
      <c r="G78" s="1" t="s">
        <v>24</v>
      </c>
      <c r="H78" s="1">
        <v>1</v>
      </c>
      <c r="I78" s="1" t="s">
        <v>3057</v>
      </c>
      <c r="J78" s="1"/>
      <c r="K78" s="1">
        <v>382474220</v>
      </c>
      <c r="L78" s="1">
        <v>0</v>
      </c>
      <c r="M78" s="1">
        <v>0</v>
      </c>
      <c r="N78" s="1">
        <v>42072164.200000003</v>
      </c>
      <c r="O78" s="1">
        <v>0</v>
      </c>
      <c r="P78" s="1">
        <v>0</v>
      </c>
      <c r="Q78" s="1">
        <v>0</v>
      </c>
      <c r="R78" s="1">
        <v>424546384.19999999</v>
      </c>
      <c r="S78" s="1">
        <v>91610220</v>
      </c>
      <c r="T78" s="1">
        <v>23.951998647124999</v>
      </c>
      <c r="U78" t="str">
        <f t="shared" si="1"/>
        <v>Week 4</v>
      </c>
    </row>
    <row r="79" spans="1:21" x14ac:dyDescent="0.25">
      <c r="A79" s="1">
        <v>78</v>
      </c>
      <c r="B79" s="1" t="s">
        <v>3058</v>
      </c>
      <c r="C79" s="2">
        <v>46139</v>
      </c>
      <c r="D79" s="1" t="s">
        <v>53</v>
      </c>
      <c r="E79" s="1" t="s">
        <v>54</v>
      </c>
      <c r="F79" s="1" t="s">
        <v>30</v>
      </c>
      <c r="G79" s="1" t="s">
        <v>24</v>
      </c>
      <c r="H79" s="1">
        <v>1</v>
      </c>
      <c r="I79" s="1" t="s">
        <v>3059</v>
      </c>
      <c r="J79" s="1"/>
      <c r="K79" s="1">
        <v>7748028.96</v>
      </c>
      <c r="L79" s="1">
        <v>0</v>
      </c>
      <c r="M79" s="1">
        <v>0</v>
      </c>
      <c r="N79" s="1">
        <v>852283.18559999997</v>
      </c>
      <c r="O79" s="1">
        <v>0</v>
      </c>
      <c r="P79" s="1">
        <v>0</v>
      </c>
      <c r="Q79" s="1">
        <v>0</v>
      </c>
      <c r="R79" s="1">
        <v>8600312.1456000004</v>
      </c>
      <c r="S79" s="1">
        <v>2241722.65</v>
      </c>
      <c r="T79" s="1">
        <v>28.932811965121999</v>
      </c>
      <c r="U79" t="str">
        <f t="shared" si="1"/>
        <v>Week 4</v>
      </c>
    </row>
    <row r="80" spans="1:21" x14ac:dyDescent="0.25">
      <c r="A80" s="1">
        <v>79</v>
      </c>
      <c r="B80" s="1" t="s">
        <v>3060</v>
      </c>
      <c r="C80" s="2">
        <v>46139</v>
      </c>
      <c r="D80" s="1" t="s">
        <v>53</v>
      </c>
      <c r="E80" s="1" t="s">
        <v>54</v>
      </c>
      <c r="F80" s="1" t="s">
        <v>30</v>
      </c>
      <c r="G80" s="1" t="s">
        <v>24</v>
      </c>
      <c r="H80" s="1">
        <v>1</v>
      </c>
      <c r="I80" s="1" t="s">
        <v>3061</v>
      </c>
      <c r="J80" s="1"/>
      <c r="K80" s="1">
        <v>24750394.899999999</v>
      </c>
      <c r="L80" s="1">
        <v>0</v>
      </c>
      <c r="M80" s="1">
        <v>0</v>
      </c>
      <c r="N80" s="1">
        <v>2722543.4389999998</v>
      </c>
      <c r="O80" s="1">
        <v>0</v>
      </c>
      <c r="P80" s="1">
        <v>0</v>
      </c>
      <c r="Q80" s="1">
        <v>0</v>
      </c>
      <c r="R80" s="1">
        <v>27472938.339000002</v>
      </c>
      <c r="S80" s="1">
        <v>5004521.0261260001</v>
      </c>
      <c r="T80" s="1">
        <v>20.219964353481998</v>
      </c>
      <c r="U80" t="str">
        <f t="shared" si="1"/>
        <v>Week 4</v>
      </c>
    </row>
    <row r="81" spans="1:21" x14ac:dyDescent="0.25">
      <c r="A81" s="1">
        <v>80</v>
      </c>
      <c r="B81" s="1" t="s">
        <v>3062</v>
      </c>
      <c r="C81" s="2">
        <v>46139</v>
      </c>
      <c r="D81" s="1" t="s">
        <v>248</v>
      </c>
      <c r="E81" s="1" t="s">
        <v>116</v>
      </c>
      <c r="F81" s="1" t="s">
        <v>30</v>
      </c>
      <c r="G81" s="1" t="s">
        <v>24</v>
      </c>
      <c r="H81" s="1">
        <v>1</v>
      </c>
      <c r="I81" s="1" t="s">
        <v>3063</v>
      </c>
      <c r="J81" s="1" t="s">
        <v>26</v>
      </c>
      <c r="K81" s="1">
        <v>1174200</v>
      </c>
      <c r="L81" s="1">
        <v>0</v>
      </c>
      <c r="M81" s="1">
        <v>0</v>
      </c>
      <c r="N81" s="1">
        <v>129162</v>
      </c>
      <c r="O81" s="1">
        <v>0</v>
      </c>
      <c r="P81" s="1">
        <v>0</v>
      </c>
      <c r="Q81" s="1">
        <v>0</v>
      </c>
      <c r="R81" s="1">
        <v>1303362</v>
      </c>
      <c r="S81" s="1">
        <v>34200</v>
      </c>
      <c r="T81" s="1">
        <v>2.9126213592233001</v>
      </c>
      <c r="U81" t="str">
        <f t="shared" si="1"/>
        <v>Week 4</v>
      </c>
    </row>
    <row r="82" spans="1:21" x14ac:dyDescent="0.25">
      <c r="A82" s="1">
        <v>81</v>
      </c>
      <c r="B82" s="1" t="s">
        <v>3064</v>
      </c>
      <c r="C82" s="2">
        <v>46139</v>
      </c>
      <c r="D82" s="1" t="s">
        <v>202</v>
      </c>
      <c r="E82" s="1" t="s">
        <v>203</v>
      </c>
      <c r="F82" s="1" t="s">
        <v>30</v>
      </c>
      <c r="G82" s="1" t="s">
        <v>24</v>
      </c>
      <c r="H82" s="1">
        <v>1</v>
      </c>
      <c r="I82" s="1" t="s">
        <v>3065</v>
      </c>
      <c r="J82" s="1" t="s">
        <v>26</v>
      </c>
      <c r="K82" s="1">
        <v>36040893</v>
      </c>
      <c r="L82" s="1">
        <v>0</v>
      </c>
      <c r="M82" s="1">
        <v>0</v>
      </c>
      <c r="N82" s="1">
        <v>3964498.23</v>
      </c>
      <c r="O82" s="1">
        <v>0</v>
      </c>
      <c r="P82" s="1">
        <v>0</v>
      </c>
      <c r="Q82" s="1">
        <v>0</v>
      </c>
      <c r="R82" s="1">
        <v>40005391.229999997</v>
      </c>
      <c r="S82" s="1">
        <v>36040873</v>
      </c>
      <c r="T82" s="1">
        <v>99.999944507479</v>
      </c>
      <c r="U82" t="str">
        <f t="shared" si="1"/>
        <v>Week 4</v>
      </c>
    </row>
    <row r="83" spans="1:21" x14ac:dyDescent="0.25">
      <c r="A83" s="1">
        <v>82</v>
      </c>
      <c r="B83" s="1" t="s">
        <v>3066</v>
      </c>
      <c r="C83" s="2">
        <v>46139</v>
      </c>
      <c r="D83" s="1" t="s">
        <v>53</v>
      </c>
      <c r="E83" s="1" t="s">
        <v>54</v>
      </c>
      <c r="F83" s="1" t="s">
        <v>30</v>
      </c>
      <c r="G83" s="1" t="s">
        <v>24</v>
      </c>
      <c r="H83" s="1">
        <v>1</v>
      </c>
      <c r="I83" s="1" t="s">
        <v>3067</v>
      </c>
      <c r="J83" s="1"/>
      <c r="K83" s="1">
        <v>4406031</v>
      </c>
      <c r="L83" s="1">
        <v>0</v>
      </c>
      <c r="M83" s="1">
        <v>0</v>
      </c>
      <c r="N83" s="1">
        <v>484663.41</v>
      </c>
      <c r="O83" s="1">
        <v>0</v>
      </c>
      <c r="P83" s="1">
        <v>0</v>
      </c>
      <c r="Q83" s="1">
        <v>0</v>
      </c>
      <c r="R83" s="1">
        <v>4890694.41</v>
      </c>
      <c r="S83" s="1">
        <v>2906031</v>
      </c>
      <c r="T83" s="1">
        <v>65.955754737087005</v>
      </c>
      <c r="U83" t="str">
        <f t="shared" si="1"/>
        <v>Week 4</v>
      </c>
    </row>
    <row r="84" spans="1:21" x14ac:dyDescent="0.25">
      <c r="A84" s="1">
        <v>83</v>
      </c>
      <c r="B84" s="1" t="s">
        <v>3068</v>
      </c>
      <c r="C84" s="2">
        <v>46139</v>
      </c>
      <c r="D84" s="1" t="s">
        <v>21</v>
      </c>
      <c r="E84" s="1" t="s">
        <v>22</v>
      </c>
      <c r="F84" s="1" t="s">
        <v>23</v>
      </c>
      <c r="G84" s="1" t="s">
        <v>24</v>
      </c>
      <c r="H84" s="1">
        <v>1</v>
      </c>
      <c r="I84" s="1" t="s">
        <v>3069</v>
      </c>
      <c r="J84" s="1" t="s">
        <v>26</v>
      </c>
      <c r="K84" s="1">
        <v>4756300</v>
      </c>
      <c r="L84" s="1">
        <v>0</v>
      </c>
      <c r="M84" s="1">
        <v>0</v>
      </c>
      <c r="N84" s="1">
        <v>523193</v>
      </c>
      <c r="O84" s="1">
        <v>0</v>
      </c>
      <c r="P84" s="1">
        <v>0</v>
      </c>
      <c r="Q84" s="1">
        <v>0</v>
      </c>
      <c r="R84" s="1">
        <v>5279493</v>
      </c>
      <c r="S84" s="1">
        <v>2337969</v>
      </c>
      <c r="T84" s="1">
        <v>49.155204675904002</v>
      </c>
      <c r="U84" t="str">
        <f t="shared" si="1"/>
        <v>Week 4</v>
      </c>
    </row>
    <row r="85" spans="1:21" x14ac:dyDescent="0.25">
      <c r="A85" s="1">
        <v>84</v>
      </c>
      <c r="B85" s="1" t="s">
        <v>3070</v>
      </c>
      <c r="C85" s="2">
        <v>46139</v>
      </c>
      <c r="D85" s="1" t="s">
        <v>248</v>
      </c>
      <c r="E85" s="1" t="s">
        <v>116</v>
      </c>
      <c r="F85" s="1" t="s">
        <v>30</v>
      </c>
      <c r="G85" s="1" t="s">
        <v>24</v>
      </c>
      <c r="H85" s="1">
        <v>1</v>
      </c>
      <c r="I85" s="1" t="s">
        <v>3071</v>
      </c>
      <c r="J85" s="1" t="s">
        <v>26</v>
      </c>
      <c r="K85" s="1">
        <v>5978000</v>
      </c>
      <c r="L85" s="1">
        <v>0</v>
      </c>
      <c r="M85" s="1">
        <v>0</v>
      </c>
      <c r="N85" s="1">
        <v>657580</v>
      </c>
      <c r="O85" s="1">
        <v>0</v>
      </c>
      <c r="P85" s="1">
        <v>0</v>
      </c>
      <c r="Q85" s="1">
        <v>0</v>
      </c>
      <c r="R85" s="1">
        <v>6635580</v>
      </c>
      <c r="S85" s="1">
        <v>455000</v>
      </c>
      <c r="T85" s="1">
        <v>7.6112412177986002</v>
      </c>
      <c r="U85" t="str">
        <f t="shared" si="1"/>
        <v>Week 4</v>
      </c>
    </row>
    <row r="86" spans="1:21" x14ac:dyDescent="0.25">
      <c r="A86" s="1">
        <v>85</v>
      </c>
      <c r="B86" s="1" t="s">
        <v>3072</v>
      </c>
      <c r="C86" s="2">
        <v>46139</v>
      </c>
      <c r="D86" s="1" t="s">
        <v>421</v>
      </c>
      <c r="E86" s="1" t="s">
        <v>2414</v>
      </c>
      <c r="F86" s="1" t="s">
        <v>23</v>
      </c>
      <c r="G86" s="1" t="s">
        <v>24</v>
      </c>
      <c r="H86" s="1">
        <v>1</v>
      </c>
      <c r="I86" s="1" t="s">
        <v>3073</v>
      </c>
      <c r="J86" s="1" t="s">
        <v>26</v>
      </c>
      <c r="K86" s="1">
        <v>11410930.5</v>
      </c>
      <c r="L86" s="1">
        <v>0</v>
      </c>
      <c r="M86" s="1">
        <v>0</v>
      </c>
      <c r="N86" s="1">
        <v>1255202.355</v>
      </c>
      <c r="O86" s="1">
        <v>0</v>
      </c>
      <c r="P86" s="1">
        <v>0</v>
      </c>
      <c r="Q86" s="1">
        <v>0</v>
      </c>
      <c r="R86" s="1">
        <v>12666132.855</v>
      </c>
      <c r="S86" s="1">
        <v>4144760.6473873998</v>
      </c>
      <c r="T86" s="1">
        <v>36.322722738407997</v>
      </c>
      <c r="U86" t="str">
        <f t="shared" si="1"/>
        <v>Week 4</v>
      </c>
    </row>
    <row r="87" spans="1:21" x14ac:dyDescent="0.25">
      <c r="A87" s="1">
        <v>86</v>
      </c>
      <c r="B87" s="1" t="s">
        <v>3074</v>
      </c>
      <c r="C87" s="2">
        <v>46139</v>
      </c>
      <c r="D87" s="1" t="s">
        <v>53</v>
      </c>
      <c r="E87" s="1" t="s">
        <v>54</v>
      </c>
      <c r="F87" s="1" t="s">
        <v>23</v>
      </c>
      <c r="G87" s="1" t="s">
        <v>24</v>
      </c>
      <c r="H87" s="1">
        <v>1</v>
      </c>
      <c r="I87" s="1" t="s">
        <v>3075</v>
      </c>
      <c r="J87" s="1" t="s">
        <v>26</v>
      </c>
      <c r="K87" s="1">
        <v>10945556</v>
      </c>
      <c r="L87" s="1">
        <v>0</v>
      </c>
      <c r="M87" s="1">
        <v>0</v>
      </c>
      <c r="N87" s="1">
        <v>1204011.1599999999</v>
      </c>
      <c r="O87" s="1">
        <v>0</v>
      </c>
      <c r="P87" s="1">
        <v>0</v>
      </c>
      <c r="Q87" s="1">
        <v>0</v>
      </c>
      <c r="R87" s="1">
        <v>12149567.16</v>
      </c>
      <c r="S87" s="1">
        <v>5377360.7000000002</v>
      </c>
      <c r="T87" s="1">
        <v>49.128255339427</v>
      </c>
      <c r="U87" t="str">
        <f t="shared" si="1"/>
        <v>Week 4</v>
      </c>
    </row>
    <row r="88" spans="1:21" x14ac:dyDescent="0.25">
      <c r="A88" s="1">
        <v>87</v>
      </c>
      <c r="B88" s="1" t="s">
        <v>3076</v>
      </c>
      <c r="C88" s="2">
        <v>46139</v>
      </c>
      <c r="D88" s="1" t="s">
        <v>98</v>
      </c>
      <c r="E88" s="1" t="s">
        <v>99</v>
      </c>
      <c r="F88" s="1" t="s">
        <v>30</v>
      </c>
      <c r="G88" s="1" t="s">
        <v>24</v>
      </c>
      <c r="H88" s="1">
        <v>1</v>
      </c>
      <c r="I88" s="1" t="s">
        <v>3077</v>
      </c>
      <c r="J88" s="1"/>
      <c r="K88" s="1">
        <v>45320</v>
      </c>
      <c r="L88" s="1">
        <v>0</v>
      </c>
      <c r="M88" s="1">
        <v>0</v>
      </c>
      <c r="N88" s="1">
        <v>4985.2</v>
      </c>
      <c r="O88" s="1">
        <v>0</v>
      </c>
      <c r="P88" s="1">
        <v>0</v>
      </c>
      <c r="Q88" s="1">
        <v>0</v>
      </c>
      <c r="R88" s="1">
        <v>50305.2</v>
      </c>
      <c r="S88" s="1">
        <v>10320</v>
      </c>
      <c r="T88" s="1">
        <v>22.771403353928001</v>
      </c>
      <c r="U88" t="str">
        <f t="shared" si="1"/>
        <v>Week 4</v>
      </c>
    </row>
    <row r="89" spans="1:21" x14ac:dyDescent="0.25">
      <c r="A89" s="1">
        <v>88</v>
      </c>
      <c r="B89" s="1" t="s">
        <v>3078</v>
      </c>
      <c r="C89" s="2">
        <v>46139</v>
      </c>
      <c r="D89" s="1" t="s">
        <v>53</v>
      </c>
      <c r="E89" s="1" t="s">
        <v>54</v>
      </c>
      <c r="F89" s="1" t="s">
        <v>30</v>
      </c>
      <c r="G89" s="1" t="s">
        <v>24</v>
      </c>
      <c r="H89" s="1">
        <v>1</v>
      </c>
      <c r="I89" s="1" t="s">
        <v>3079</v>
      </c>
      <c r="J89" s="1"/>
      <c r="K89" s="1">
        <v>1004500</v>
      </c>
      <c r="L89" s="1">
        <v>0</v>
      </c>
      <c r="M89" s="1">
        <v>0</v>
      </c>
      <c r="N89" s="1">
        <v>110495</v>
      </c>
      <c r="O89" s="1">
        <v>0</v>
      </c>
      <c r="P89" s="1">
        <v>0</v>
      </c>
      <c r="Q89" s="1">
        <v>0</v>
      </c>
      <c r="R89" s="1">
        <v>1114995</v>
      </c>
      <c r="S89" s="1">
        <v>572067.6</v>
      </c>
      <c r="T89" s="1">
        <v>56.950482827277</v>
      </c>
      <c r="U89" t="str">
        <f t="shared" si="1"/>
        <v>Week 4</v>
      </c>
    </row>
    <row r="90" spans="1:21" x14ac:dyDescent="0.25">
      <c r="A90" s="1">
        <v>89</v>
      </c>
      <c r="B90" s="1" t="s">
        <v>3080</v>
      </c>
      <c r="C90" s="2">
        <v>46139</v>
      </c>
      <c r="D90" s="1" t="s">
        <v>21</v>
      </c>
      <c r="E90" s="1" t="s">
        <v>22</v>
      </c>
      <c r="F90" s="1" t="s">
        <v>23</v>
      </c>
      <c r="G90" s="1" t="s">
        <v>24</v>
      </c>
      <c r="H90" s="1">
        <v>1</v>
      </c>
      <c r="I90" s="1" t="s">
        <v>3081</v>
      </c>
      <c r="J90" s="1" t="s">
        <v>26</v>
      </c>
      <c r="K90" s="1">
        <v>74170854</v>
      </c>
      <c r="L90" s="1">
        <v>0</v>
      </c>
      <c r="M90" s="1">
        <v>0</v>
      </c>
      <c r="N90" s="1">
        <v>8158793.9400000004</v>
      </c>
      <c r="O90" s="1">
        <v>0</v>
      </c>
      <c r="P90" s="1">
        <v>0</v>
      </c>
      <c r="Q90" s="1">
        <v>0</v>
      </c>
      <c r="R90" s="1">
        <v>82329647.939999998</v>
      </c>
      <c r="S90" s="1">
        <v>19500854</v>
      </c>
      <c r="T90" s="1">
        <v>26.291801898357999</v>
      </c>
      <c r="U90" t="str">
        <f t="shared" si="1"/>
        <v>Week 4</v>
      </c>
    </row>
    <row r="91" spans="1:21" x14ac:dyDescent="0.25">
      <c r="A91" s="1">
        <v>90</v>
      </c>
      <c r="B91" s="1" t="s">
        <v>3082</v>
      </c>
      <c r="C91" s="2">
        <v>46137</v>
      </c>
      <c r="D91" s="1" t="s">
        <v>202</v>
      </c>
      <c r="E91" s="1" t="s">
        <v>203</v>
      </c>
      <c r="F91" s="1" t="s">
        <v>23</v>
      </c>
      <c r="G91" s="1" t="s">
        <v>24</v>
      </c>
      <c r="H91" s="1">
        <v>1</v>
      </c>
      <c r="I91" s="1" t="s">
        <v>3083</v>
      </c>
      <c r="J91" s="1" t="s">
        <v>26</v>
      </c>
      <c r="K91" s="1">
        <v>9284275</v>
      </c>
      <c r="L91" s="1">
        <v>0</v>
      </c>
      <c r="M91" s="1">
        <v>0</v>
      </c>
      <c r="N91" s="1">
        <v>1021270.25</v>
      </c>
      <c r="O91" s="1">
        <v>0</v>
      </c>
      <c r="P91" s="1">
        <v>0</v>
      </c>
      <c r="Q91" s="1">
        <v>0</v>
      </c>
      <c r="R91" s="1">
        <v>10305545.25</v>
      </c>
      <c r="S91" s="1">
        <v>1997334.1245045001</v>
      </c>
      <c r="T91" s="1">
        <v>21.513086638478001</v>
      </c>
      <c r="U91" t="str">
        <f t="shared" si="1"/>
        <v>Week 4</v>
      </c>
    </row>
    <row r="92" spans="1:21" x14ac:dyDescent="0.25">
      <c r="A92" s="1">
        <v>91</v>
      </c>
      <c r="B92" s="1" t="s">
        <v>3084</v>
      </c>
      <c r="C92" s="2">
        <v>46137</v>
      </c>
      <c r="D92" s="1" t="s">
        <v>306</v>
      </c>
      <c r="E92" s="1" t="s">
        <v>99</v>
      </c>
      <c r="F92" s="1" t="s">
        <v>30</v>
      </c>
      <c r="G92" s="1" t="s">
        <v>24</v>
      </c>
      <c r="H92" s="1">
        <v>1</v>
      </c>
      <c r="I92" s="1" t="s">
        <v>3085</v>
      </c>
      <c r="J92" s="1"/>
      <c r="K92" s="1">
        <v>7208508</v>
      </c>
      <c r="L92" s="1">
        <v>0</v>
      </c>
      <c r="M92" s="1">
        <v>0</v>
      </c>
      <c r="N92" s="1">
        <v>792935.88</v>
      </c>
      <c r="O92" s="1">
        <v>0</v>
      </c>
      <c r="P92" s="1">
        <v>0</v>
      </c>
      <c r="Q92" s="1">
        <v>0</v>
      </c>
      <c r="R92" s="1">
        <v>8001443.8799999999</v>
      </c>
      <c r="S92" s="1">
        <v>366908</v>
      </c>
      <c r="T92" s="1">
        <v>5.0899298440120999</v>
      </c>
      <c r="U92" t="str">
        <f t="shared" si="1"/>
        <v>Week 4</v>
      </c>
    </row>
    <row r="93" spans="1:21" x14ac:dyDescent="0.25">
      <c r="A93" s="1">
        <v>92</v>
      </c>
      <c r="B93" s="1" t="s">
        <v>3086</v>
      </c>
      <c r="C93" s="2">
        <v>46137</v>
      </c>
      <c r="D93" s="1" t="s">
        <v>306</v>
      </c>
      <c r="E93" s="1" t="s">
        <v>99</v>
      </c>
      <c r="F93" s="1" t="s">
        <v>30</v>
      </c>
      <c r="G93" s="1" t="s">
        <v>24</v>
      </c>
      <c r="H93" s="1">
        <v>1</v>
      </c>
      <c r="I93" s="1" t="s">
        <v>3087</v>
      </c>
      <c r="J93" s="1"/>
      <c r="K93" s="1">
        <v>7604078</v>
      </c>
      <c r="L93" s="1">
        <v>0</v>
      </c>
      <c r="M93" s="1">
        <v>0</v>
      </c>
      <c r="N93" s="1">
        <v>836448.58</v>
      </c>
      <c r="O93" s="1">
        <v>0</v>
      </c>
      <c r="P93" s="1">
        <v>0</v>
      </c>
      <c r="Q93" s="1">
        <v>0</v>
      </c>
      <c r="R93" s="1">
        <v>8440526.5800000001</v>
      </c>
      <c r="S93" s="1">
        <v>203438</v>
      </c>
      <c r="T93" s="1">
        <v>2.6753802367624</v>
      </c>
      <c r="U93" t="str">
        <f t="shared" si="1"/>
        <v>Week 4</v>
      </c>
    </row>
    <row r="94" spans="1:21" x14ac:dyDescent="0.25">
      <c r="A94" s="1">
        <v>93</v>
      </c>
      <c r="B94" s="1" t="s">
        <v>3088</v>
      </c>
      <c r="C94" s="2">
        <v>46137</v>
      </c>
      <c r="D94" s="1" t="s">
        <v>21</v>
      </c>
      <c r="E94" s="1" t="s">
        <v>22</v>
      </c>
      <c r="F94" s="1" t="s">
        <v>30</v>
      </c>
      <c r="G94" s="1" t="s">
        <v>24</v>
      </c>
      <c r="H94" s="1">
        <v>1</v>
      </c>
      <c r="I94" s="1" t="s">
        <v>3089</v>
      </c>
      <c r="J94" s="1" t="s">
        <v>26</v>
      </c>
      <c r="K94" s="1">
        <v>93100</v>
      </c>
      <c r="L94" s="1">
        <v>0</v>
      </c>
      <c r="M94" s="1">
        <v>0</v>
      </c>
      <c r="N94" s="1">
        <v>10241</v>
      </c>
      <c r="O94" s="1">
        <v>0</v>
      </c>
      <c r="P94" s="1">
        <v>0</v>
      </c>
      <c r="Q94" s="1">
        <v>0</v>
      </c>
      <c r="R94" s="1">
        <v>103341</v>
      </c>
      <c r="S94" s="1">
        <v>51600</v>
      </c>
      <c r="T94" s="1">
        <v>55.424274973147</v>
      </c>
      <c r="U94" t="str">
        <f t="shared" si="1"/>
        <v>Week 4</v>
      </c>
    </row>
    <row r="95" spans="1:21" x14ac:dyDescent="0.25">
      <c r="A95" s="1">
        <v>94</v>
      </c>
      <c r="B95" s="1" t="s">
        <v>3090</v>
      </c>
      <c r="C95" s="2">
        <v>46137</v>
      </c>
      <c r="D95" s="1" t="s">
        <v>306</v>
      </c>
      <c r="E95" s="1" t="s">
        <v>99</v>
      </c>
      <c r="F95" s="1" t="s">
        <v>30</v>
      </c>
      <c r="G95" s="1" t="s">
        <v>24</v>
      </c>
      <c r="H95" s="1">
        <v>1</v>
      </c>
      <c r="I95" s="1" t="s">
        <v>3091</v>
      </c>
      <c r="J95" s="1"/>
      <c r="K95" s="1">
        <v>10431530</v>
      </c>
      <c r="L95" s="1">
        <v>0</v>
      </c>
      <c r="M95" s="1">
        <v>0</v>
      </c>
      <c r="N95" s="1">
        <v>1147468.3</v>
      </c>
      <c r="O95" s="1">
        <v>0</v>
      </c>
      <c r="P95" s="1">
        <v>0</v>
      </c>
      <c r="Q95" s="1">
        <v>0</v>
      </c>
      <c r="R95" s="1">
        <v>11578998.300000001</v>
      </c>
      <c r="S95" s="1">
        <v>-395670</v>
      </c>
      <c r="T95" s="1">
        <v>-3.7930198158851001</v>
      </c>
      <c r="U95" t="str">
        <f t="shared" si="1"/>
        <v>Week 4</v>
      </c>
    </row>
    <row r="96" spans="1:21" x14ac:dyDescent="0.25">
      <c r="A96" s="1">
        <v>95</v>
      </c>
      <c r="B96" s="1" t="s">
        <v>3092</v>
      </c>
      <c r="C96" s="2">
        <v>46137</v>
      </c>
      <c r="D96" s="1" t="s">
        <v>21</v>
      </c>
      <c r="E96" s="1" t="s">
        <v>22</v>
      </c>
      <c r="F96" s="1" t="s">
        <v>30</v>
      </c>
      <c r="G96" s="1" t="s">
        <v>24</v>
      </c>
      <c r="H96" s="1">
        <v>1</v>
      </c>
      <c r="I96" s="1" t="s">
        <v>3093</v>
      </c>
      <c r="J96" s="1" t="s">
        <v>26</v>
      </c>
      <c r="K96" s="1">
        <v>401187.5</v>
      </c>
      <c r="L96" s="1">
        <v>0</v>
      </c>
      <c r="M96" s="1">
        <v>0</v>
      </c>
      <c r="N96" s="1">
        <v>44130.625</v>
      </c>
      <c r="O96" s="1">
        <v>0</v>
      </c>
      <c r="P96" s="1">
        <v>0</v>
      </c>
      <c r="Q96" s="1">
        <v>0</v>
      </c>
      <c r="R96" s="1">
        <v>445318.125</v>
      </c>
      <c r="S96" s="1">
        <v>157930.44594594999</v>
      </c>
      <c r="T96" s="1">
        <v>39.365744432702002</v>
      </c>
      <c r="U96" t="str">
        <f t="shared" si="1"/>
        <v>Week 4</v>
      </c>
    </row>
    <row r="97" spans="1:21" x14ac:dyDescent="0.25">
      <c r="A97" s="1">
        <v>96</v>
      </c>
      <c r="B97" s="1" t="s">
        <v>3094</v>
      </c>
      <c r="C97" s="2">
        <v>46137</v>
      </c>
      <c r="D97" s="1" t="s">
        <v>306</v>
      </c>
      <c r="E97" s="1" t="s">
        <v>99</v>
      </c>
      <c r="F97" s="1" t="s">
        <v>30</v>
      </c>
      <c r="G97" s="1" t="s">
        <v>24</v>
      </c>
      <c r="H97" s="1">
        <v>1</v>
      </c>
      <c r="I97" s="1" t="s">
        <v>3095</v>
      </c>
      <c r="J97" s="1"/>
      <c r="K97" s="1">
        <v>12957322</v>
      </c>
      <c r="L97" s="1">
        <v>0</v>
      </c>
      <c r="M97" s="1">
        <v>0</v>
      </c>
      <c r="N97" s="1">
        <v>1425305.42</v>
      </c>
      <c r="O97" s="1">
        <v>0</v>
      </c>
      <c r="P97" s="1">
        <v>0</v>
      </c>
      <c r="Q97" s="1">
        <v>0</v>
      </c>
      <c r="R97" s="1">
        <v>14382627.42</v>
      </c>
      <c r="S97" s="1">
        <v>-831333.7</v>
      </c>
      <c r="T97" s="1">
        <v>-6.4159376451399996</v>
      </c>
      <c r="U97" t="str">
        <f t="shared" si="1"/>
        <v>Week 4</v>
      </c>
    </row>
    <row r="98" spans="1:21" x14ac:dyDescent="0.25">
      <c r="A98" s="1">
        <v>97</v>
      </c>
      <c r="B98" s="1" t="s">
        <v>3096</v>
      </c>
      <c r="C98" s="2">
        <v>46137</v>
      </c>
      <c r="D98" s="1" t="s">
        <v>21</v>
      </c>
      <c r="E98" s="1" t="s">
        <v>22</v>
      </c>
      <c r="F98" s="1" t="s">
        <v>30</v>
      </c>
      <c r="G98" s="1" t="s">
        <v>24</v>
      </c>
      <c r="H98" s="1">
        <v>1</v>
      </c>
      <c r="I98" s="1" t="s">
        <v>3097</v>
      </c>
      <c r="J98" s="1" t="s">
        <v>26</v>
      </c>
      <c r="K98" s="1">
        <v>174562.5</v>
      </c>
      <c r="L98" s="1">
        <v>0</v>
      </c>
      <c r="M98" s="1">
        <v>0</v>
      </c>
      <c r="N98" s="1">
        <v>19201.875</v>
      </c>
      <c r="O98" s="1">
        <v>0</v>
      </c>
      <c r="P98" s="1">
        <v>0</v>
      </c>
      <c r="Q98" s="1">
        <v>0</v>
      </c>
      <c r="R98" s="1">
        <v>193764.375</v>
      </c>
      <c r="S98" s="1">
        <v>45562.5</v>
      </c>
      <c r="T98" s="1">
        <v>26.10096670247</v>
      </c>
      <c r="U98" t="str">
        <f t="shared" si="1"/>
        <v>Week 4</v>
      </c>
    </row>
    <row r="99" spans="1:21" x14ac:dyDescent="0.25">
      <c r="A99" s="1">
        <v>98</v>
      </c>
      <c r="B99" s="1" t="s">
        <v>3098</v>
      </c>
      <c r="C99" s="2">
        <v>46137</v>
      </c>
      <c r="D99" s="1" t="s">
        <v>306</v>
      </c>
      <c r="E99" s="1" t="s">
        <v>99</v>
      </c>
      <c r="F99" s="1" t="s">
        <v>30</v>
      </c>
      <c r="G99" s="1" t="s">
        <v>24</v>
      </c>
      <c r="H99" s="1">
        <v>1</v>
      </c>
      <c r="I99" s="1" t="s">
        <v>3099</v>
      </c>
      <c r="J99" s="1"/>
      <c r="K99" s="1">
        <v>43496900</v>
      </c>
      <c r="L99" s="1">
        <v>0</v>
      </c>
      <c r="M99" s="1">
        <v>0</v>
      </c>
      <c r="N99" s="1">
        <v>4784659</v>
      </c>
      <c r="O99" s="1">
        <v>0</v>
      </c>
      <c r="P99" s="1">
        <v>0</v>
      </c>
      <c r="Q99" s="1">
        <v>0</v>
      </c>
      <c r="R99" s="1">
        <v>48281559</v>
      </c>
      <c r="S99" s="1">
        <v>25489900</v>
      </c>
      <c r="T99" s="1">
        <v>58.601647473728001</v>
      </c>
      <c r="U99" t="str">
        <f t="shared" si="1"/>
        <v>Week 4</v>
      </c>
    </row>
    <row r="100" spans="1:21" x14ac:dyDescent="0.25">
      <c r="A100" s="1">
        <v>99</v>
      </c>
      <c r="B100" s="1" t="s">
        <v>3100</v>
      </c>
      <c r="C100" s="2">
        <v>46137</v>
      </c>
      <c r="D100" s="1" t="s">
        <v>21</v>
      </c>
      <c r="E100" s="1" t="s">
        <v>22</v>
      </c>
      <c r="F100" s="1" t="s">
        <v>30</v>
      </c>
      <c r="G100" s="1" t="s">
        <v>24</v>
      </c>
      <c r="H100" s="1">
        <v>1</v>
      </c>
      <c r="I100" s="1" t="s">
        <v>3101</v>
      </c>
      <c r="J100" s="1" t="s">
        <v>26</v>
      </c>
      <c r="K100" s="1">
        <v>33320</v>
      </c>
      <c r="L100" s="1">
        <v>0</v>
      </c>
      <c r="M100" s="1">
        <v>0</v>
      </c>
      <c r="N100" s="1">
        <v>3665.2</v>
      </c>
      <c r="O100" s="1">
        <v>0</v>
      </c>
      <c r="P100" s="1">
        <v>0</v>
      </c>
      <c r="Q100" s="1">
        <v>0</v>
      </c>
      <c r="R100" s="1">
        <v>36985.199999999997</v>
      </c>
      <c r="S100" s="1">
        <v>4941.621621622</v>
      </c>
      <c r="T100" s="1">
        <v>14.830797183739</v>
      </c>
      <c r="U100" t="str">
        <f t="shared" si="1"/>
        <v>Week 4</v>
      </c>
    </row>
    <row r="101" spans="1:21" x14ac:dyDescent="0.25">
      <c r="A101" s="1">
        <v>100</v>
      </c>
      <c r="B101" s="1" t="s">
        <v>3102</v>
      </c>
      <c r="C101" s="2">
        <v>46137</v>
      </c>
      <c r="D101" s="1" t="s">
        <v>21</v>
      </c>
      <c r="E101" s="1" t="s">
        <v>22</v>
      </c>
      <c r="F101" s="1" t="s">
        <v>30</v>
      </c>
      <c r="G101" s="1" t="s">
        <v>24</v>
      </c>
      <c r="H101" s="1">
        <v>1</v>
      </c>
      <c r="I101" s="1" t="s">
        <v>3103</v>
      </c>
      <c r="J101" s="1" t="s">
        <v>26</v>
      </c>
      <c r="K101" s="1">
        <v>159250</v>
      </c>
      <c r="L101" s="1">
        <v>0</v>
      </c>
      <c r="M101" s="1">
        <v>0</v>
      </c>
      <c r="N101" s="1">
        <v>17517.5</v>
      </c>
      <c r="O101" s="1">
        <v>0</v>
      </c>
      <c r="P101" s="1">
        <v>0</v>
      </c>
      <c r="Q101" s="1">
        <v>0</v>
      </c>
      <c r="R101" s="1">
        <v>176767.5</v>
      </c>
      <c r="S101" s="1">
        <v>78166</v>
      </c>
      <c r="T101" s="1">
        <v>49.083830455258997</v>
      </c>
      <c r="U101" t="str">
        <f t="shared" si="1"/>
        <v>Week 4</v>
      </c>
    </row>
    <row r="102" spans="1:21" x14ac:dyDescent="0.25">
      <c r="A102" s="1">
        <v>101</v>
      </c>
      <c r="B102" s="1" t="s">
        <v>3104</v>
      </c>
      <c r="C102" s="2">
        <v>46137</v>
      </c>
      <c r="D102" s="1" t="s">
        <v>53</v>
      </c>
      <c r="E102" s="1" t="s">
        <v>54</v>
      </c>
      <c r="F102" s="1" t="s">
        <v>30</v>
      </c>
      <c r="G102" s="1" t="s">
        <v>24</v>
      </c>
      <c r="H102" s="1">
        <v>1</v>
      </c>
      <c r="I102" s="1" t="s">
        <v>3105</v>
      </c>
      <c r="J102" s="1" t="s">
        <v>56</v>
      </c>
      <c r="K102" s="1">
        <v>179220000</v>
      </c>
      <c r="L102" s="1">
        <v>0</v>
      </c>
      <c r="M102" s="1">
        <v>0</v>
      </c>
      <c r="N102" s="1">
        <v>19714200</v>
      </c>
      <c r="O102" s="1">
        <v>0</v>
      </c>
      <c r="P102" s="1">
        <v>0</v>
      </c>
      <c r="Q102" s="1">
        <v>0</v>
      </c>
      <c r="R102" s="1">
        <v>198934200</v>
      </c>
      <c r="S102" s="1">
        <v>11220000</v>
      </c>
      <c r="T102" s="1">
        <v>6.2604620020087003</v>
      </c>
      <c r="U102" t="str">
        <f t="shared" si="1"/>
        <v>Week 4</v>
      </c>
    </row>
    <row r="103" spans="1:21" x14ac:dyDescent="0.25">
      <c r="A103" s="1">
        <v>102</v>
      </c>
      <c r="B103" s="1" t="s">
        <v>3106</v>
      </c>
      <c r="C103" s="2">
        <v>46137</v>
      </c>
      <c r="D103" s="1" t="s">
        <v>98</v>
      </c>
      <c r="E103" s="1" t="s">
        <v>99</v>
      </c>
      <c r="F103" s="1" t="s">
        <v>30</v>
      </c>
      <c r="G103" s="1" t="s">
        <v>24</v>
      </c>
      <c r="H103" s="1">
        <v>1</v>
      </c>
      <c r="I103" s="1" t="s">
        <v>3107</v>
      </c>
      <c r="J103" s="1"/>
      <c r="K103" s="1">
        <v>23808450</v>
      </c>
      <c r="L103" s="1">
        <v>0</v>
      </c>
      <c r="M103" s="1">
        <v>0</v>
      </c>
      <c r="N103" s="1">
        <v>2618929.5</v>
      </c>
      <c r="O103" s="1">
        <v>0</v>
      </c>
      <c r="P103" s="1">
        <v>0</v>
      </c>
      <c r="Q103" s="1">
        <v>0</v>
      </c>
      <c r="R103" s="1">
        <v>26427379.5</v>
      </c>
      <c r="S103" s="1">
        <v>3836200</v>
      </c>
      <c r="T103" s="1">
        <v>16.112766685777999</v>
      </c>
      <c r="U103" t="str">
        <f t="shared" si="1"/>
        <v>Week 4</v>
      </c>
    </row>
    <row r="104" spans="1:21" x14ac:dyDescent="0.25">
      <c r="A104" s="1">
        <v>103</v>
      </c>
      <c r="B104" s="1" t="s">
        <v>3108</v>
      </c>
      <c r="C104" s="2">
        <v>46137</v>
      </c>
      <c r="D104" s="1" t="s">
        <v>98</v>
      </c>
      <c r="E104" s="1" t="s">
        <v>99</v>
      </c>
      <c r="F104" s="1" t="s">
        <v>30</v>
      </c>
      <c r="G104" s="1" t="s">
        <v>24</v>
      </c>
      <c r="H104" s="1">
        <v>1</v>
      </c>
      <c r="I104" s="1" t="s">
        <v>3109</v>
      </c>
      <c r="J104" s="1"/>
      <c r="K104" s="1">
        <v>83300</v>
      </c>
      <c r="L104" s="1">
        <v>0</v>
      </c>
      <c r="M104" s="1">
        <v>0</v>
      </c>
      <c r="N104" s="1">
        <v>9163</v>
      </c>
      <c r="O104" s="1">
        <v>0</v>
      </c>
      <c r="P104" s="1">
        <v>0</v>
      </c>
      <c r="Q104" s="1">
        <v>0</v>
      </c>
      <c r="R104" s="1">
        <v>92463</v>
      </c>
      <c r="S104" s="1">
        <v>38450</v>
      </c>
      <c r="T104" s="1">
        <v>46.158463385353997</v>
      </c>
      <c r="U104" t="str">
        <f t="shared" si="1"/>
        <v>Week 4</v>
      </c>
    </row>
    <row r="105" spans="1:21" x14ac:dyDescent="0.25">
      <c r="A105" s="1">
        <v>104</v>
      </c>
      <c r="B105" s="1" t="s">
        <v>3110</v>
      </c>
      <c r="C105" s="2">
        <v>46137</v>
      </c>
      <c r="D105" s="1" t="s">
        <v>306</v>
      </c>
      <c r="E105" s="1" t="s">
        <v>99</v>
      </c>
      <c r="F105" s="1" t="s">
        <v>30</v>
      </c>
      <c r="G105" s="1" t="s">
        <v>24</v>
      </c>
      <c r="H105" s="1">
        <v>1</v>
      </c>
      <c r="I105" s="1" t="s">
        <v>3111</v>
      </c>
      <c r="J105" s="1"/>
      <c r="K105" s="1">
        <v>2678000</v>
      </c>
      <c r="L105" s="1">
        <v>0</v>
      </c>
      <c r="M105" s="1">
        <v>0</v>
      </c>
      <c r="N105" s="1">
        <v>294580</v>
      </c>
      <c r="O105" s="1">
        <v>0</v>
      </c>
      <c r="P105" s="1">
        <v>0</v>
      </c>
      <c r="Q105" s="1">
        <v>0</v>
      </c>
      <c r="R105" s="1">
        <v>2972580</v>
      </c>
      <c r="S105" s="1">
        <v>2678000</v>
      </c>
      <c r="T105" s="1">
        <v>100</v>
      </c>
      <c r="U105" t="str">
        <f t="shared" si="1"/>
        <v>Week 4</v>
      </c>
    </row>
    <row r="106" spans="1:21" x14ac:dyDescent="0.25">
      <c r="A106" s="1">
        <v>105</v>
      </c>
      <c r="B106" s="1" t="s">
        <v>3112</v>
      </c>
      <c r="C106" s="2">
        <v>46137</v>
      </c>
      <c r="D106" s="1" t="s">
        <v>21</v>
      </c>
      <c r="E106" s="1" t="s">
        <v>22</v>
      </c>
      <c r="F106" s="1" t="s">
        <v>30</v>
      </c>
      <c r="G106" s="1" t="s">
        <v>24</v>
      </c>
      <c r="H106" s="1">
        <v>1</v>
      </c>
      <c r="I106" s="1" t="s">
        <v>3113</v>
      </c>
      <c r="J106" s="1" t="s">
        <v>26</v>
      </c>
      <c r="K106" s="1">
        <v>29400</v>
      </c>
      <c r="L106" s="1">
        <v>0</v>
      </c>
      <c r="M106" s="1">
        <v>0</v>
      </c>
      <c r="N106" s="1">
        <v>3234</v>
      </c>
      <c r="O106" s="1">
        <v>0</v>
      </c>
      <c r="P106" s="1">
        <v>0</v>
      </c>
      <c r="Q106" s="1">
        <v>0</v>
      </c>
      <c r="R106" s="1">
        <v>32634</v>
      </c>
      <c r="S106" s="1">
        <v>11900</v>
      </c>
      <c r="T106" s="1">
        <v>40.476190476189998</v>
      </c>
      <c r="U106" t="str">
        <f t="shared" si="1"/>
        <v>Week 4</v>
      </c>
    </row>
    <row r="107" spans="1:21" x14ac:dyDescent="0.25">
      <c r="A107" s="1">
        <v>106</v>
      </c>
      <c r="B107" s="1" t="s">
        <v>3114</v>
      </c>
      <c r="C107" s="2">
        <v>46137</v>
      </c>
      <c r="D107" s="1" t="s">
        <v>306</v>
      </c>
      <c r="E107" s="1" t="s">
        <v>99</v>
      </c>
      <c r="F107" s="1" t="s">
        <v>30</v>
      </c>
      <c r="G107" s="1" t="s">
        <v>24</v>
      </c>
      <c r="H107" s="1">
        <v>1</v>
      </c>
      <c r="I107" s="1" t="s">
        <v>3115</v>
      </c>
      <c r="J107" s="1"/>
      <c r="K107" s="1">
        <v>43260000</v>
      </c>
      <c r="L107" s="1">
        <v>0</v>
      </c>
      <c r="M107" s="1">
        <v>0</v>
      </c>
      <c r="N107" s="1">
        <v>4758600</v>
      </c>
      <c r="O107" s="1">
        <v>0</v>
      </c>
      <c r="P107" s="1">
        <v>0</v>
      </c>
      <c r="Q107" s="1">
        <v>0</v>
      </c>
      <c r="R107" s="1">
        <v>48018600</v>
      </c>
      <c r="S107" s="1">
        <v>28259998</v>
      </c>
      <c r="T107" s="1">
        <v>65.325931576513995</v>
      </c>
      <c r="U107" t="str">
        <f t="shared" si="1"/>
        <v>Week 4</v>
      </c>
    </row>
    <row r="108" spans="1:21" x14ac:dyDescent="0.25">
      <c r="A108" s="1">
        <v>107</v>
      </c>
      <c r="B108" s="1" t="s">
        <v>3116</v>
      </c>
      <c r="C108" s="2">
        <v>46137</v>
      </c>
      <c r="D108" s="1" t="s">
        <v>98</v>
      </c>
      <c r="E108" s="1" t="s">
        <v>99</v>
      </c>
      <c r="F108" s="1" t="s">
        <v>30</v>
      </c>
      <c r="G108" s="1" t="s">
        <v>24</v>
      </c>
      <c r="H108" s="1">
        <v>1</v>
      </c>
      <c r="I108" s="1" t="s">
        <v>3117</v>
      </c>
      <c r="J108" s="1" t="s">
        <v>26</v>
      </c>
      <c r="K108" s="1">
        <v>2456550</v>
      </c>
      <c r="L108" s="1">
        <v>0</v>
      </c>
      <c r="M108" s="1">
        <v>0</v>
      </c>
      <c r="N108" s="1">
        <v>270220.5</v>
      </c>
      <c r="O108" s="1">
        <v>0</v>
      </c>
      <c r="P108" s="1">
        <v>0</v>
      </c>
      <c r="Q108" s="1">
        <v>0</v>
      </c>
      <c r="R108" s="1">
        <v>2726770.5</v>
      </c>
      <c r="S108" s="1">
        <v>-53450</v>
      </c>
      <c r="T108" s="1">
        <v>-2.1758156764568</v>
      </c>
      <c r="U108" t="str">
        <f t="shared" si="1"/>
        <v>Week 4</v>
      </c>
    </row>
    <row r="109" spans="1:21" x14ac:dyDescent="0.25">
      <c r="A109" s="1">
        <v>108</v>
      </c>
      <c r="B109" s="1" t="s">
        <v>3118</v>
      </c>
      <c r="C109" s="2">
        <v>46137</v>
      </c>
      <c r="D109" s="1" t="s">
        <v>1485</v>
      </c>
      <c r="E109" s="1" t="s">
        <v>3119</v>
      </c>
      <c r="F109" s="1" t="s">
        <v>30</v>
      </c>
      <c r="G109" s="1" t="s">
        <v>24</v>
      </c>
      <c r="H109" s="1">
        <v>1</v>
      </c>
      <c r="I109" s="1" t="s">
        <v>3120</v>
      </c>
      <c r="J109" s="1"/>
      <c r="K109" s="1">
        <v>4800000</v>
      </c>
      <c r="L109" s="1">
        <v>0</v>
      </c>
      <c r="M109" s="1">
        <v>0</v>
      </c>
      <c r="N109" s="1">
        <v>528000</v>
      </c>
      <c r="O109" s="1">
        <v>0</v>
      </c>
      <c r="P109" s="1">
        <v>0</v>
      </c>
      <c r="Q109" s="1">
        <v>0</v>
      </c>
      <c r="R109" s="1">
        <v>5328000</v>
      </c>
      <c r="S109" s="1">
        <v>200000</v>
      </c>
      <c r="T109" s="1">
        <v>4.1666666666666998</v>
      </c>
      <c r="U109" t="str">
        <f t="shared" si="1"/>
        <v>Week 4</v>
      </c>
    </row>
    <row r="110" spans="1:21" x14ac:dyDescent="0.25">
      <c r="A110" s="1">
        <v>109</v>
      </c>
      <c r="B110" s="1" t="s">
        <v>3121</v>
      </c>
      <c r="C110" s="2">
        <v>46137</v>
      </c>
      <c r="D110" s="1" t="s">
        <v>33</v>
      </c>
      <c r="E110" s="1" t="s">
        <v>34</v>
      </c>
      <c r="F110" s="1" t="s">
        <v>30</v>
      </c>
      <c r="G110" s="1" t="s">
        <v>24</v>
      </c>
      <c r="H110" s="1">
        <v>1</v>
      </c>
      <c r="I110" s="1" t="s">
        <v>3122</v>
      </c>
      <c r="J110" s="1"/>
      <c r="K110" s="1">
        <v>3192999</v>
      </c>
      <c r="L110" s="1">
        <v>0</v>
      </c>
      <c r="M110" s="1">
        <v>0</v>
      </c>
      <c r="N110" s="1">
        <v>351229.89</v>
      </c>
      <c r="O110" s="1">
        <v>0</v>
      </c>
      <c r="P110" s="1">
        <v>0</v>
      </c>
      <c r="Q110" s="1">
        <v>0</v>
      </c>
      <c r="R110" s="1">
        <v>3544228.89</v>
      </c>
      <c r="S110" s="1">
        <v>1092999</v>
      </c>
      <c r="T110" s="1">
        <v>34.231110000347996</v>
      </c>
      <c r="U110" t="str">
        <f t="shared" si="1"/>
        <v>Week 4</v>
      </c>
    </row>
    <row r="111" spans="1:21" x14ac:dyDescent="0.25">
      <c r="A111" s="1">
        <v>110</v>
      </c>
      <c r="B111" s="1" t="s">
        <v>3123</v>
      </c>
      <c r="C111" s="2">
        <v>46137</v>
      </c>
      <c r="D111" s="1" t="s">
        <v>421</v>
      </c>
      <c r="E111" s="1" t="s">
        <v>203</v>
      </c>
      <c r="F111" s="1" t="s">
        <v>30</v>
      </c>
      <c r="G111" s="1" t="s">
        <v>24</v>
      </c>
      <c r="H111" s="1">
        <v>1</v>
      </c>
      <c r="I111" s="1" t="s">
        <v>3124</v>
      </c>
      <c r="J111" s="1" t="s">
        <v>26</v>
      </c>
      <c r="K111" s="1">
        <v>1212456</v>
      </c>
      <c r="L111" s="1">
        <v>0</v>
      </c>
      <c r="M111" s="1">
        <v>0</v>
      </c>
      <c r="N111" s="1">
        <v>133370.16</v>
      </c>
      <c r="O111" s="1">
        <v>0</v>
      </c>
      <c r="P111" s="1">
        <v>0</v>
      </c>
      <c r="Q111" s="1">
        <v>0</v>
      </c>
      <c r="R111" s="1">
        <v>1345826.16</v>
      </c>
      <c r="S111" s="1">
        <v>512456</v>
      </c>
      <c r="T111" s="1">
        <v>42.265946145675002</v>
      </c>
      <c r="U111" t="str">
        <f t="shared" si="1"/>
        <v>Week 4</v>
      </c>
    </row>
    <row r="112" spans="1:21" x14ac:dyDescent="0.25">
      <c r="A112" s="1">
        <v>111</v>
      </c>
      <c r="B112" s="1" t="s">
        <v>3125</v>
      </c>
      <c r="C112" s="2">
        <v>46137</v>
      </c>
      <c r="D112" s="1" t="s">
        <v>53</v>
      </c>
      <c r="E112" s="1" t="s">
        <v>54</v>
      </c>
      <c r="F112" s="1" t="s">
        <v>30</v>
      </c>
      <c r="G112" s="1" t="s">
        <v>24</v>
      </c>
      <c r="H112" s="1">
        <v>1</v>
      </c>
      <c r="I112" s="1" t="s">
        <v>3126</v>
      </c>
      <c r="J112" s="1"/>
      <c r="K112" s="1">
        <v>7623518</v>
      </c>
      <c r="L112" s="1">
        <v>0</v>
      </c>
      <c r="M112" s="1">
        <v>0</v>
      </c>
      <c r="N112" s="1">
        <v>838586.98</v>
      </c>
      <c r="O112" s="1">
        <v>0</v>
      </c>
      <c r="P112" s="1">
        <v>0</v>
      </c>
      <c r="Q112" s="1">
        <v>0</v>
      </c>
      <c r="R112" s="1">
        <v>8462104.9800000004</v>
      </c>
      <c r="S112" s="1">
        <v>-601482</v>
      </c>
      <c r="T112" s="1">
        <v>-7.8898219955668996</v>
      </c>
      <c r="U112" t="str">
        <f t="shared" si="1"/>
        <v>Week 4</v>
      </c>
    </row>
    <row r="113" spans="1:21" x14ac:dyDescent="0.25">
      <c r="A113" s="1">
        <v>112</v>
      </c>
      <c r="B113" s="1" t="s">
        <v>2565</v>
      </c>
      <c r="C113" s="2">
        <v>46137</v>
      </c>
      <c r="D113" s="1" t="s">
        <v>98</v>
      </c>
      <c r="E113" s="1" t="s">
        <v>99</v>
      </c>
      <c r="F113" s="1" t="s">
        <v>30</v>
      </c>
      <c r="G113" s="1" t="s">
        <v>24</v>
      </c>
      <c r="H113" s="1">
        <v>1</v>
      </c>
      <c r="I113" s="1" t="s">
        <v>3127</v>
      </c>
      <c r="J113" s="1"/>
      <c r="K113" s="1">
        <v>15555371</v>
      </c>
      <c r="L113" s="1">
        <v>0</v>
      </c>
      <c r="M113" s="1">
        <v>0</v>
      </c>
      <c r="N113" s="1">
        <v>1711090.81</v>
      </c>
      <c r="O113" s="1">
        <v>0</v>
      </c>
      <c r="P113" s="1">
        <v>0</v>
      </c>
      <c r="Q113" s="1">
        <v>0</v>
      </c>
      <c r="R113" s="1">
        <v>17266461.809999999</v>
      </c>
      <c r="S113" s="1">
        <v>1615371</v>
      </c>
      <c r="T113" s="1">
        <v>10.384651063610001</v>
      </c>
      <c r="U113" t="str">
        <f t="shared" si="1"/>
        <v>Week 4</v>
      </c>
    </row>
    <row r="114" spans="1:21" x14ac:dyDescent="0.25">
      <c r="A114" s="1">
        <v>113</v>
      </c>
      <c r="B114" s="1" t="s">
        <v>3128</v>
      </c>
      <c r="C114" s="2">
        <v>46136</v>
      </c>
      <c r="D114" s="1" t="s">
        <v>248</v>
      </c>
      <c r="E114" s="1" t="s">
        <v>116</v>
      </c>
      <c r="F114" s="1" t="s">
        <v>30</v>
      </c>
      <c r="G114" s="1" t="s">
        <v>24</v>
      </c>
      <c r="H114" s="1">
        <v>1</v>
      </c>
      <c r="I114" s="1" t="s">
        <v>3063</v>
      </c>
      <c r="J114" s="1" t="s">
        <v>26</v>
      </c>
      <c r="K114" s="1">
        <v>490280</v>
      </c>
      <c r="L114" s="1">
        <v>0</v>
      </c>
      <c r="M114" s="1">
        <v>0</v>
      </c>
      <c r="N114" s="1">
        <v>53930.8</v>
      </c>
      <c r="O114" s="1">
        <v>0</v>
      </c>
      <c r="P114" s="1">
        <v>0</v>
      </c>
      <c r="Q114" s="1">
        <v>0</v>
      </c>
      <c r="R114" s="1">
        <v>544210.80000000005</v>
      </c>
      <c r="S114" s="1">
        <v>230280</v>
      </c>
      <c r="T114" s="1">
        <v>46.969078893693002</v>
      </c>
      <c r="U114" t="str">
        <f t="shared" si="1"/>
        <v>Week 4</v>
      </c>
    </row>
    <row r="115" spans="1:21" x14ac:dyDescent="0.25">
      <c r="A115" s="1">
        <v>114</v>
      </c>
      <c r="B115" s="1" t="s">
        <v>3129</v>
      </c>
      <c r="C115" s="2">
        <v>46136</v>
      </c>
      <c r="D115" s="1" t="s">
        <v>33</v>
      </c>
      <c r="E115" s="1" t="s">
        <v>34</v>
      </c>
      <c r="F115" s="1" t="s">
        <v>30</v>
      </c>
      <c r="G115" s="1" t="s">
        <v>24</v>
      </c>
      <c r="H115" s="1">
        <v>1</v>
      </c>
      <c r="I115" s="1" t="s">
        <v>3130</v>
      </c>
      <c r="J115" s="1"/>
      <c r="K115" s="1">
        <v>8656683</v>
      </c>
      <c r="L115" s="1">
        <v>0</v>
      </c>
      <c r="M115" s="1">
        <v>0</v>
      </c>
      <c r="N115" s="1">
        <v>952235.13</v>
      </c>
      <c r="O115" s="1">
        <v>0</v>
      </c>
      <c r="P115" s="1">
        <v>0</v>
      </c>
      <c r="Q115" s="1">
        <v>0</v>
      </c>
      <c r="R115" s="1">
        <v>9608918.1300000008</v>
      </c>
      <c r="S115" s="1">
        <v>8656633</v>
      </c>
      <c r="T115" s="1">
        <v>0</v>
      </c>
      <c r="U115" t="str">
        <f t="shared" si="1"/>
        <v>Week 4</v>
      </c>
    </row>
    <row r="116" spans="1:21" x14ac:dyDescent="0.25">
      <c r="A116" s="1">
        <v>115</v>
      </c>
      <c r="B116" s="1" t="s">
        <v>3131</v>
      </c>
      <c r="C116" s="2">
        <v>46136</v>
      </c>
      <c r="D116" s="1" t="s">
        <v>33</v>
      </c>
      <c r="E116" s="1" t="s">
        <v>34</v>
      </c>
      <c r="F116" s="1" t="s">
        <v>30</v>
      </c>
      <c r="G116" s="1" t="s">
        <v>24</v>
      </c>
      <c r="H116" s="1">
        <v>1</v>
      </c>
      <c r="I116" s="1" t="s">
        <v>3132</v>
      </c>
      <c r="J116" s="1"/>
      <c r="K116" s="1">
        <v>254800</v>
      </c>
      <c r="L116" s="1">
        <v>0</v>
      </c>
      <c r="M116" s="1">
        <v>0</v>
      </c>
      <c r="N116" s="1">
        <v>28028</v>
      </c>
      <c r="O116" s="1">
        <v>0</v>
      </c>
      <c r="P116" s="1">
        <v>0</v>
      </c>
      <c r="Q116" s="1">
        <v>0</v>
      </c>
      <c r="R116" s="1">
        <v>282828</v>
      </c>
      <c r="S116" s="1">
        <v>164800</v>
      </c>
      <c r="T116" s="1">
        <v>64.678178963893004</v>
      </c>
      <c r="U116" t="str">
        <f t="shared" si="1"/>
        <v>Week 4</v>
      </c>
    </row>
    <row r="117" spans="1:21" x14ac:dyDescent="0.25">
      <c r="A117" s="1">
        <v>116</v>
      </c>
      <c r="B117" s="1" t="s">
        <v>3133</v>
      </c>
      <c r="C117" s="2">
        <v>46136</v>
      </c>
      <c r="D117" s="1" t="s">
        <v>33</v>
      </c>
      <c r="E117" s="1" t="s">
        <v>34</v>
      </c>
      <c r="F117" s="1" t="s">
        <v>30</v>
      </c>
      <c r="G117" s="1" t="s">
        <v>24</v>
      </c>
      <c r="H117" s="1">
        <v>1</v>
      </c>
      <c r="I117" s="1" t="s">
        <v>3134</v>
      </c>
      <c r="J117" s="1"/>
      <c r="K117" s="1">
        <v>4253200</v>
      </c>
      <c r="L117" s="1">
        <v>0</v>
      </c>
      <c r="M117" s="1">
        <v>0</v>
      </c>
      <c r="N117" s="1">
        <v>467852</v>
      </c>
      <c r="O117" s="1">
        <v>0</v>
      </c>
      <c r="P117" s="1">
        <v>0</v>
      </c>
      <c r="Q117" s="1">
        <v>0</v>
      </c>
      <c r="R117" s="1">
        <v>4721052</v>
      </c>
      <c r="S117" s="1">
        <v>732700</v>
      </c>
      <c r="T117" s="1">
        <v>17.227029060471999</v>
      </c>
      <c r="U117" t="str">
        <f t="shared" si="1"/>
        <v>Week 4</v>
      </c>
    </row>
    <row r="118" spans="1:21" x14ac:dyDescent="0.25">
      <c r="A118" s="1">
        <v>117</v>
      </c>
      <c r="B118" s="1" t="s">
        <v>3135</v>
      </c>
      <c r="C118" s="2">
        <v>46136</v>
      </c>
      <c r="D118" s="1" t="s">
        <v>21</v>
      </c>
      <c r="E118" s="1" t="s">
        <v>22</v>
      </c>
      <c r="F118" s="1" t="s">
        <v>30</v>
      </c>
      <c r="G118" s="1" t="s">
        <v>24</v>
      </c>
      <c r="H118" s="1">
        <v>1</v>
      </c>
      <c r="I118" s="1" t="s">
        <v>3136</v>
      </c>
      <c r="J118" s="1" t="s">
        <v>26</v>
      </c>
      <c r="K118" s="1">
        <v>7758986.3399999999</v>
      </c>
      <c r="L118" s="1">
        <v>0</v>
      </c>
      <c r="M118" s="1">
        <v>0</v>
      </c>
      <c r="N118" s="1">
        <v>853488.49739999999</v>
      </c>
      <c r="O118" s="1">
        <v>0</v>
      </c>
      <c r="P118" s="1">
        <v>0</v>
      </c>
      <c r="Q118" s="1">
        <v>0</v>
      </c>
      <c r="R118" s="1">
        <v>8612474.8374000005</v>
      </c>
      <c r="S118" s="1">
        <v>3057786.34</v>
      </c>
      <c r="T118" s="1">
        <v>39.409611075561997</v>
      </c>
      <c r="U118" t="str">
        <f t="shared" si="1"/>
        <v>Week 4</v>
      </c>
    </row>
    <row r="119" spans="1:21" x14ac:dyDescent="0.25">
      <c r="A119" s="1">
        <v>118</v>
      </c>
      <c r="B119" s="1" t="s">
        <v>3137</v>
      </c>
      <c r="C119" s="2">
        <v>46136</v>
      </c>
      <c r="D119" s="1" t="s">
        <v>33</v>
      </c>
      <c r="E119" s="1" t="s">
        <v>34</v>
      </c>
      <c r="F119" s="1" t="s">
        <v>30</v>
      </c>
      <c r="G119" s="1" t="s">
        <v>24</v>
      </c>
      <c r="H119" s="1">
        <v>1</v>
      </c>
      <c r="I119" s="1" t="s">
        <v>3138</v>
      </c>
      <c r="J119" s="1"/>
      <c r="K119" s="1">
        <v>2940000</v>
      </c>
      <c r="L119" s="1">
        <v>0</v>
      </c>
      <c r="M119" s="1">
        <v>0</v>
      </c>
      <c r="N119" s="1">
        <v>323400</v>
      </c>
      <c r="O119" s="1">
        <v>0</v>
      </c>
      <c r="P119" s="1">
        <v>0</v>
      </c>
      <c r="Q119" s="1">
        <v>0</v>
      </c>
      <c r="R119" s="1">
        <v>3263400</v>
      </c>
      <c r="S119" s="1">
        <v>340000</v>
      </c>
      <c r="T119" s="1">
        <v>11.564625850340001</v>
      </c>
      <c r="U119" t="str">
        <f t="shared" si="1"/>
        <v>Week 4</v>
      </c>
    </row>
    <row r="120" spans="1:21" x14ac:dyDescent="0.25">
      <c r="A120" s="1">
        <v>119</v>
      </c>
      <c r="B120" s="1" t="s">
        <v>3139</v>
      </c>
      <c r="C120" s="2">
        <v>46136</v>
      </c>
      <c r="D120" s="1" t="s">
        <v>33</v>
      </c>
      <c r="E120" s="1" t="s">
        <v>38</v>
      </c>
      <c r="F120" s="1" t="s">
        <v>23</v>
      </c>
      <c r="G120" s="1" t="s">
        <v>24</v>
      </c>
      <c r="H120" s="1">
        <v>1</v>
      </c>
      <c r="I120" s="1" t="s">
        <v>3140</v>
      </c>
      <c r="J120" s="1" t="s">
        <v>26</v>
      </c>
      <c r="K120" s="1">
        <v>1875000</v>
      </c>
      <c r="L120" s="1">
        <v>0</v>
      </c>
      <c r="M120" s="1">
        <v>0</v>
      </c>
      <c r="N120" s="1">
        <v>206250</v>
      </c>
      <c r="O120" s="1">
        <v>0</v>
      </c>
      <c r="P120" s="1">
        <v>0</v>
      </c>
      <c r="Q120" s="1">
        <v>0</v>
      </c>
      <c r="R120" s="1">
        <v>2081250</v>
      </c>
      <c r="S120" s="1">
        <v>848885</v>
      </c>
      <c r="T120" s="1">
        <v>45.273866666666997</v>
      </c>
      <c r="U120" t="str">
        <f t="shared" si="1"/>
        <v>Week 4</v>
      </c>
    </row>
    <row r="121" spans="1:21" x14ac:dyDescent="0.25">
      <c r="A121" s="1">
        <v>120</v>
      </c>
      <c r="B121" s="1" t="s">
        <v>3141</v>
      </c>
      <c r="C121" s="2">
        <v>46136</v>
      </c>
      <c r="D121" s="1" t="s">
        <v>202</v>
      </c>
      <c r="E121" s="1" t="s">
        <v>203</v>
      </c>
      <c r="F121" s="1" t="s">
        <v>23</v>
      </c>
      <c r="G121" s="1" t="s">
        <v>24</v>
      </c>
      <c r="H121" s="1">
        <v>1</v>
      </c>
      <c r="I121" s="1" t="s">
        <v>3142</v>
      </c>
      <c r="J121" s="1" t="s">
        <v>26</v>
      </c>
      <c r="K121" s="1">
        <v>1140000</v>
      </c>
      <c r="L121" s="1">
        <v>0</v>
      </c>
      <c r="M121" s="1">
        <v>0</v>
      </c>
      <c r="N121" s="1">
        <v>125400</v>
      </c>
      <c r="O121" s="1">
        <v>0</v>
      </c>
      <c r="P121" s="1">
        <v>0</v>
      </c>
      <c r="Q121" s="1">
        <v>0</v>
      </c>
      <c r="R121" s="1">
        <v>1265400</v>
      </c>
      <c r="S121" s="1">
        <v>300000</v>
      </c>
      <c r="T121" s="1">
        <v>26.315789473683999</v>
      </c>
      <c r="U121" t="str">
        <f t="shared" si="1"/>
        <v>Week 4</v>
      </c>
    </row>
    <row r="122" spans="1:21" x14ac:dyDescent="0.25">
      <c r="A122" s="1">
        <v>121</v>
      </c>
      <c r="B122" s="1" t="s">
        <v>3143</v>
      </c>
      <c r="C122" s="2">
        <v>46136</v>
      </c>
      <c r="D122" s="1" t="s">
        <v>248</v>
      </c>
      <c r="E122" s="1" t="s">
        <v>116</v>
      </c>
      <c r="F122" s="1" t="s">
        <v>30</v>
      </c>
      <c r="G122" s="1" t="s">
        <v>24</v>
      </c>
      <c r="H122" s="1">
        <v>1</v>
      </c>
      <c r="I122" s="1" t="s">
        <v>3144</v>
      </c>
      <c r="J122" s="1" t="s">
        <v>26</v>
      </c>
      <c r="K122" s="1">
        <v>1615040</v>
      </c>
      <c r="L122" s="1">
        <v>0</v>
      </c>
      <c r="M122" s="1">
        <v>0</v>
      </c>
      <c r="N122" s="1">
        <v>177654.39999999999</v>
      </c>
      <c r="O122" s="1">
        <v>0</v>
      </c>
      <c r="P122" s="1">
        <v>0</v>
      </c>
      <c r="Q122" s="1">
        <v>0</v>
      </c>
      <c r="R122" s="1">
        <v>1792694.4</v>
      </c>
      <c r="S122" s="1">
        <v>487821.08108108002</v>
      </c>
      <c r="T122" s="1">
        <v>30.204891586653002</v>
      </c>
      <c r="U122" t="str">
        <f t="shared" si="1"/>
        <v>Week 4</v>
      </c>
    </row>
    <row r="123" spans="1:21" x14ac:dyDescent="0.25">
      <c r="A123" s="1">
        <v>122</v>
      </c>
      <c r="B123" s="1" t="s">
        <v>3145</v>
      </c>
      <c r="C123" s="2">
        <v>46136</v>
      </c>
      <c r="D123" s="1" t="s">
        <v>53</v>
      </c>
      <c r="E123" s="1" t="s">
        <v>54</v>
      </c>
      <c r="F123" s="1" t="s">
        <v>23</v>
      </c>
      <c r="G123" s="1" t="s">
        <v>24</v>
      </c>
      <c r="H123" s="1">
        <v>1</v>
      </c>
      <c r="I123" s="1" t="s">
        <v>3146</v>
      </c>
      <c r="J123" s="1" t="s">
        <v>3147</v>
      </c>
      <c r="K123" s="1">
        <v>1090000</v>
      </c>
      <c r="L123" s="1">
        <v>0</v>
      </c>
      <c r="M123" s="1">
        <v>0</v>
      </c>
      <c r="N123" s="1">
        <v>119900</v>
      </c>
      <c r="O123" s="1">
        <v>0</v>
      </c>
      <c r="P123" s="1">
        <v>0</v>
      </c>
      <c r="Q123" s="1">
        <v>0</v>
      </c>
      <c r="R123" s="1">
        <v>1209900</v>
      </c>
      <c r="S123" s="1">
        <v>536660</v>
      </c>
      <c r="T123" s="1">
        <v>49.234862385321001</v>
      </c>
      <c r="U123" t="str">
        <f t="shared" si="1"/>
        <v>Week 4</v>
      </c>
    </row>
    <row r="124" spans="1:21" x14ac:dyDescent="0.25">
      <c r="A124" s="1">
        <v>123</v>
      </c>
      <c r="B124" s="1" t="s">
        <v>3148</v>
      </c>
      <c r="C124" s="2">
        <v>46136</v>
      </c>
      <c r="D124" s="1" t="s">
        <v>33</v>
      </c>
      <c r="E124" s="1" t="s">
        <v>34</v>
      </c>
      <c r="F124" s="1" t="s">
        <v>30</v>
      </c>
      <c r="G124" s="1" t="s">
        <v>24</v>
      </c>
      <c r="H124" s="1">
        <v>1</v>
      </c>
      <c r="I124" s="1" t="s">
        <v>3149</v>
      </c>
      <c r="J124" s="1"/>
      <c r="K124" s="1">
        <v>18134714.780000001</v>
      </c>
      <c r="L124" s="1">
        <v>0</v>
      </c>
      <c r="M124" s="1">
        <v>0</v>
      </c>
      <c r="N124" s="1">
        <v>1994818.6258</v>
      </c>
      <c r="O124" s="1">
        <v>0</v>
      </c>
      <c r="P124" s="1">
        <v>0</v>
      </c>
      <c r="Q124" s="1">
        <v>0</v>
      </c>
      <c r="R124" s="1">
        <v>20129533.4058</v>
      </c>
      <c r="S124" s="1">
        <v>7158634.3007207001</v>
      </c>
      <c r="T124" s="1">
        <v>39.474755393537997</v>
      </c>
      <c r="U124" t="str">
        <f t="shared" si="1"/>
        <v>Week 4</v>
      </c>
    </row>
    <row r="125" spans="1:21" x14ac:dyDescent="0.25">
      <c r="A125" s="1">
        <v>124</v>
      </c>
      <c r="B125" s="1" t="s">
        <v>3150</v>
      </c>
      <c r="C125" s="2">
        <v>46136</v>
      </c>
      <c r="D125" s="1" t="s">
        <v>2979</v>
      </c>
      <c r="E125" s="1" t="s">
        <v>203</v>
      </c>
      <c r="F125" s="1" t="s">
        <v>30</v>
      </c>
      <c r="G125" s="1" t="s">
        <v>24</v>
      </c>
      <c r="H125" s="1">
        <v>1</v>
      </c>
      <c r="I125" s="1" t="s">
        <v>3151</v>
      </c>
      <c r="J125" s="1" t="s">
        <v>26</v>
      </c>
      <c r="K125" s="1">
        <v>190241000</v>
      </c>
      <c r="L125" s="1">
        <v>0</v>
      </c>
      <c r="M125" s="1">
        <v>0</v>
      </c>
      <c r="N125" s="1">
        <v>20926510</v>
      </c>
      <c r="O125" s="1">
        <v>0</v>
      </c>
      <c r="P125" s="1">
        <v>0</v>
      </c>
      <c r="Q125" s="1">
        <v>0</v>
      </c>
      <c r="R125" s="1">
        <v>211167510</v>
      </c>
      <c r="S125" s="1">
        <v>13637500</v>
      </c>
      <c r="T125" s="1">
        <v>7.1685388533492</v>
      </c>
      <c r="U125" t="str">
        <f t="shared" si="1"/>
        <v>Week 4</v>
      </c>
    </row>
    <row r="126" spans="1:21" x14ac:dyDescent="0.25">
      <c r="A126" s="1">
        <v>125</v>
      </c>
      <c r="B126" s="1" t="s">
        <v>3152</v>
      </c>
      <c r="C126" s="2">
        <v>46136</v>
      </c>
      <c r="D126" s="1" t="s">
        <v>53</v>
      </c>
      <c r="E126" s="1" t="s">
        <v>54</v>
      </c>
      <c r="F126" s="1" t="s">
        <v>23</v>
      </c>
      <c r="G126" s="1" t="s">
        <v>24</v>
      </c>
      <c r="H126" s="1">
        <v>1</v>
      </c>
      <c r="I126" s="1" t="s">
        <v>3153</v>
      </c>
      <c r="J126" s="1"/>
      <c r="K126" s="1">
        <v>2745000</v>
      </c>
      <c r="L126" s="1">
        <v>0</v>
      </c>
      <c r="M126" s="1">
        <v>0</v>
      </c>
      <c r="N126" s="1">
        <v>301950</v>
      </c>
      <c r="O126" s="1">
        <v>0</v>
      </c>
      <c r="P126" s="1">
        <v>0</v>
      </c>
      <c r="Q126" s="1">
        <v>0</v>
      </c>
      <c r="R126" s="1">
        <v>3046950</v>
      </c>
      <c r="S126" s="1">
        <v>1195000</v>
      </c>
      <c r="T126" s="1">
        <v>43.533697632058001</v>
      </c>
      <c r="U126" t="str">
        <f t="shared" si="1"/>
        <v>Week 4</v>
      </c>
    </row>
    <row r="127" spans="1:21" x14ac:dyDescent="0.25">
      <c r="A127" s="1">
        <v>126</v>
      </c>
      <c r="B127" s="1" t="s">
        <v>3154</v>
      </c>
      <c r="C127" s="2">
        <v>46136</v>
      </c>
      <c r="D127" s="1" t="s">
        <v>37</v>
      </c>
      <c r="E127" s="1" t="s">
        <v>38</v>
      </c>
      <c r="F127" s="1" t="s">
        <v>23</v>
      </c>
      <c r="G127" s="1" t="s">
        <v>24</v>
      </c>
      <c r="H127" s="1">
        <v>1</v>
      </c>
      <c r="I127" s="1" t="s">
        <v>180</v>
      </c>
      <c r="J127" s="1" t="s">
        <v>26</v>
      </c>
      <c r="K127" s="1">
        <v>287000</v>
      </c>
      <c r="L127" s="1">
        <v>0</v>
      </c>
      <c r="M127" s="1">
        <v>0</v>
      </c>
      <c r="N127" s="1">
        <v>31570</v>
      </c>
      <c r="O127" s="1">
        <v>0</v>
      </c>
      <c r="P127" s="1">
        <v>0</v>
      </c>
      <c r="Q127" s="1">
        <v>0</v>
      </c>
      <c r="R127" s="1">
        <v>318570</v>
      </c>
      <c r="S127" s="1">
        <v>173234.23</v>
      </c>
      <c r="T127" s="1">
        <v>60.360358885017</v>
      </c>
      <c r="U127" t="str">
        <f t="shared" si="1"/>
        <v>Week 4</v>
      </c>
    </row>
    <row r="128" spans="1:21" x14ac:dyDescent="0.25">
      <c r="A128" s="1">
        <v>127</v>
      </c>
      <c r="B128" s="1" t="s">
        <v>3155</v>
      </c>
      <c r="C128" s="2">
        <v>46136</v>
      </c>
      <c r="D128" s="1" t="s">
        <v>2979</v>
      </c>
      <c r="E128" s="1" t="s">
        <v>203</v>
      </c>
      <c r="F128" s="1" t="s">
        <v>30</v>
      </c>
      <c r="G128" s="1" t="s">
        <v>24</v>
      </c>
      <c r="H128" s="1">
        <v>1</v>
      </c>
      <c r="I128" s="1" t="s">
        <v>3156</v>
      </c>
      <c r="J128" s="1" t="s">
        <v>26</v>
      </c>
      <c r="K128" s="1">
        <v>401700</v>
      </c>
      <c r="L128" s="1">
        <v>0</v>
      </c>
      <c r="M128" s="1">
        <v>0</v>
      </c>
      <c r="N128" s="1">
        <v>44187</v>
      </c>
      <c r="O128" s="1">
        <v>0</v>
      </c>
      <c r="P128" s="1">
        <v>0</v>
      </c>
      <c r="Q128" s="1">
        <v>0</v>
      </c>
      <c r="R128" s="1">
        <v>445887</v>
      </c>
      <c r="S128" s="1">
        <v>-300</v>
      </c>
      <c r="T128" s="1">
        <v>-7.4682598954443999E-2</v>
      </c>
      <c r="U128" t="str">
        <f t="shared" si="1"/>
        <v>Week 4</v>
      </c>
    </row>
    <row r="129" spans="1:21" x14ac:dyDescent="0.25">
      <c r="A129" s="1">
        <v>128</v>
      </c>
      <c r="B129" s="1" t="s">
        <v>3157</v>
      </c>
      <c r="C129" s="2">
        <v>46136</v>
      </c>
      <c r="D129" s="1" t="s">
        <v>37</v>
      </c>
      <c r="E129" s="1" t="s">
        <v>38</v>
      </c>
      <c r="F129" s="1" t="s">
        <v>30</v>
      </c>
      <c r="G129" s="1" t="s">
        <v>24</v>
      </c>
      <c r="H129" s="1">
        <v>1</v>
      </c>
      <c r="I129" s="1" t="s">
        <v>3158</v>
      </c>
      <c r="J129" s="1"/>
      <c r="K129" s="1">
        <v>532000</v>
      </c>
      <c r="L129" s="1">
        <v>0</v>
      </c>
      <c r="M129" s="1">
        <v>0</v>
      </c>
      <c r="N129" s="1">
        <v>58520</v>
      </c>
      <c r="O129" s="1">
        <v>0</v>
      </c>
      <c r="P129" s="1">
        <v>0</v>
      </c>
      <c r="Q129" s="1">
        <v>0</v>
      </c>
      <c r="R129" s="1">
        <v>590520</v>
      </c>
      <c r="S129" s="1">
        <v>-18000</v>
      </c>
      <c r="T129" s="1">
        <v>-3.3834586466165</v>
      </c>
      <c r="U129" t="str">
        <f t="shared" si="1"/>
        <v>Week 4</v>
      </c>
    </row>
    <row r="130" spans="1:21" x14ac:dyDescent="0.25">
      <c r="A130" s="1">
        <v>129</v>
      </c>
      <c r="B130" s="1" t="s">
        <v>3159</v>
      </c>
      <c r="C130" s="2">
        <v>46136</v>
      </c>
      <c r="D130" s="1" t="s">
        <v>2979</v>
      </c>
      <c r="E130" s="1" t="s">
        <v>203</v>
      </c>
      <c r="F130" s="1" t="s">
        <v>23</v>
      </c>
      <c r="G130" s="1" t="s">
        <v>24</v>
      </c>
      <c r="H130" s="1">
        <v>1</v>
      </c>
      <c r="I130" s="1" t="s">
        <v>3160</v>
      </c>
      <c r="J130" s="1" t="s">
        <v>26</v>
      </c>
      <c r="K130" s="1">
        <v>1529074</v>
      </c>
      <c r="L130" s="1">
        <v>0</v>
      </c>
      <c r="M130" s="1">
        <v>0</v>
      </c>
      <c r="N130" s="1">
        <v>168198.14</v>
      </c>
      <c r="O130" s="1">
        <v>0</v>
      </c>
      <c r="P130" s="1">
        <v>0</v>
      </c>
      <c r="Q130" s="1">
        <v>0</v>
      </c>
      <c r="R130" s="1">
        <v>1697272.14</v>
      </c>
      <c r="S130" s="1">
        <v>279279.21999999997</v>
      </c>
      <c r="T130" s="1">
        <v>18.264598050846001</v>
      </c>
      <c r="U130" t="str">
        <f t="shared" si="1"/>
        <v>Week 4</v>
      </c>
    </row>
    <row r="131" spans="1:21" x14ac:dyDescent="0.25">
      <c r="A131" s="1">
        <v>130</v>
      </c>
      <c r="B131" s="1" t="s">
        <v>3161</v>
      </c>
      <c r="C131" s="2">
        <v>46136</v>
      </c>
      <c r="D131" s="1" t="s">
        <v>33</v>
      </c>
      <c r="E131" s="1" t="s">
        <v>34</v>
      </c>
      <c r="F131" s="1" t="s">
        <v>30</v>
      </c>
      <c r="G131" s="1" t="s">
        <v>24</v>
      </c>
      <c r="H131" s="1">
        <v>1</v>
      </c>
      <c r="I131" s="1" t="s">
        <v>3162</v>
      </c>
      <c r="J131" s="1"/>
      <c r="K131" s="1">
        <v>86456314.420000002</v>
      </c>
      <c r="L131" s="1">
        <v>0</v>
      </c>
      <c r="M131" s="1">
        <v>0</v>
      </c>
      <c r="N131" s="1">
        <v>9510194.5862000007</v>
      </c>
      <c r="O131" s="1">
        <v>0</v>
      </c>
      <c r="P131" s="1">
        <v>0</v>
      </c>
      <c r="Q131" s="1">
        <v>0</v>
      </c>
      <c r="R131" s="1">
        <v>95966509.006200001</v>
      </c>
      <c r="S131" s="1">
        <v>3789408.4218020998</v>
      </c>
      <c r="T131" s="1">
        <v>4.3830325722576999</v>
      </c>
      <c r="U131" t="str">
        <f t="shared" ref="U131:U194" si="2">"Week "&amp;IF(DAY(C131)&gt;=24,4,INT((DAY(C131)-1)/7)+1)</f>
        <v>Week 4</v>
      </c>
    </row>
    <row r="132" spans="1:21" x14ac:dyDescent="0.25">
      <c r="A132" s="1">
        <v>131</v>
      </c>
      <c r="B132" s="1" t="s">
        <v>3163</v>
      </c>
      <c r="C132" s="2">
        <v>46136</v>
      </c>
      <c r="D132" s="1" t="s">
        <v>33</v>
      </c>
      <c r="E132" s="1" t="s">
        <v>34</v>
      </c>
      <c r="F132" s="1" t="s">
        <v>23</v>
      </c>
      <c r="G132" s="1" t="s">
        <v>24</v>
      </c>
      <c r="H132" s="1">
        <v>1</v>
      </c>
      <c r="I132" s="1" t="s">
        <v>3164</v>
      </c>
      <c r="J132" s="1"/>
      <c r="K132" s="1">
        <v>17680000</v>
      </c>
      <c r="L132" s="1">
        <v>0</v>
      </c>
      <c r="M132" s="1">
        <v>0</v>
      </c>
      <c r="N132" s="1">
        <v>1944800</v>
      </c>
      <c r="O132" s="1">
        <v>0</v>
      </c>
      <c r="P132" s="1">
        <v>0</v>
      </c>
      <c r="Q132" s="1">
        <v>0</v>
      </c>
      <c r="R132" s="1">
        <v>19624800</v>
      </c>
      <c r="S132" s="1">
        <v>4575000</v>
      </c>
      <c r="T132" s="1">
        <v>25.876696832579</v>
      </c>
      <c r="U132" t="str">
        <f t="shared" si="2"/>
        <v>Week 4</v>
      </c>
    </row>
    <row r="133" spans="1:21" x14ac:dyDescent="0.25">
      <c r="A133" s="1">
        <v>132</v>
      </c>
      <c r="B133" s="1" t="s">
        <v>3165</v>
      </c>
      <c r="C133" s="2">
        <v>46136</v>
      </c>
      <c r="D133" s="1" t="s">
        <v>432</v>
      </c>
      <c r="E133" s="1" t="s">
        <v>116</v>
      </c>
      <c r="F133" s="1" t="s">
        <v>30</v>
      </c>
      <c r="G133" s="1" t="s">
        <v>24</v>
      </c>
      <c r="H133" s="1">
        <v>1</v>
      </c>
      <c r="I133" s="1" t="s">
        <v>3166</v>
      </c>
      <c r="J133" s="1" t="s">
        <v>26</v>
      </c>
      <c r="K133" s="1">
        <v>54819175</v>
      </c>
      <c r="L133" s="1">
        <v>0</v>
      </c>
      <c r="M133" s="1">
        <v>0</v>
      </c>
      <c r="N133" s="1">
        <v>6030109.25</v>
      </c>
      <c r="O133" s="1">
        <v>0</v>
      </c>
      <c r="P133" s="1">
        <v>0</v>
      </c>
      <c r="Q133" s="1">
        <v>0</v>
      </c>
      <c r="R133" s="1">
        <v>60849284.25</v>
      </c>
      <c r="S133" s="1">
        <v>1596675</v>
      </c>
      <c r="T133" s="1">
        <v>2.9126213592233001</v>
      </c>
      <c r="U133" t="str">
        <f t="shared" si="2"/>
        <v>Week 4</v>
      </c>
    </row>
    <row r="134" spans="1:21" x14ac:dyDescent="0.25">
      <c r="A134" s="1">
        <v>133</v>
      </c>
      <c r="B134" s="1" t="s">
        <v>3167</v>
      </c>
      <c r="C134" s="2">
        <v>46136</v>
      </c>
      <c r="D134" s="1" t="s">
        <v>37</v>
      </c>
      <c r="E134" s="1" t="s">
        <v>38</v>
      </c>
      <c r="F134" s="1" t="s">
        <v>30</v>
      </c>
      <c r="G134" s="1" t="s">
        <v>24</v>
      </c>
      <c r="H134" s="1">
        <v>1</v>
      </c>
      <c r="I134" s="1" t="s">
        <v>3168</v>
      </c>
      <c r="J134" s="1"/>
      <c r="K134" s="1">
        <v>3562790</v>
      </c>
      <c r="L134" s="1">
        <v>0</v>
      </c>
      <c r="M134" s="1">
        <v>0</v>
      </c>
      <c r="N134" s="1">
        <v>391906.9</v>
      </c>
      <c r="O134" s="1">
        <v>0</v>
      </c>
      <c r="P134" s="1">
        <v>0</v>
      </c>
      <c r="Q134" s="1">
        <v>0</v>
      </c>
      <c r="R134" s="1">
        <v>3954696.9</v>
      </c>
      <c r="S134" s="1">
        <v>724683.77477559005</v>
      </c>
      <c r="T134" s="1">
        <v>20.340344920008999</v>
      </c>
      <c r="U134" t="str">
        <f t="shared" si="2"/>
        <v>Week 4</v>
      </c>
    </row>
    <row r="135" spans="1:21" x14ac:dyDescent="0.25">
      <c r="A135" s="1">
        <v>134</v>
      </c>
      <c r="B135" s="1" t="s">
        <v>3169</v>
      </c>
      <c r="C135" s="2">
        <v>46136</v>
      </c>
      <c r="D135" s="1" t="s">
        <v>53</v>
      </c>
      <c r="E135" s="1" t="s">
        <v>54</v>
      </c>
      <c r="F135" s="1" t="s">
        <v>30</v>
      </c>
      <c r="G135" s="1" t="s">
        <v>24</v>
      </c>
      <c r="H135" s="1">
        <v>1</v>
      </c>
      <c r="I135" s="1" t="s">
        <v>2975</v>
      </c>
      <c r="J135" s="1"/>
      <c r="K135" s="1">
        <v>19899600</v>
      </c>
      <c r="L135" s="1">
        <v>0</v>
      </c>
      <c r="M135" s="1">
        <v>0</v>
      </c>
      <c r="N135" s="1">
        <v>2188956</v>
      </c>
      <c r="O135" s="1">
        <v>0</v>
      </c>
      <c r="P135" s="1">
        <v>0</v>
      </c>
      <c r="Q135" s="1">
        <v>0</v>
      </c>
      <c r="R135" s="1">
        <v>22088556</v>
      </c>
      <c r="S135" s="1">
        <v>-859390.99</v>
      </c>
      <c r="T135" s="1">
        <v>-4.3186344951656999</v>
      </c>
      <c r="U135" t="str">
        <f t="shared" si="2"/>
        <v>Week 4</v>
      </c>
    </row>
    <row r="136" spans="1:21" x14ac:dyDescent="0.25">
      <c r="A136" s="1">
        <v>135</v>
      </c>
      <c r="B136" s="1" t="s">
        <v>3170</v>
      </c>
      <c r="C136" s="2">
        <v>46136</v>
      </c>
      <c r="D136" s="1" t="s">
        <v>53</v>
      </c>
      <c r="E136" s="1" t="s">
        <v>54</v>
      </c>
      <c r="F136" s="1" t="s">
        <v>30</v>
      </c>
      <c r="G136" s="1" t="s">
        <v>24</v>
      </c>
      <c r="H136" s="1">
        <v>1</v>
      </c>
      <c r="I136" s="1" t="s">
        <v>3171</v>
      </c>
      <c r="J136" s="1"/>
      <c r="K136" s="1">
        <v>247303</v>
      </c>
      <c r="L136" s="1">
        <v>0</v>
      </c>
      <c r="M136" s="1">
        <v>0</v>
      </c>
      <c r="N136" s="1">
        <v>27203.33</v>
      </c>
      <c r="O136" s="1">
        <v>0</v>
      </c>
      <c r="P136" s="1">
        <v>0</v>
      </c>
      <c r="Q136" s="1">
        <v>0</v>
      </c>
      <c r="R136" s="1">
        <v>274506.33</v>
      </c>
      <c r="S136" s="1">
        <v>-213738</v>
      </c>
      <c r="T136" s="1">
        <v>-86.427580741034006</v>
      </c>
      <c r="U136" t="str">
        <f t="shared" si="2"/>
        <v>Week 4</v>
      </c>
    </row>
    <row r="137" spans="1:21" x14ac:dyDescent="0.25">
      <c r="A137" s="1">
        <v>136</v>
      </c>
      <c r="B137" s="1" t="s">
        <v>3172</v>
      </c>
      <c r="C137" s="2">
        <v>46136</v>
      </c>
      <c r="D137" s="1" t="s">
        <v>53</v>
      </c>
      <c r="E137" s="1" t="s">
        <v>192</v>
      </c>
      <c r="F137" s="1" t="s">
        <v>39</v>
      </c>
      <c r="G137" s="1" t="s">
        <v>24</v>
      </c>
      <c r="H137" s="1">
        <v>1</v>
      </c>
      <c r="I137" s="1" t="s">
        <v>3173</v>
      </c>
      <c r="J137" s="1" t="s">
        <v>56</v>
      </c>
      <c r="K137" s="1">
        <v>40201548.883000001</v>
      </c>
      <c r="L137" s="1">
        <v>0</v>
      </c>
      <c r="M137" s="1">
        <v>0</v>
      </c>
      <c r="N137" s="1">
        <v>4422170.3771299999</v>
      </c>
      <c r="O137" s="1">
        <v>0</v>
      </c>
      <c r="P137" s="1">
        <v>0</v>
      </c>
      <c r="Q137" s="1">
        <v>0</v>
      </c>
      <c r="R137" s="1">
        <v>44623719.260130003</v>
      </c>
      <c r="S137" s="1">
        <v>8398317.4030000009</v>
      </c>
      <c r="T137" s="1">
        <v>20.890531923139999</v>
      </c>
      <c r="U137" t="str">
        <f t="shared" si="2"/>
        <v>Week 4</v>
      </c>
    </row>
    <row r="138" spans="1:21" x14ac:dyDescent="0.25">
      <c r="A138" s="1">
        <v>137</v>
      </c>
      <c r="B138" s="1" t="s">
        <v>3174</v>
      </c>
      <c r="C138" s="2">
        <v>46136</v>
      </c>
      <c r="D138" s="1" t="s">
        <v>37</v>
      </c>
      <c r="E138" s="1" t="s">
        <v>38</v>
      </c>
      <c r="F138" s="1" t="s">
        <v>30</v>
      </c>
      <c r="G138" s="1" t="s">
        <v>24</v>
      </c>
      <c r="H138" s="1">
        <v>1</v>
      </c>
      <c r="I138" s="1" t="s">
        <v>3175</v>
      </c>
      <c r="J138" s="1"/>
      <c r="K138" s="1">
        <v>4207336.4400000004</v>
      </c>
      <c r="L138" s="1">
        <v>0</v>
      </c>
      <c r="M138" s="1">
        <v>0</v>
      </c>
      <c r="N138" s="1">
        <v>462807.00839999999</v>
      </c>
      <c r="O138" s="1">
        <v>0</v>
      </c>
      <c r="P138" s="1">
        <v>0</v>
      </c>
      <c r="Q138" s="1">
        <v>0</v>
      </c>
      <c r="R138" s="1">
        <v>4670143.4484000001</v>
      </c>
      <c r="S138" s="1">
        <v>1357336.44</v>
      </c>
      <c r="T138" s="1">
        <v>32.261181375835001</v>
      </c>
      <c r="U138" t="str">
        <f t="shared" si="2"/>
        <v>Week 4</v>
      </c>
    </row>
    <row r="139" spans="1:21" x14ac:dyDescent="0.25">
      <c r="A139" s="1">
        <v>138</v>
      </c>
      <c r="B139" s="1" t="s">
        <v>3176</v>
      </c>
      <c r="C139" s="2">
        <v>46136</v>
      </c>
      <c r="D139" s="1" t="s">
        <v>53</v>
      </c>
      <c r="E139" s="1" t="s">
        <v>54</v>
      </c>
      <c r="F139" s="1" t="s">
        <v>260</v>
      </c>
      <c r="G139" s="1" t="s">
        <v>24</v>
      </c>
      <c r="H139" s="1">
        <v>1</v>
      </c>
      <c r="I139" s="1" t="s">
        <v>2752</v>
      </c>
      <c r="J139" s="1"/>
      <c r="K139" s="1">
        <v>19245295</v>
      </c>
      <c r="L139" s="1">
        <v>0</v>
      </c>
      <c r="M139" s="1">
        <v>0</v>
      </c>
      <c r="N139" s="1">
        <v>2116982.4500000002</v>
      </c>
      <c r="O139" s="1">
        <v>0</v>
      </c>
      <c r="P139" s="1">
        <v>0</v>
      </c>
      <c r="Q139" s="1">
        <v>0</v>
      </c>
      <c r="R139" s="1">
        <v>21362277.449999999</v>
      </c>
      <c r="S139" s="1">
        <v>8294292.3700000001</v>
      </c>
      <c r="T139" s="1">
        <v>43.097766856782002</v>
      </c>
      <c r="U139" t="str">
        <f t="shared" si="2"/>
        <v>Week 4</v>
      </c>
    </row>
    <row r="140" spans="1:21" x14ac:dyDescent="0.25">
      <c r="A140" s="1">
        <v>139</v>
      </c>
      <c r="B140" s="1" t="s">
        <v>3177</v>
      </c>
      <c r="C140" s="2">
        <v>46136</v>
      </c>
      <c r="D140" s="1" t="s">
        <v>21</v>
      </c>
      <c r="E140" s="1" t="s">
        <v>22</v>
      </c>
      <c r="F140" s="1" t="s">
        <v>30</v>
      </c>
      <c r="G140" s="1" t="s">
        <v>24</v>
      </c>
      <c r="H140" s="1">
        <v>1</v>
      </c>
      <c r="I140" s="1" t="s">
        <v>3178</v>
      </c>
      <c r="J140" s="1" t="s">
        <v>26</v>
      </c>
      <c r="K140" s="1">
        <v>9081250</v>
      </c>
      <c r="L140" s="1">
        <v>0</v>
      </c>
      <c r="M140" s="1">
        <v>0</v>
      </c>
      <c r="N140" s="1">
        <v>998937.5</v>
      </c>
      <c r="O140" s="1">
        <v>0</v>
      </c>
      <c r="P140" s="1">
        <v>0</v>
      </c>
      <c r="Q140" s="1">
        <v>0</v>
      </c>
      <c r="R140" s="1">
        <v>10080187.5</v>
      </c>
      <c r="S140" s="1">
        <v>5463907.6576576997</v>
      </c>
      <c r="T140" s="1">
        <v>60.166911577786003</v>
      </c>
      <c r="U140" t="str">
        <f t="shared" si="2"/>
        <v>Week 4</v>
      </c>
    </row>
    <row r="141" spans="1:21" x14ac:dyDescent="0.25">
      <c r="A141" s="1">
        <v>140</v>
      </c>
      <c r="B141" s="1" t="s">
        <v>3179</v>
      </c>
      <c r="C141" s="2">
        <v>46136</v>
      </c>
      <c r="D141" s="1" t="s">
        <v>53</v>
      </c>
      <c r="E141" s="1" t="s">
        <v>2414</v>
      </c>
      <c r="F141" s="1" t="s">
        <v>30</v>
      </c>
      <c r="G141" s="1" t="s">
        <v>24</v>
      </c>
      <c r="H141" s="1">
        <v>1</v>
      </c>
      <c r="I141" s="1" t="s">
        <v>3180</v>
      </c>
      <c r="J141" s="1"/>
      <c r="K141" s="1">
        <v>12549440</v>
      </c>
      <c r="L141" s="1">
        <v>0</v>
      </c>
      <c r="M141" s="1">
        <v>0</v>
      </c>
      <c r="N141" s="1">
        <v>1380438.4</v>
      </c>
      <c r="O141" s="1">
        <v>0</v>
      </c>
      <c r="P141" s="1">
        <v>0</v>
      </c>
      <c r="Q141" s="1">
        <v>0</v>
      </c>
      <c r="R141" s="1">
        <v>13929878.4</v>
      </c>
      <c r="S141" s="1">
        <v>3527079.5135134999</v>
      </c>
      <c r="T141" s="1">
        <v>28.105473339953999</v>
      </c>
      <c r="U141" t="str">
        <f t="shared" si="2"/>
        <v>Week 4</v>
      </c>
    </row>
    <row r="142" spans="1:21" x14ac:dyDescent="0.25">
      <c r="A142" s="1">
        <v>141</v>
      </c>
      <c r="B142" s="1" t="s">
        <v>3181</v>
      </c>
      <c r="C142" s="2">
        <v>46136</v>
      </c>
      <c r="D142" s="1" t="s">
        <v>53</v>
      </c>
      <c r="E142" s="1" t="s">
        <v>54</v>
      </c>
      <c r="F142" s="1" t="s">
        <v>30</v>
      </c>
      <c r="G142" s="1" t="s">
        <v>24</v>
      </c>
      <c r="H142" s="1">
        <v>1</v>
      </c>
      <c r="I142" s="1" t="s">
        <v>3182</v>
      </c>
      <c r="J142" s="1"/>
      <c r="K142" s="1">
        <v>13158496</v>
      </c>
      <c r="L142" s="1">
        <v>0</v>
      </c>
      <c r="M142" s="1">
        <v>0</v>
      </c>
      <c r="N142" s="1">
        <v>1447434.56</v>
      </c>
      <c r="O142" s="1">
        <v>0</v>
      </c>
      <c r="P142" s="1">
        <v>0</v>
      </c>
      <c r="Q142" s="1">
        <v>0</v>
      </c>
      <c r="R142" s="1">
        <v>14605930.560000001</v>
      </c>
      <c r="S142" s="1">
        <v>4972757.2532431995</v>
      </c>
      <c r="T142" s="1">
        <v>37.791228216683997</v>
      </c>
      <c r="U142" t="str">
        <f t="shared" si="2"/>
        <v>Week 4</v>
      </c>
    </row>
    <row r="143" spans="1:21" x14ac:dyDescent="0.25">
      <c r="A143" s="1">
        <v>142</v>
      </c>
      <c r="B143" s="1" t="s">
        <v>3183</v>
      </c>
      <c r="C143" s="2">
        <v>46136</v>
      </c>
      <c r="D143" s="1" t="s">
        <v>33</v>
      </c>
      <c r="E143" s="1" t="s">
        <v>34</v>
      </c>
      <c r="F143" s="1" t="s">
        <v>30</v>
      </c>
      <c r="G143" s="1" t="s">
        <v>24</v>
      </c>
      <c r="H143" s="1">
        <v>1</v>
      </c>
      <c r="I143" s="1" t="s">
        <v>3184</v>
      </c>
      <c r="J143" s="1"/>
      <c r="K143" s="1">
        <v>1205400</v>
      </c>
      <c r="L143" s="1">
        <v>0</v>
      </c>
      <c r="M143" s="1">
        <v>0</v>
      </c>
      <c r="N143" s="1">
        <v>132594</v>
      </c>
      <c r="O143" s="1">
        <v>0</v>
      </c>
      <c r="P143" s="1">
        <v>0</v>
      </c>
      <c r="Q143" s="1">
        <v>0</v>
      </c>
      <c r="R143" s="1">
        <v>1337994</v>
      </c>
      <c r="S143" s="1">
        <v>665400</v>
      </c>
      <c r="T143" s="1">
        <v>55.201592832255002</v>
      </c>
      <c r="U143" t="str">
        <f t="shared" si="2"/>
        <v>Week 4</v>
      </c>
    </row>
    <row r="144" spans="1:21" x14ac:dyDescent="0.25">
      <c r="A144" s="1">
        <v>143</v>
      </c>
      <c r="B144" s="1" t="s">
        <v>3185</v>
      </c>
      <c r="C144" s="2">
        <v>46136</v>
      </c>
      <c r="D144" s="1" t="s">
        <v>33</v>
      </c>
      <c r="E144" s="1" t="s">
        <v>34</v>
      </c>
      <c r="F144" s="1" t="s">
        <v>30</v>
      </c>
      <c r="G144" s="1" t="s">
        <v>24</v>
      </c>
      <c r="H144" s="1">
        <v>1</v>
      </c>
      <c r="I144" s="1" t="s">
        <v>3186</v>
      </c>
      <c r="J144" s="1"/>
      <c r="K144" s="1">
        <v>1837500</v>
      </c>
      <c r="L144" s="1">
        <v>0</v>
      </c>
      <c r="M144" s="1">
        <v>0</v>
      </c>
      <c r="N144" s="1">
        <v>202125</v>
      </c>
      <c r="O144" s="1">
        <v>0</v>
      </c>
      <c r="P144" s="1">
        <v>0</v>
      </c>
      <c r="Q144" s="1">
        <v>0</v>
      </c>
      <c r="R144" s="1">
        <v>2039625</v>
      </c>
      <c r="S144" s="1">
        <v>-412500</v>
      </c>
      <c r="T144" s="1">
        <v>-22.448979591836999</v>
      </c>
      <c r="U144" t="str">
        <f t="shared" si="2"/>
        <v>Week 4</v>
      </c>
    </row>
    <row r="145" spans="1:21" x14ac:dyDescent="0.25">
      <c r="A145" s="1">
        <v>144</v>
      </c>
      <c r="B145" s="1" t="s">
        <v>3187</v>
      </c>
      <c r="C145" s="2">
        <v>46136</v>
      </c>
      <c r="D145" s="1" t="s">
        <v>53</v>
      </c>
      <c r="E145" s="1" t="s">
        <v>54</v>
      </c>
      <c r="F145" s="1" t="s">
        <v>30</v>
      </c>
      <c r="G145" s="1" t="s">
        <v>24</v>
      </c>
      <c r="H145" s="1">
        <v>1</v>
      </c>
      <c r="I145" s="1" t="s">
        <v>3182</v>
      </c>
      <c r="J145" s="1"/>
      <c r="K145" s="1">
        <v>62881661</v>
      </c>
      <c r="L145" s="1">
        <v>0</v>
      </c>
      <c r="M145" s="1">
        <v>0</v>
      </c>
      <c r="N145" s="1">
        <v>6916982.71</v>
      </c>
      <c r="O145" s="1">
        <v>0</v>
      </c>
      <c r="P145" s="1">
        <v>0</v>
      </c>
      <c r="Q145" s="1">
        <v>0</v>
      </c>
      <c r="R145" s="1">
        <v>69798643.709999993</v>
      </c>
      <c r="S145" s="1">
        <v>15715876.800000001</v>
      </c>
      <c r="T145" s="1">
        <v>24.992782553883</v>
      </c>
      <c r="U145" t="str">
        <f t="shared" si="2"/>
        <v>Week 4</v>
      </c>
    </row>
    <row r="146" spans="1:21" x14ac:dyDescent="0.25">
      <c r="A146" s="1">
        <v>145</v>
      </c>
      <c r="B146" s="1" t="s">
        <v>3188</v>
      </c>
      <c r="C146" s="2">
        <v>46136</v>
      </c>
      <c r="D146" s="1" t="s">
        <v>33</v>
      </c>
      <c r="E146" s="1" t="s">
        <v>34</v>
      </c>
      <c r="F146" s="1" t="s">
        <v>30</v>
      </c>
      <c r="G146" s="1" t="s">
        <v>24</v>
      </c>
      <c r="H146" s="1">
        <v>1</v>
      </c>
      <c r="I146" s="1" t="s">
        <v>3189</v>
      </c>
      <c r="J146" s="1"/>
      <c r="K146" s="1">
        <v>16995000</v>
      </c>
      <c r="L146" s="1">
        <v>0</v>
      </c>
      <c r="M146" s="1">
        <v>0</v>
      </c>
      <c r="N146" s="1">
        <v>1869450</v>
      </c>
      <c r="O146" s="1">
        <v>0</v>
      </c>
      <c r="P146" s="1">
        <v>0</v>
      </c>
      <c r="Q146" s="1">
        <v>0</v>
      </c>
      <c r="R146" s="1">
        <v>18864450</v>
      </c>
      <c r="S146" s="1">
        <v>1595000</v>
      </c>
      <c r="T146" s="1">
        <v>9.3851132686084</v>
      </c>
      <c r="U146" t="str">
        <f t="shared" si="2"/>
        <v>Week 4</v>
      </c>
    </row>
    <row r="147" spans="1:21" x14ac:dyDescent="0.25">
      <c r="A147" s="1">
        <v>146</v>
      </c>
      <c r="B147" s="1" t="s">
        <v>3190</v>
      </c>
      <c r="C147" s="2">
        <v>46136</v>
      </c>
      <c r="D147" s="1" t="s">
        <v>33</v>
      </c>
      <c r="E147" s="1" t="s">
        <v>34</v>
      </c>
      <c r="F147" s="1" t="s">
        <v>30</v>
      </c>
      <c r="G147" s="1" t="s">
        <v>24</v>
      </c>
      <c r="H147" s="1">
        <v>1</v>
      </c>
      <c r="I147" s="1" t="s">
        <v>3191</v>
      </c>
      <c r="J147" s="1"/>
      <c r="K147" s="1">
        <v>2722440</v>
      </c>
      <c r="L147" s="1">
        <v>0</v>
      </c>
      <c r="M147" s="1">
        <v>0</v>
      </c>
      <c r="N147" s="1">
        <v>299468.40000000002</v>
      </c>
      <c r="O147" s="1">
        <v>0</v>
      </c>
      <c r="P147" s="1">
        <v>0</v>
      </c>
      <c r="Q147" s="1">
        <v>0</v>
      </c>
      <c r="R147" s="1">
        <v>3021908.4</v>
      </c>
      <c r="S147" s="1">
        <v>363999.17549549998</v>
      </c>
      <c r="T147" s="1">
        <v>13.370328657216</v>
      </c>
      <c r="U147" t="str">
        <f t="shared" si="2"/>
        <v>Week 4</v>
      </c>
    </row>
    <row r="148" spans="1:21" x14ac:dyDescent="0.25">
      <c r="A148" s="1">
        <v>147</v>
      </c>
      <c r="B148" s="1" t="s">
        <v>3192</v>
      </c>
      <c r="C148" s="2">
        <v>46136</v>
      </c>
      <c r="D148" s="1" t="s">
        <v>33</v>
      </c>
      <c r="E148" s="1" t="s">
        <v>34</v>
      </c>
      <c r="F148" s="1" t="s">
        <v>39</v>
      </c>
      <c r="G148" s="1" t="s">
        <v>24</v>
      </c>
      <c r="H148" s="1">
        <v>1</v>
      </c>
      <c r="I148" s="1" t="s">
        <v>3193</v>
      </c>
      <c r="J148" s="1"/>
      <c r="K148" s="1">
        <v>352800</v>
      </c>
      <c r="L148" s="1">
        <v>0</v>
      </c>
      <c r="M148" s="1">
        <v>0</v>
      </c>
      <c r="N148" s="1">
        <v>38808</v>
      </c>
      <c r="O148" s="1">
        <v>0</v>
      </c>
      <c r="P148" s="1">
        <v>0</v>
      </c>
      <c r="Q148" s="1">
        <v>0</v>
      </c>
      <c r="R148" s="1">
        <v>391608</v>
      </c>
      <c r="S148" s="1">
        <v>179827.04</v>
      </c>
      <c r="T148" s="1">
        <v>50.971383219955001</v>
      </c>
      <c r="U148" t="str">
        <f t="shared" si="2"/>
        <v>Week 4</v>
      </c>
    </row>
    <row r="149" spans="1:21" x14ac:dyDescent="0.25">
      <c r="A149" s="1">
        <v>148</v>
      </c>
      <c r="B149" s="1" t="s">
        <v>3194</v>
      </c>
      <c r="C149" s="2">
        <v>46136</v>
      </c>
      <c r="D149" s="1" t="s">
        <v>21</v>
      </c>
      <c r="E149" s="1" t="s">
        <v>22</v>
      </c>
      <c r="F149" s="1" t="s">
        <v>30</v>
      </c>
      <c r="G149" s="1" t="s">
        <v>24</v>
      </c>
      <c r="H149" s="1">
        <v>1</v>
      </c>
      <c r="I149" s="1" t="s">
        <v>3195</v>
      </c>
      <c r="J149" s="1" t="s">
        <v>26</v>
      </c>
      <c r="K149" s="1">
        <v>1276450</v>
      </c>
      <c r="L149" s="1">
        <v>0</v>
      </c>
      <c r="M149" s="1">
        <v>0</v>
      </c>
      <c r="N149" s="1">
        <v>140409.5</v>
      </c>
      <c r="O149" s="1">
        <v>0</v>
      </c>
      <c r="P149" s="1">
        <v>0</v>
      </c>
      <c r="Q149" s="1">
        <v>0</v>
      </c>
      <c r="R149" s="1">
        <v>1416859.5</v>
      </c>
      <c r="S149" s="1">
        <v>96450</v>
      </c>
      <c r="T149" s="1">
        <v>7.5561126561948999</v>
      </c>
      <c r="U149" t="str">
        <f t="shared" si="2"/>
        <v>Week 4</v>
      </c>
    </row>
    <row r="150" spans="1:21" x14ac:dyDescent="0.25">
      <c r="A150" s="1">
        <v>149</v>
      </c>
      <c r="B150" s="1" t="s">
        <v>3196</v>
      </c>
      <c r="C150" s="2">
        <v>46136</v>
      </c>
      <c r="D150" s="1" t="s">
        <v>33</v>
      </c>
      <c r="E150" s="1" t="s">
        <v>34</v>
      </c>
      <c r="F150" s="1" t="s">
        <v>30</v>
      </c>
      <c r="G150" s="1" t="s">
        <v>24</v>
      </c>
      <c r="H150" s="1">
        <v>1</v>
      </c>
      <c r="I150" s="1" t="s">
        <v>3197</v>
      </c>
      <c r="J150" s="1"/>
      <c r="K150" s="1">
        <v>15680000</v>
      </c>
      <c r="L150" s="1">
        <v>0</v>
      </c>
      <c r="M150" s="1">
        <v>0</v>
      </c>
      <c r="N150" s="1">
        <v>1724800</v>
      </c>
      <c r="O150" s="1">
        <v>0</v>
      </c>
      <c r="P150" s="1">
        <v>0</v>
      </c>
      <c r="Q150" s="1">
        <v>0</v>
      </c>
      <c r="R150" s="1">
        <v>17404800</v>
      </c>
      <c r="S150" s="1">
        <v>2167387.39</v>
      </c>
      <c r="T150" s="1">
        <v>13.822623660713999</v>
      </c>
      <c r="U150" t="str">
        <f t="shared" si="2"/>
        <v>Week 4</v>
      </c>
    </row>
    <row r="151" spans="1:21" x14ac:dyDescent="0.25">
      <c r="A151" s="1">
        <v>150</v>
      </c>
      <c r="B151" s="1" t="s">
        <v>3198</v>
      </c>
      <c r="C151" s="2">
        <v>46136</v>
      </c>
      <c r="D151" s="1" t="s">
        <v>53</v>
      </c>
      <c r="E151" s="1" t="s">
        <v>54</v>
      </c>
      <c r="F151" s="1" t="s">
        <v>30</v>
      </c>
      <c r="G151" s="1" t="s">
        <v>24</v>
      </c>
      <c r="H151" s="1">
        <v>1</v>
      </c>
      <c r="I151" s="1" t="s">
        <v>3199</v>
      </c>
      <c r="J151" s="1"/>
      <c r="K151" s="1">
        <v>3077200</v>
      </c>
      <c r="L151" s="1">
        <v>0</v>
      </c>
      <c r="M151" s="1">
        <v>0</v>
      </c>
      <c r="N151" s="1">
        <v>338492</v>
      </c>
      <c r="O151" s="1">
        <v>0</v>
      </c>
      <c r="P151" s="1">
        <v>0</v>
      </c>
      <c r="Q151" s="1">
        <v>0</v>
      </c>
      <c r="R151" s="1">
        <v>3415692</v>
      </c>
      <c r="S151" s="1">
        <v>1763145.95</v>
      </c>
      <c r="T151" s="1">
        <v>57.297086637203002</v>
      </c>
      <c r="U151" t="str">
        <f t="shared" si="2"/>
        <v>Week 4</v>
      </c>
    </row>
    <row r="152" spans="1:21" x14ac:dyDescent="0.25">
      <c r="A152" s="1">
        <v>151</v>
      </c>
      <c r="B152" s="1" t="s">
        <v>1146</v>
      </c>
      <c r="C152" s="2">
        <v>46135</v>
      </c>
      <c r="D152" s="1" t="s">
        <v>306</v>
      </c>
      <c r="E152" s="1" t="s">
        <v>99</v>
      </c>
      <c r="F152" s="1" t="s">
        <v>23</v>
      </c>
      <c r="G152" s="1" t="s">
        <v>24</v>
      </c>
      <c r="H152" s="1">
        <v>1</v>
      </c>
      <c r="I152" s="1" t="s">
        <v>3200</v>
      </c>
      <c r="J152" s="1"/>
      <c r="K152" s="1">
        <v>3381000</v>
      </c>
      <c r="L152" s="1">
        <v>0</v>
      </c>
      <c r="M152" s="1">
        <v>0</v>
      </c>
      <c r="N152" s="1">
        <v>371910</v>
      </c>
      <c r="O152" s="1">
        <v>0</v>
      </c>
      <c r="P152" s="1">
        <v>0</v>
      </c>
      <c r="Q152" s="1">
        <v>0</v>
      </c>
      <c r="R152" s="1">
        <v>3752910</v>
      </c>
      <c r="S152" s="1">
        <v>2096675.67</v>
      </c>
      <c r="T152" s="1">
        <v>62.013477373557997</v>
      </c>
      <c r="U152" t="str">
        <f t="shared" si="2"/>
        <v>Week 4</v>
      </c>
    </row>
    <row r="153" spans="1:21" x14ac:dyDescent="0.25">
      <c r="A153" s="1">
        <v>152</v>
      </c>
      <c r="B153" s="1" t="s">
        <v>1163</v>
      </c>
      <c r="C153" s="2">
        <v>46135</v>
      </c>
      <c r="D153" s="1" t="s">
        <v>98</v>
      </c>
      <c r="E153" s="1" t="s">
        <v>99</v>
      </c>
      <c r="F153" s="1" t="s">
        <v>23</v>
      </c>
      <c r="G153" s="1" t="s">
        <v>24</v>
      </c>
      <c r="H153" s="1">
        <v>1</v>
      </c>
      <c r="I153" s="1" t="s">
        <v>2602</v>
      </c>
      <c r="J153" s="1"/>
      <c r="K153" s="1">
        <v>9809800</v>
      </c>
      <c r="L153" s="1">
        <v>0</v>
      </c>
      <c r="M153" s="1">
        <v>0</v>
      </c>
      <c r="N153" s="1">
        <v>1079078</v>
      </c>
      <c r="O153" s="1">
        <v>0</v>
      </c>
      <c r="P153" s="1">
        <v>0</v>
      </c>
      <c r="Q153" s="1">
        <v>0</v>
      </c>
      <c r="R153" s="1">
        <v>10888878</v>
      </c>
      <c r="S153" s="1">
        <v>2045900</v>
      </c>
      <c r="T153" s="1">
        <v>20.855674937307999</v>
      </c>
      <c r="U153" t="str">
        <f t="shared" si="2"/>
        <v>Week 4</v>
      </c>
    </row>
    <row r="154" spans="1:21" x14ac:dyDescent="0.25">
      <c r="A154" s="1">
        <v>153</v>
      </c>
      <c r="B154" s="1" t="s">
        <v>1316</v>
      </c>
      <c r="C154" s="2">
        <v>46135</v>
      </c>
      <c r="D154" s="1" t="s">
        <v>98</v>
      </c>
      <c r="E154" s="1" t="s">
        <v>99</v>
      </c>
      <c r="F154" s="1" t="s">
        <v>23</v>
      </c>
      <c r="G154" s="1" t="s">
        <v>24</v>
      </c>
      <c r="H154" s="1">
        <v>1</v>
      </c>
      <c r="I154" s="1" t="s">
        <v>3201</v>
      </c>
      <c r="J154" s="1" t="s">
        <v>26</v>
      </c>
      <c r="K154" s="1">
        <v>13000625</v>
      </c>
      <c r="L154" s="1">
        <v>0</v>
      </c>
      <c r="M154" s="1">
        <v>0</v>
      </c>
      <c r="N154" s="1">
        <v>1430068.75</v>
      </c>
      <c r="O154" s="1">
        <v>0</v>
      </c>
      <c r="P154" s="1">
        <v>0</v>
      </c>
      <c r="Q154" s="1">
        <v>0</v>
      </c>
      <c r="R154" s="1">
        <v>14430693.75</v>
      </c>
      <c r="S154" s="1">
        <v>4020625</v>
      </c>
      <c r="T154" s="1">
        <v>30.926397769337999</v>
      </c>
      <c r="U154" t="str">
        <f t="shared" si="2"/>
        <v>Week 4</v>
      </c>
    </row>
    <row r="155" spans="1:21" x14ac:dyDescent="0.25">
      <c r="A155" s="1">
        <v>154</v>
      </c>
      <c r="B155" s="1" t="s">
        <v>3202</v>
      </c>
      <c r="C155" s="2">
        <v>46135</v>
      </c>
      <c r="D155" s="1" t="s">
        <v>2319</v>
      </c>
      <c r="E155" s="1" t="s">
        <v>192</v>
      </c>
      <c r="F155" s="1" t="s">
        <v>23</v>
      </c>
      <c r="G155" s="1" t="s">
        <v>24</v>
      </c>
      <c r="H155" s="1">
        <v>1</v>
      </c>
      <c r="I155" s="1" t="s">
        <v>3203</v>
      </c>
      <c r="J155" s="1" t="s">
        <v>56</v>
      </c>
      <c r="K155" s="1">
        <v>381423.68421053002</v>
      </c>
      <c r="L155" s="1">
        <v>0</v>
      </c>
      <c r="M155" s="1">
        <v>0</v>
      </c>
      <c r="N155" s="1">
        <v>41956.605263158002</v>
      </c>
      <c r="O155" s="1">
        <v>0</v>
      </c>
      <c r="P155" s="1">
        <v>0</v>
      </c>
      <c r="Q155" s="1">
        <v>0</v>
      </c>
      <c r="R155" s="1">
        <v>423380.28947368002</v>
      </c>
      <c r="S155" s="1">
        <v>-731.73921289741997</v>
      </c>
      <c r="T155" s="1">
        <v>-0.19184419929558999</v>
      </c>
      <c r="U155" t="str">
        <f t="shared" si="2"/>
        <v>Week 4</v>
      </c>
    </row>
    <row r="156" spans="1:21" x14ac:dyDescent="0.25">
      <c r="A156" s="1">
        <v>155</v>
      </c>
      <c r="B156" s="1" t="s">
        <v>3204</v>
      </c>
      <c r="C156" s="2">
        <v>46135</v>
      </c>
      <c r="D156" s="1" t="s">
        <v>53</v>
      </c>
      <c r="E156" s="1" t="s">
        <v>54</v>
      </c>
      <c r="F156" s="1" t="s">
        <v>30</v>
      </c>
      <c r="G156" s="1" t="s">
        <v>24</v>
      </c>
      <c r="H156" s="1">
        <v>1</v>
      </c>
      <c r="I156" s="1" t="s">
        <v>3205</v>
      </c>
      <c r="J156" s="1"/>
      <c r="K156" s="1">
        <v>23061654</v>
      </c>
      <c r="L156" s="1">
        <v>0</v>
      </c>
      <c r="M156" s="1">
        <v>0</v>
      </c>
      <c r="N156" s="1">
        <v>2536781.94</v>
      </c>
      <c r="O156" s="1">
        <v>0</v>
      </c>
      <c r="P156" s="1">
        <v>0</v>
      </c>
      <c r="Q156" s="1">
        <v>0</v>
      </c>
      <c r="R156" s="1">
        <v>25598435.940000001</v>
      </c>
      <c r="S156" s="1">
        <v>10941654</v>
      </c>
      <c r="T156" s="1">
        <v>47.445226608638002</v>
      </c>
      <c r="U156" t="str">
        <f t="shared" si="2"/>
        <v>Week 4</v>
      </c>
    </row>
    <row r="157" spans="1:21" x14ac:dyDescent="0.25">
      <c r="A157" s="1">
        <v>156</v>
      </c>
      <c r="B157" s="1" t="s">
        <v>3206</v>
      </c>
      <c r="C157" s="2">
        <v>46135</v>
      </c>
      <c r="D157" s="1" t="s">
        <v>53</v>
      </c>
      <c r="E157" s="1" t="s">
        <v>54</v>
      </c>
      <c r="F157" s="1" t="s">
        <v>30</v>
      </c>
      <c r="G157" s="1" t="s">
        <v>24</v>
      </c>
      <c r="H157" s="1">
        <v>1</v>
      </c>
      <c r="I157" s="1" t="s">
        <v>2752</v>
      </c>
      <c r="J157" s="1"/>
      <c r="K157" s="1">
        <v>594825</v>
      </c>
      <c r="L157" s="1">
        <v>0</v>
      </c>
      <c r="M157" s="1">
        <v>0</v>
      </c>
      <c r="N157" s="1">
        <v>65430.75</v>
      </c>
      <c r="O157" s="1">
        <v>0</v>
      </c>
      <c r="P157" s="1">
        <v>0</v>
      </c>
      <c r="Q157" s="1">
        <v>0</v>
      </c>
      <c r="R157" s="1">
        <v>660255.75</v>
      </c>
      <c r="S157" s="1">
        <v>-55175</v>
      </c>
      <c r="T157" s="1">
        <v>-9.2758374311771998</v>
      </c>
      <c r="U157" t="str">
        <f t="shared" si="2"/>
        <v>Week 4</v>
      </c>
    </row>
    <row r="158" spans="1:21" x14ac:dyDescent="0.25">
      <c r="A158" s="1">
        <v>157</v>
      </c>
      <c r="B158" s="1" t="s">
        <v>3207</v>
      </c>
      <c r="C158" s="2">
        <v>46135</v>
      </c>
      <c r="D158" s="1" t="s">
        <v>202</v>
      </c>
      <c r="E158" s="1" t="s">
        <v>203</v>
      </c>
      <c r="F158" s="1" t="s">
        <v>23</v>
      </c>
      <c r="G158" s="1" t="s">
        <v>24</v>
      </c>
      <c r="H158" s="1">
        <v>1</v>
      </c>
      <c r="I158" s="1" t="s">
        <v>3208</v>
      </c>
      <c r="J158" s="1" t="s">
        <v>26</v>
      </c>
      <c r="K158" s="1">
        <v>540000</v>
      </c>
      <c r="L158" s="1">
        <v>0</v>
      </c>
      <c r="M158" s="1">
        <v>0</v>
      </c>
      <c r="N158" s="1">
        <v>59400</v>
      </c>
      <c r="O158" s="1">
        <v>0</v>
      </c>
      <c r="P158" s="1">
        <v>0</v>
      </c>
      <c r="Q158" s="1">
        <v>0</v>
      </c>
      <c r="R158" s="1">
        <v>599400</v>
      </c>
      <c r="S158" s="1">
        <v>174234.23423423001</v>
      </c>
      <c r="T158" s="1">
        <v>32.265598932266002</v>
      </c>
      <c r="U158" t="str">
        <f t="shared" si="2"/>
        <v>Week 4</v>
      </c>
    </row>
    <row r="159" spans="1:21" x14ac:dyDescent="0.25">
      <c r="A159" s="1">
        <v>158</v>
      </c>
      <c r="B159" s="1" t="s">
        <v>3209</v>
      </c>
      <c r="C159" s="2">
        <v>46135</v>
      </c>
      <c r="D159" s="1" t="s">
        <v>184</v>
      </c>
      <c r="E159" s="1" t="s">
        <v>116</v>
      </c>
      <c r="F159" s="1" t="s">
        <v>30</v>
      </c>
      <c r="G159" s="1" t="s">
        <v>24</v>
      </c>
      <c r="H159" s="1">
        <v>1</v>
      </c>
      <c r="I159" s="1" t="s">
        <v>3210</v>
      </c>
      <c r="J159" s="1" t="s">
        <v>26</v>
      </c>
      <c r="K159" s="1">
        <v>50529225</v>
      </c>
      <c r="L159" s="1">
        <v>0</v>
      </c>
      <c r="M159" s="1">
        <v>0</v>
      </c>
      <c r="N159" s="1">
        <v>5558214.75</v>
      </c>
      <c r="O159" s="1">
        <v>0</v>
      </c>
      <c r="P159" s="1">
        <v>0</v>
      </c>
      <c r="Q159" s="1">
        <v>0</v>
      </c>
      <c r="R159" s="1">
        <v>56087439.75</v>
      </c>
      <c r="S159" s="1">
        <v>-3335775</v>
      </c>
      <c r="T159" s="1">
        <v>-6.6016745754560997</v>
      </c>
      <c r="U159" t="str">
        <f t="shared" si="2"/>
        <v>Week 4</v>
      </c>
    </row>
    <row r="160" spans="1:21" x14ac:dyDescent="0.25">
      <c r="A160" s="1">
        <v>159</v>
      </c>
      <c r="B160" s="1" t="s">
        <v>3211</v>
      </c>
      <c r="C160" s="2">
        <v>46135</v>
      </c>
      <c r="D160" s="1" t="s">
        <v>184</v>
      </c>
      <c r="E160" s="1" t="s">
        <v>116</v>
      </c>
      <c r="F160" s="1" t="s">
        <v>23</v>
      </c>
      <c r="G160" s="1" t="s">
        <v>24</v>
      </c>
      <c r="H160" s="1">
        <v>1</v>
      </c>
      <c r="I160" s="1" t="s">
        <v>3212</v>
      </c>
      <c r="J160" s="1" t="s">
        <v>26</v>
      </c>
      <c r="K160" s="1">
        <v>13466475</v>
      </c>
      <c r="L160" s="1">
        <v>0</v>
      </c>
      <c r="M160" s="1">
        <v>0</v>
      </c>
      <c r="N160" s="1">
        <v>1481312.25</v>
      </c>
      <c r="O160" s="1">
        <v>0</v>
      </c>
      <c r="P160" s="1">
        <v>0</v>
      </c>
      <c r="Q160" s="1">
        <v>0</v>
      </c>
      <c r="R160" s="1">
        <v>14947787.25</v>
      </c>
      <c r="S160" s="1">
        <v>1496475</v>
      </c>
      <c r="T160" s="1">
        <v>11.112596280764</v>
      </c>
      <c r="U160" t="str">
        <f t="shared" si="2"/>
        <v>Week 4</v>
      </c>
    </row>
    <row r="161" spans="1:21" x14ac:dyDescent="0.25">
      <c r="A161" s="1">
        <v>160</v>
      </c>
      <c r="B161" s="1" t="s">
        <v>3213</v>
      </c>
      <c r="C161" s="2">
        <v>46135</v>
      </c>
      <c r="D161" s="1" t="s">
        <v>248</v>
      </c>
      <c r="E161" s="1" t="s">
        <v>3119</v>
      </c>
      <c r="F161" s="1" t="s">
        <v>30</v>
      </c>
      <c r="G161" s="1" t="s">
        <v>24</v>
      </c>
      <c r="H161" s="1">
        <v>1</v>
      </c>
      <c r="I161" s="1" t="s">
        <v>3214</v>
      </c>
      <c r="J161" s="1"/>
      <c r="K161" s="1">
        <v>14115000</v>
      </c>
      <c r="L161" s="1">
        <v>0</v>
      </c>
      <c r="M161" s="1">
        <v>0</v>
      </c>
      <c r="N161" s="1">
        <v>1552650</v>
      </c>
      <c r="O161" s="1">
        <v>0</v>
      </c>
      <c r="P161" s="1">
        <v>0</v>
      </c>
      <c r="Q161" s="1">
        <v>0</v>
      </c>
      <c r="R161" s="1">
        <v>15667650</v>
      </c>
      <c r="S161" s="1">
        <v>4205091</v>
      </c>
      <c r="T161" s="1">
        <v>29.791647183847001</v>
      </c>
      <c r="U161" t="str">
        <f t="shared" si="2"/>
        <v>Week 4</v>
      </c>
    </row>
    <row r="162" spans="1:21" x14ac:dyDescent="0.25">
      <c r="A162" s="1">
        <v>161</v>
      </c>
      <c r="B162" s="1" t="s">
        <v>3215</v>
      </c>
      <c r="C162" s="2">
        <v>46135</v>
      </c>
      <c r="D162" s="1" t="s">
        <v>33</v>
      </c>
      <c r="E162" s="1" t="s">
        <v>34</v>
      </c>
      <c r="F162" s="1" t="s">
        <v>23</v>
      </c>
      <c r="G162" s="1" t="s">
        <v>24</v>
      </c>
      <c r="H162" s="1">
        <v>1</v>
      </c>
      <c r="I162" s="1" t="s">
        <v>145</v>
      </c>
      <c r="J162" s="1"/>
      <c r="K162" s="1">
        <v>232444506.38514</v>
      </c>
      <c r="L162" s="1">
        <v>0</v>
      </c>
      <c r="M162" s="1">
        <v>0</v>
      </c>
      <c r="N162" s="1">
        <v>25568895.702365</v>
      </c>
      <c r="O162" s="1">
        <v>0</v>
      </c>
      <c r="P162" s="1">
        <v>0</v>
      </c>
      <c r="Q162" s="1">
        <v>0</v>
      </c>
      <c r="R162" s="1">
        <v>258013402.08750001</v>
      </c>
      <c r="S162" s="1">
        <v>43091542.277028002</v>
      </c>
      <c r="T162" s="1">
        <v>18.538421469780999</v>
      </c>
      <c r="U162" t="str">
        <f t="shared" si="2"/>
        <v>Week 4</v>
      </c>
    </row>
    <row r="163" spans="1:21" x14ac:dyDescent="0.25">
      <c r="A163" s="1">
        <v>162</v>
      </c>
      <c r="B163" s="1" t="s">
        <v>3216</v>
      </c>
      <c r="C163" s="2">
        <v>46135</v>
      </c>
      <c r="D163" s="1" t="s">
        <v>37</v>
      </c>
      <c r="E163" s="1" t="s">
        <v>38</v>
      </c>
      <c r="F163" s="1" t="s">
        <v>23</v>
      </c>
      <c r="G163" s="1" t="s">
        <v>24</v>
      </c>
      <c r="H163" s="1">
        <v>1</v>
      </c>
      <c r="I163" s="1" t="s">
        <v>3217</v>
      </c>
      <c r="J163" s="1" t="s">
        <v>26</v>
      </c>
      <c r="K163" s="1">
        <v>15616639</v>
      </c>
      <c r="L163" s="1">
        <v>0</v>
      </c>
      <c r="M163" s="1">
        <v>0</v>
      </c>
      <c r="N163" s="1">
        <v>1717830.29</v>
      </c>
      <c r="O163" s="1">
        <v>0</v>
      </c>
      <c r="P163" s="1">
        <v>0</v>
      </c>
      <c r="Q163" s="1">
        <v>0</v>
      </c>
      <c r="R163" s="1">
        <v>17334469.289999999</v>
      </c>
      <c r="S163" s="1">
        <v>2005900.8295495</v>
      </c>
      <c r="T163" s="1">
        <v>12.844638526571</v>
      </c>
      <c r="U163" t="str">
        <f t="shared" si="2"/>
        <v>Week 4</v>
      </c>
    </row>
    <row r="164" spans="1:21" x14ac:dyDescent="0.25">
      <c r="A164" s="1">
        <v>163</v>
      </c>
      <c r="B164" s="1" t="s">
        <v>3218</v>
      </c>
      <c r="C164" s="2">
        <v>46135</v>
      </c>
      <c r="D164" s="1" t="s">
        <v>98</v>
      </c>
      <c r="E164" s="1" t="s">
        <v>99</v>
      </c>
      <c r="F164" s="1" t="s">
        <v>30</v>
      </c>
      <c r="G164" s="1" t="s">
        <v>24</v>
      </c>
      <c r="H164" s="1">
        <v>1</v>
      </c>
      <c r="I164" s="1" t="s">
        <v>3219</v>
      </c>
      <c r="J164" s="1"/>
      <c r="K164" s="1">
        <v>7738642.5199999996</v>
      </c>
      <c r="L164" s="1">
        <v>0</v>
      </c>
      <c r="M164" s="1">
        <v>0</v>
      </c>
      <c r="N164" s="1">
        <v>851250.67720000003</v>
      </c>
      <c r="O164" s="1">
        <v>0</v>
      </c>
      <c r="P164" s="1">
        <v>0</v>
      </c>
      <c r="Q164" s="1">
        <v>0</v>
      </c>
      <c r="R164" s="1">
        <v>8589893.1972000003</v>
      </c>
      <c r="S164" s="1">
        <v>1830723.58</v>
      </c>
      <c r="T164" s="1">
        <v>23.656908498726999</v>
      </c>
      <c r="U164" t="str">
        <f t="shared" si="2"/>
        <v>Week 4</v>
      </c>
    </row>
    <row r="165" spans="1:21" x14ac:dyDescent="0.25">
      <c r="A165" s="1">
        <v>164</v>
      </c>
      <c r="B165" s="1" t="s">
        <v>3220</v>
      </c>
      <c r="C165" s="2">
        <v>46135</v>
      </c>
      <c r="D165" s="1" t="s">
        <v>53</v>
      </c>
      <c r="E165" s="1" t="s">
        <v>54</v>
      </c>
      <c r="F165" s="1" t="s">
        <v>30</v>
      </c>
      <c r="G165" s="1" t="s">
        <v>24</v>
      </c>
      <c r="H165" s="1">
        <v>1</v>
      </c>
      <c r="I165" s="1" t="s">
        <v>3221</v>
      </c>
      <c r="J165" s="1"/>
      <c r="K165" s="1">
        <v>282792720</v>
      </c>
      <c r="L165" s="1">
        <v>0</v>
      </c>
      <c r="M165" s="1">
        <v>0</v>
      </c>
      <c r="N165" s="1">
        <v>31107199.199999999</v>
      </c>
      <c r="O165" s="1">
        <v>0</v>
      </c>
      <c r="P165" s="1">
        <v>0</v>
      </c>
      <c r="Q165" s="1">
        <v>0</v>
      </c>
      <c r="R165" s="1">
        <v>313899919.19999999</v>
      </c>
      <c r="S165" s="1">
        <v>36886220</v>
      </c>
      <c r="T165" s="1">
        <v>13.043553596429</v>
      </c>
      <c r="U165" t="str">
        <f t="shared" si="2"/>
        <v>Week 4</v>
      </c>
    </row>
    <row r="166" spans="1:21" x14ac:dyDescent="0.25">
      <c r="A166" s="1">
        <v>165</v>
      </c>
      <c r="B166" s="1" t="s">
        <v>3222</v>
      </c>
      <c r="C166" s="2">
        <v>46135</v>
      </c>
      <c r="D166" s="1" t="s">
        <v>115</v>
      </c>
      <c r="E166" s="1" t="s">
        <v>116</v>
      </c>
      <c r="F166" s="1" t="s">
        <v>23</v>
      </c>
      <c r="G166" s="1" t="s">
        <v>24</v>
      </c>
      <c r="H166" s="1">
        <v>1</v>
      </c>
      <c r="I166" s="1" t="s">
        <v>3223</v>
      </c>
      <c r="J166" s="1" t="s">
        <v>26</v>
      </c>
      <c r="K166" s="1">
        <v>11553191</v>
      </c>
      <c r="L166" s="1">
        <v>0</v>
      </c>
      <c r="M166" s="1">
        <v>0</v>
      </c>
      <c r="N166" s="1">
        <v>1270851.01</v>
      </c>
      <c r="O166" s="1">
        <v>0</v>
      </c>
      <c r="P166" s="1">
        <v>0</v>
      </c>
      <c r="Q166" s="1">
        <v>0</v>
      </c>
      <c r="R166" s="1">
        <v>12824042.01</v>
      </c>
      <c r="S166" s="1">
        <v>2401191</v>
      </c>
      <c r="T166" s="1">
        <v>20.783790383107</v>
      </c>
      <c r="U166" t="str">
        <f t="shared" si="2"/>
        <v>Week 4</v>
      </c>
    </row>
    <row r="167" spans="1:21" x14ac:dyDescent="0.25">
      <c r="A167" s="1">
        <v>166</v>
      </c>
      <c r="B167" s="1" t="s">
        <v>3224</v>
      </c>
      <c r="C167" s="2">
        <v>46135</v>
      </c>
      <c r="D167" s="1" t="s">
        <v>21</v>
      </c>
      <c r="E167" s="1" t="s">
        <v>22</v>
      </c>
      <c r="F167" s="1" t="s">
        <v>23</v>
      </c>
      <c r="G167" s="1" t="s">
        <v>24</v>
      </c>
      <c r="H167" s="1">
        <v>1</v>
      </c>
      <c r="I167" s="1" t="s">
        <v>3225</v>
      </c>
      <c r="J167" s="1" t="s">
        <v>26</v>
      </c>
      <c r="K167" s="1">
        <v>26763200</v>
      </c>
      <c r="L167" s="1">
        <v>0</v>
      </c>
      <c r="M167" s="1">
        <v>0</v>
      </c>
      <c r="N167" s="1">
        <v>2943952</v>
      </c>
      <c r="O167" s="1">
        <v>0</v>
      </c>
      <c r="P167" s="1">
        <v>0</v>
      </c>
      <c r="Q167" s="1">
        <v>0</v>
      </c>
      <c r="R167" s="1">
        <v>29707152</v>
      </c>
      <c r="S167" s="1">
        <v>13811488.297297001</v>
      </c>
      <c r="T167" s="1">
        <v>51.606266430387002</v>
      </c>
      <c r="U167" t="str">
        <f t="shared" si="2"/>
        <v>Week 4</v>
      </c>
    </row>
    <row r="168" spans="1:21" x14ac:dyDescent="0.25">
      <c r="A168" s="1">
        <v>167</v>
      </c>
      <c r="B168" s="1" t="s">
        <v>3226</v>
      </c>
      <c r="C168" s="2">
        <v>46135</v>
      </c>
      <c r="D168" s="1" t="s">
        <v>33</v>
      </c>
      <c r="E168" s="1" t="s">
        <v>38</v>
      </c>
      <c r="F168" s="1" t="s">
        <v>30</v>
      </c>
      <c r="G168" s="1" t="s">
        <v>24</v>
      </c>
      <c r="H168" s="1">
        <v>1</v>
      </c>
      <c r="I168" s="1" t="s">
        <v>3227</v>
      </c>
      <c r="J168" s="1"/>
      <c r="K168" s="1">
        <v>20857500</v>
      </c>
      <c r="L168" s="1">
        <v>0</v>
      </c>
      <c r="M168" s="1">
        <v>0</v>
      </c>
      <c r="N168" s="1">
        <v>2294325</v>
      </c>
      <c r="O168" s="1">
        <v>0</v>
      </c>
      <c r="P168" s="1">
        <v>0</v>
      </c>
      <c r="Q168" s="1">
        <v>0</v>
      </c>
      <c r="R168" s="1">
        <v>23151825</v>
      </c>
      <c r="S168" s="1">
        <v>607500</v>
      </c>
      <c r="T168" s="1">
        <v>2.9126213592233001</v>
      </c>
      <c r="U168" t="str">
        <f t="shared" si="2"/>
        <v>Week 4</v>
      </c>
    </row>
    <row r="169" spans="1:21" x14ac:dyDescent="0.25">
      <c r="A169" s="1">
        <v>168</v>
      </c>
      <c r="B169" s="1" t="s">
        <v>3228</v>
      </c>
      <c r="C169" s="2">
        <v>46135</v>
      </c>
      <c r="D169" s="1" t="s">
        <v>33</v>
      </c>
      <c r="E169" s="1" t="s">
        <v>38</v>
      </c>
      <c r="F169" s="1" t="s">
        <v>30</v>
      </c>
      <c r="G169" s="1" t="s">
        <v>24</v>
      </c>
      <c r="H169" s="1">
        <v>1</v>
      </c>
      <c r="I169" s="1" t="s">
        <v>3229</v>
      </c>
      <c r="J169" s="1"/>
      <c r="K169" s="1">
        <v>57447014</v>
      </c>
      <c r="L169" s="1">
        <v>0</v>
      </c>
      <c r="M169" s="1">
        <v>0</v>
      </c>
      <c r="N169" s="1">
        <v>6319171.54</v>
      </c>
      <c r="O169" s="1">
        <v>0</v>
      </c>
      <c r="P169" s="1">
        <v>0</v>
      </c>
      <c r="Q169" s="1">
        <v>0</v>
      </c>
      <c r="R169" s="1">
        <v>63766185.539999999</v>
      </c>
      <c r="S169" s="1">
        <v>1673214</v>
      </c>
      <c r="T169" s="1">
        <v>2.9126213592233001</v>
      </c>
      <c r="U169" t="str">
        <f t="shared" si="2"/>
        <v>Week 4</v>
      </c>
    </row>
    <row r="170" spans="1:21" x14ac:dyDescent="0.25">
      <c r="A170" s="1">
        <v>169</v>
      </c>
      <c r="B170" s="1" t="s">
        <v>3230</v>
      </c>
      <c r="C170" s="2">
        <v>46135</v>
      </c>
      <c r="D170" s="1" t="s">
        <v>3231</v>
      </c>
      <c r="E170" s="1" t="s">
        <v>192</v>
      </c>
      <c r="F170" s="1" t="s">
        <v>23</v>
      </c>
      <c r="G170" s="1" t="s">
        <v>24</v>
      </c>
      <c r="H170" s="1">
        <v>1</v>
      </c>
      <c r="I170" s="1" t="s">
        <v>3232</v>
      </c>
      <c r="J170" s="1" t="s">
        <v>56</v>
      </c>
      <c r="K170" s="1">
        <v>2850000</v>
      </c>
      <c r="L170" s="1">
        <v>0</v>
      </c>
      <c r="M170" s="1">
        <v>0</v>
      </c>
      <c r="N170" s="1">
        <v>313500</v>
      </c>
      <c r="O170" s="1">
        <v>0</v>
      </c>
      <c r="P170" s="1">
        <v>0</v>
      </c>
      <c r="Q170" s="1">
        <v>0</v>
      </c>
      <c r="R170" s="1">
        <v>3163500</v>
      </c>
      <c r="S170" s="1">
        <v>925000</v>
      </c>
      <c r="T170" s="1">
        <v>32.456140350877</v>
      </c>
      <c r="U170" t="str">
        <f t="shared" si="2"/>
        <v>Week 4</v>
      </c>
    </row>
    <row r="171" spans="1:21" x14ac:dyDescent="0.25">
      <c r="A171" s="1">
        <v>170</v>
      </c>
      <c r="B171" s="1" t="s">
        <v>3233</v>
      </c>
      <c r="C171" s="2">
        <v>46135</v>
      </c>
      <c r="D171" s="1" t="s">
        <v>53</v>
      </c>
      <c r="E171" s="1" t="s">
        <v>54</v>
      </c>
      <c r="F171" s="1" t="s">
        <v>30</v>
      </c>
      <c r="G171" s="1" t="s">
        <v>24</v>
      </c>
      <c r="H171" s="1">
        <v>1</v>
      </c>
      <c r="I171" s="1" t="s">
        <v>3234</v>
      </c>
      <c r="J171" s="1"/>
      <c r="K171" s="1">
        <v>369920270</v>
      </c>
      <c r="L171" s="1">
        <v>0</v>
      </c>
      <c r="M171" s="1">
        <v>0</v>
      </c>
      <c r="N171" s="1">
        <v>40691229.700000003</v>
      </c>
      <c r="O171" s="1">
        <v>0</v>
      </c>
      <c r="P171" s="1">
        <v>0</v>
      </c>
      <c r="Q171" s="1">
        <v>0</v>
      </c>
      <c r="R171" s="1">
        <v>410611499.69999999</v>
      </c>
      <c r="S171" s="1">
        <v>9189020.5800000001</v>
      </c>
      <c r="T171" s="1">
        <v>2.4840543558211001</v>
      </c>
      <c r="U171" t="str">
        <f t="shared" si="2"/>
        <v>Week 4</v>
      </c>
    </row>
    <row r="172" spans="1:21" x14ac:dyDescent="0.25">
      <c r="A172" s="1">
        <v>171</v>
      </c>
      <c r="B172" s="1" t="s">
        <v>3235</v>
      </c>
      <c r="C172" s="2">
        <v>46135</v>
      </c>
      <c r="D172" s="1" t="s">
        <v>33</v>
      </c>
      <c r="E172" s="1" t="s">
        <v>38</v>
      </c>
      <c r="F172" s="1" t="s">
        <v>30</v>
      </c>
      <c r="G172" s="1" t="s">
        <v>24</v>
      </c>
      <c r="H172" s="1">
        <v>1</v>
      </c>
      <c r="I172" s="1" t="s">
        <v>3236</v>
      </c>
      <c r="J172" s="1"/>
      <c r="K172" s="1">
        <v>27856439</v>
      </c>
      <c r="L172" s="1">
        <v>0</v>
      </c>
      <c r="M172" s="1">
        <v>0</v>
      </c>
      <c r="N172" s="1">
        <v>3064208.29</v>
      </c>
      <c r="O172" s="1">
        <v>0</v>
      </c>
      <c r="P172" s="1">
        <v>0</v>
      </c>
      <c r="Q172" s="1">
        <v>0</v>
      </c>
      <c r="R172" s="1">
        <v>30920647.289999999</v>
      </c>
      <c r="S172" s="1">
        <v>811349</v>
      </c>
      <c r="T172" s="1">
        <v>2.9126084637020999</v>
      </c>
      <c r="U172" t="str">
        <f t="shared" si="2"/>
        <v>Week 4</v>
      </c>
    </row>
    <row r="173" spans="1:21" x14ac:dyDescent="0.25">
      <c r="A173" s="1">
        <v>172</v>
      </c>
      <c r="B173" s="1" t="s">
        <v>3237</v>
      </c>
      <c r="C173" s="2">
        <v>46135</v>
      </c>
      <c r="D173" s="1" t="s">
        <v>33</v>
      </c>
      <c r="E173" s="1" t="s">
        <v>34</v>
      </c>
      <c r="F173" s="1" t="s">
        <v>23</v>
      </c>
      <c r="G173" s="1" t="s">
        <v>24</v>
      </c>
      <c r="H173" s="1">
        <v>1</v>
      </c>
      <c r="I173" s="1" t="s">
        <v>661</v>
      </c>
      <c r="J173" s="1"/>
      <c r="K173" s="1">
        <v>1700000</v>
      </c>
      <c r="L173" s="1">
        <v>0</v>
      </c>
      <c r="M173" s="1">
        <v>0</v>
      </c>
      <c r="N173" s="1">
        <v>187000</v>
      </c>
      <c r="O173" s="1">
        <v>0</v>
      </c>
      <c r="P173" s="1">
        <v>0</v>
      </c>
      <c r="Q173" s="1">
        <v>0</v>
      </c>
      <c r="R173" s="1">
        <v>1887000</v>
      </c>
      <c r="S173" s="1">
        <v>800000</v>
      </c>
      <c r="T173" s="1">
        <v>47.058823529412003</v>
      </c>
      <c r="U173" t="str">
        <f t="shared" si="2"/>
        <v>Week 4</v>
      </c>
    </row>
    <row r="174" spans="1:21" x14ac:dyDescent="0.25">
      <c r="A174" s="1">
        <v>173</v>
      </c>
      <c r="B174" s="1" t="s">
        <v>3238</v>
      </c>
      <c r="C174" s="2">
        <v>46135</v>
      </c>
      <c r="D174" s="1" t="s">
        <v>33</v>
      </c>
      <c r="E174" s="1" t="s">
        <v>34</v>
      </c>
      <c r="F174" s="1" t="s">
        <v>30</v>
      </c>
      <c r="G174" s="1" t="s">
        <v>24</v>
      </c>
      <c r="H174" s="1">
        <v>1</v>
      </c>
      <c r="I174" s="1" t="s">
        <v>3239</v>
      </c>
      <c r="J174" s="1"/>
      <c r="K174" s="1">
        <v>15141000</v>
      </c>
      <c r="L174" s="1">
        <v>0</v>
      </c>
      <c r="M174" s="1">
        <v>0</v>
      </c>
      <c r="N174" s="1">
        <v>1665510</v>
      </c>
      <c r="O174" s="1">
        <v>0</v>
      </c>
      <c r="P174" s="1">
        <v>0</v>
      </c>
      <c r="Q174" s="1">
        <v>0</v>
      </c>
      <c r="R174" s="1">
        <v>16806510</v>
      </c>
      <c r="S174" s="1">
        <v>573432</v>
      </c>
      <c r="T174" s="1">
        <v>3.7872795720229999</v>
      </c>
      <c r="U174" t="str">
        <f t="shared" si="2"/>
        <v>Week 4</v>
      </c>
    </row>
    <row r="175" spans="1:21" x14ac:dyDescent="0.25">
      <c r="A175" s="1">
        <v>174</v>
      </c>
      <c r="B175" s="1" t="s">
        <v>3240</v>
      </c>
      <c r="C175" s="2">
        <v>46135</v>
      </c>
      <c r="D175" s="1" t="s">
        <v>202</v>
      </c>
      <c r="E175" s="1" t="s">
        <v>203</v>
      </c>
      <c r="F175" s="1" t="s">
        <v>23</v>
      </c>
      <c r="G175" s="1" t="s">
        <v>24</v>
      </c>
      <c r="H175" s="1">
        <v>1</v>
      </c>
      <c r="I175" s="1" t="s">
        <v>3241</v>
      </c>
      <c r="J175" s="1" t="s">
        <v>26</v>
      </c>
      <c r="K175" s="1">
        <v>9683730</v>
      </c>
      <c r="L175" s="1">
        <v>0</v>
      </c>
      <c r="M175" s="1">
        <v>0</v>
      </c>
      <c r="N175" s="1">
        <v>1065210.3</v>
      </c>
      <c r="O175" s="1">
        <v>0</v>
      </c>
      <c r="P175" s="1">
        <v>0</v>
      </c>
      <c r="Q175" s="1">
        <v>0</v>
      </c>
      <c r="R175" s="1">
        <v>10748940.300000001</v>
      </c>
      <c r="S175" s="1">
        <v>670930</v>
      </c>
      <c r="T175" s="1">
        <v>6.9284253071905004</v>
      </c>
      <c r="U175" t="str">
        <f t="shared" si="2"/>
        <v>Week 4</v>
      </c>
    </row>
    <row r="176" spans="1:21" x14ac:dyDescent="0.25">
      <c r="A176" s="1">
        <v>175</v>
      </c>
      <c r="B176" s="1" t="s">
        <v>131</v>
      </c>
      <c r="C176" s="2">
        <v>46135</v>
      </c>
      <c r="D176" s="1" t="s">
        <v>37</v>
      </c>
      <c r="E176" s="1" t="s">
        <v>38</v>
      </c>
      <c r="F176" s="1" t="s">
        <v>23</v>
      </c>
      <c r="G176" s="1" t="s">
        <v>24</v>
      </c>
      <c r="H176" s="1">
        <v>1</v>
      </c>
      <c r="I176" s="1" t="s">
        <v>122</v>
      </c>
      <c r="J176" s="1" t="s">
        <v>26</v>
      </c>
      <c r="K176" s="1">
        <v>13903800</v>
      </c>
      <c r="L176" s="1">
        <v>0</v>
      </c>
      <c r="M176" s="1">
        <v>0</v>
      </c>
      <c r="N176" s="1">
        <v>1529418</v>
      </c>
      <c r="O176" s="1">
        <v>0</v>
      </c>
      <c r="P176" s="1">
        <v>0</v>
      </c>
      <c r="Q176" s="1">
        <v>0</v>
      </c>
      <c r="R176" s="1">
        <v>15433218</v>
      </c>
      <c r="S176" s="1">
        <v>5255377.9099099003</v>
      </c>
      <c r="T176" s="1">
        <v>37.798140867316</v>
      </c>
      <c r="U176" t="str">
        <f t="shared" si="2"/>
        <v>Week 4</v>
      </c>
    </row>
    <row r="177" spans="1:21" x14ac:dyDescent="0.25">
      <c r="A177" s="1">
        <v>176</v>
      </c>
      <c r="B177" s="1" t="s">
        <v>225</v>
      </c>
      <c r="C177" s="2">
        <v>46135</v>
      </c>
      <c r="D177" s="1" t="s">
        <v>306</v>
      </c>
      <c r="E177" s="1" t="s">
        <v>99</v>
      </c>
      <c r="F177" s="1" t="s">
        <v>23</v>
      </c>
      <c r="G177" s="1" t="s">
        <v>24</v>
      </c>
      <c r="H177" s="1">
        <v>1</v>
      </c>
      <c r="I177" s="1" t="s">
        <v>3242</v>
      </c>
      <c r="J177" s="1" t="s">
        <v>26</v>
      </c>
      <c r="K177" s="1">
        <v>3204600</v>
      </c>
      <c r="L177" s="1">
        <v>0</v>
      </c>
      <c r="M177" s="1">
        <v>0</v>
      </c>
      <c r="N177" s="1">
        <v>352506</v>
      </c>
      <c r="O177" s="1">
        <v>0</v>
      </c>
      <c r="P177" s="1">
        <v>0</v>
      </c>
      <c r="Q177" s="1">
        <v>0</v>
      </c>
      <c r="R177" s="1">
        <v>3557106</v>
      </c>
      <c r="S177" s="1">
        <v>1896091.1888288001</v>
      </c>
      <c r="T177" s="1">
        <v>59.167795944231003</v>
      </c>
      <c r="U177" t="str">
        <f t="shared" si="2"/>
        <v>Week 4</v>
      </c>
    </row>
    <row r="178" spans="1:21" x14ac:dyDescent="0.25">
      <c r="A178" s="1">
        <v>177</v>
      </c>
      <c r="B178" s="1" t="s">
        <v>749</v>
      </c>
      <c r="C178" s="2">
        <v>46135</v>
      </c>
      <c r="D178" s="1" t="s">
        <v>306</v>
      </c>
      <c r="E178" s="1" t="s">
        <v>99</v>
      </c>
      <c r="F178" s="1" t="s">
        <v>23</v>
      </c>
      <c r="G178" s="1" t="s">
        <v>24</v>
      </c>
      <c r="H178" s="1">
        <v>1</v>
      </c>
      <c r="I178" s="1" t="s">
        <v>3243</v>
      </c>
      <c r="J178" s="1"/>
      <c r="K178" s="1">
        <v>129413900</v>
      </c>
      <c r="L178" s="1">
        <v>0</v>
      </c>
      <c r="M178" s="1">
        <v>0</v>
      </c>
      <c r="N178" s="1">
        <v>14235529</v>
      </c>
      <c r="O178" s="1">
        <v>0</v>
      </c>
      <c r="P178" s="1">
        <v>0</v>
      </c>
      <c r="Q178" s="1">
        <v>0</v>
      </c>
      <c r="R178" s="1">
        <v>143649429</v>
      </c>
      <c r="S178" s="1">
        <v>26513900</v>
      </c>
      <c r="T178" s="1">
        <v>20.487675589716002</v>
      </c>
      <c r="U178" t="str">
        <f t="shared" si="2"/>
        <v>Week 4</v>
      </c>
    </row>
    <row r="179" spans="1:21" x14ac:dyDescent="0.25">
      <c r="A179" s="1">
        <v>178</v>
      </c>
      <c r="B179" s="1" t="s">
        <v>1115</v>
      </c>
      <c r="C179" s="2">
        <v>46135</v>
      </c>
      <c r="D179" s="1" t="s">
        <v>306</v>
      </c>
      <c r="E179" s="1" t="s">
        <v>99</v>
      </c>
      <c r="F179" s="1" t="s">
        <v>30</v>
      </c>
      <c r="G179" s="1" t="s">
        <v>24</v>
      </c>
      <c r="H179" s="1">
        <v>1</v>
      </c>
      <c r="I179" s="1" t="s">
        <v>3244</v>
      </c>
      <c r="J179" s="1" t="s">
        <v>26</v>
      </c>
      <c r="K179" s="1">
        <v>32800350</v>
      </c>
      <c r="L179" s="1">
        <v>0</v>
      </c>
      <c r="M179" s="1">
        <v>0</v>
      </c>
      <c r="N179" s="1">
        <v>3608038.5</v>
      </c>
      <c r="O179" s="1">
        <v>0</v>
      </c>
      <c r="P179" s="1">
        <v>0</v>
      </c>
      <c r="Q179" s="1">
        <v>0</v>
      </c>
      <c r="R179" s="1">
        <v>36408388.5</v>
      </c>
      <c r="S179" s="1">
        <v>6448998.648</v>
      </c>
      <c r="T179" s="1">
        <v>19.661371442682999</v>
      </c>
      <c r="U179" t="str">
        <f t="shared" si="2"/>
        <v>Week 4</v>
      </c>
    </row>
    <row r="180" spans="1:21" x14ac:dyDescent="0.25">
      <c r="A180" s="1">
        <v>179</v>
      </c>
      <c r="B180" s="1" t="s">
        <v>3245</v>
      </c>
      <c r="C180" s="2">
        <v>46134</v>
      </c>
      <c r="D180" s="1" t="s">
        <v>421</v>
      </c>
      <c r="E180" s="1" t="s">
        <v>2414</v>
      </c>
      <c r="F180" s="1" t="s">
        <v>30</v>
      </c>
      <c r="G180" s="1" t="s">
        <v>24</v>
      </c>
      <c r="H180" s="1">
        <v>1</v>
      </c>
      <c r="I180" s="1" t="s">
        <v>3246</v>
      </c>
      <c r="J180" s="1" t="s">
        <v>26</v>
      </c>
      <c r="K180" s="1">
        <v>276750</v>
      </c>
      <c r="L180" s="1">
        <v>0</v>
      </c>
      <c r="M180" s="1">
        <v>0</v>
      </c>
      <c r="N180" s="1">
        <v>30442.5</v>
      </c>
      <c r="O180" s="1">
        <v>0</v>
      </c>
      <c r="P180" s="1">
        <v>0</v>
      </c>
      <c r="Q180" s="1">
        <v>0</v>
      </c>
      <c r="R180" s="1">
        <v>307192.5</v>
      </c>
      <c r="S180" s="1">
        <v>129995.86</v>
      </c>
      <c r="T180" s="1">
        <v>46.972307136405</v>
      </c>
      <c r="U180" t="str">
        <f t="shared" si="2"/>
        <v>Week 4</v>
      </c>
    </row>
    <row r="181" spans="1:21" x14ac:dyDescent="0.25">
      <c r="A181" s="1">
        <v>180</v>
      </c>
      <c r="B181" s="1" t="s">
        <v>3247</v>
      </c>
      <c r="C181" s="2">
        <v>46134</v>
      </c>
      <c r="D181" s="1" t="s">
        <v>21</v>
      </c>
      <c r="E181" s="1" t="s">
        <v>22</v>
      </c>
      <c r="F181" s="1" t="s">
        <v>23</v>
      </c>
      <c r="G181" s="1" t="s">
        <v>24</v>
      </c>
      <c r="H181" s="1">
        <v>1</v>
      </c>
      <c r="I181" s="1" t="s">
        <v>3248</v>
      </c>
      <c r="J181" s="1" t="s">
        <v>26</v>
      </c>
      <c r="K181" s="1">
        <v>1740000</v>
      </c>
      <c r="L181" s="1">
        <v>0</v>
      </c>
      <c r="M181" s="1">
        <v>0</v>
      </c>
      <c r="N181" s="1">
        <v>191400</v>
      </c>
      <c r="O181" s="1">
        <v>0</v>
      </c>
      <c r="P181" s="1">
        <v>0</v>
      </c>
      <c r="Q181" s="1">
        <v>0</v>
      </c>
      <c r="R181" s="1">
        <v>1931400</v>
      </c>
      <c r="S181" s="1">
        <v>821081.08108108002</v>
      </c>
      <c r="T181" s="1">
        <v>47.188567878222997</v>
      </c>
      <c r="U181" t="str">
        <f t="shared" si="2"/>
        <v>Week 4</v>
      </c>
    </row>
    <row r="182" spans="1:21" x14ac:dyDescent="0.25">
      <c r="A182" s="1">
        <v>181</v>
      </c>
      <c r="B182" s="1" t="s">
        <v>3249</v>
      </c>
      <c r="C182" s="2">
        <v>46134</v>
      </c>
      <c r="D182" s="1" t="s">
        <v>53</v>
      </c>
      <c r="E182" s="1" t="s">
        <v>54</v>
      </c>
      <c r="F182" s="1" t="s">
        <v>30</v>
      </c>
      <c r="G182" s="1" t="s">
        <v>24</v>
      </c>
      <c r="H182" s="1">
        <v>1</v>
      </c>
      <c r="I182" s="1" t="s">
        <v>3250</v>
      </c>
      <c r="J182" s="1"/>
      <c r="K182" s="1">
        <v>21226998</v>
      </c>
      <c r="L182" s="1">
        <v>0</v>
      </c>
      <c r="M182" s="1">
        <v>0</v>
      </c>
      <c r="N182" s="1">
        <v>2334969.7799999998</v>
      </c>
      <c r="O182" s="1">
        <v>0</v>
      </c>
      <c r="P182" s="1">
        <v>0</v>
      </c>
      <c r="Q182" s="1">
        <v>0</v>
      </c>
      <c r="R182" s="1">
        <v>23561967.780000001</v>
      </c>
      <c r="S182" s="1">
        <v>2595419.5986485998</v>
      </c>
      <c r="T182" s="1">
        <v>12.226974340170999</v>
      </c>
      <c r="U182" t="str">
        <f t="shared" si="2"/>
        <v>Week 4</v>
      </c>
    </row>
    <row r="183" spans="1:21" x14ac:dyDescent="0.25">
      <c r="A183" s="1">
        <v>182</v>
      </c>
      <c r="B183" s="1" t="s">
        <v>3251</v>
      </c>
      <c r="C183" s="2">
        <v>46134</v>
      </c>
      <c r="D183" s="1" t="s">
        <v>3252</v>
      </c>
      <c r="E183" s="1" t="s">
        <v>203</v>
      </c>
      <c r="F183" s="1" t="s">
        <v>30</v>
      </c>
      <c r="G183" s="1" t="s">
        <v>24</v>
      </c>
      <c r="H183" s="1">
        <v>1</v>
      </c>
      <c r="I183" s="1" t="s">
        <v>3253</v>
      </c>
      <c r="J183" s="1"/>
      <c r="K183" s="1">
        <v>950400</v>
      </c>
      <c r="L183" s="1">
        <v>0</v>
      </c>
      <c r="M183" s="1">
        <v>0</v>
      </c>
      <c r="N183" s="1">
        <v>104544</v>
      </c>
      <c r="O183" s="1">
        <v>0</v>
      </c>
      <c r="P183" s="1">
        <v>0</v>
      </c>
      <c r="Q183" s="1">
        <v>0</v>
      </c>
      <c r="R183" s="1">
        <v>1054944</v>
      </c>
      <c r="S183" s="1">
        <v>122400</v>
      </c>
      <c r="T183" s="1">
        <v>12.878787878788</v>
      </c>
      <c r="U183" t="str">
        <f t="shared" si="2"/>
        <v>Week 4</v>
      </c>
    </row>
    <row r="184" spans="1:21" x14ac:dyDescent="0.25">
      <c r="A184" s="1">
        <v>183</v>
      </c>
      <c r="B184" s="1" t="s">
        <v>3254</v>
      </c>
      <c r="C184" s="2">
        <v>46134</v>
      </c>
      <c r="D184" s="1" t="s">
        <v>53</v>
      </c>
      <c r="E184" s="1" t="s">
        <v>54</v>
      </c>
      <c r="F184" s="1" t="s">
        <v>30</v>
      </c>
      <c r="G184" s="1" t="s">
        <v>24</v>
      </c>
      <c r="H184" s="1">
        <v>1</v>
      </c>
      <c r="I184" s="1" t="s">
        <v>3255</v>
      </c>
      <c r="J184" s="1"/>
      <c r="K184" s="1">
        <v>16089199</v>
      </c>
      <c r="L184" s="1">
        <v>0</v>
      </c>
      <c r="M184" s="1">
        <v>0</v>
      </c>
      <c r="N184" s="1">
        <v>1769811.89</v>
      </c>
      <c r="O184" s="1">
        <v>0</v>
      </c>
      <c r="P184" s="1">
        <v>0</v>
      </c>
      <c r="Q184" s="1">
        <v>0</v>
      </c>
      <c r="R184" s="1">
        <v>17859010.890000001</v>
      </c>
      <c r="S184" s="1">
        <v>3293089.1</v>
      </c>
      <c r="T184" s="1">
        <v>20.467700722701998</v>
      </c>
      <c r="U184" t="str">
        <f t="shared" si="2"/>
        <v>Week 4</v>
      </c>
    </row>
    <row r="185" spans="1:21" x14ac:dyDescent="0.25">
      <c r="A185" s="1">
        <v>184</v>
      </c>
      <c r="B185" s="1" t="s">
        <v>3256</v>
      </c>
      <c r="C185" s="2">
        <v>46134</v>
      </c>
      <c r="D185" s="1" t="s">
        <v>21</v>
      </c>
      <c r="E185" s="1" t="s">
        <v>22</v>
      </c>
      <c r="F185" s="1" t="s">
        <v>30</v>
      </c>
      <c r="G185" s="1" t="s">
        <v>24</v>
      </c>
      <c r="H185" s="1">
        <v>1</v>
      </c>
      <c r="I185" s="1" t="s">
        <v>3257</v>
      </c>
      <c r="J185" s="1" t="s">
        <v>26</v>
      </c>
      <c r="K185" s="1">
        <v>32455937.920000002</v>
      </c>
      <c r="L185" s="1">
        <v>0</v>
      </c>
      <c r="M185" s="1">
        <v>0</v>
      </c>
      <c r="N185" s="1">
        <v>3570153.1712000002</v>
      </c>
      <c r="O185" s="1">
        <v>0</v>
      </c>
      <c r="P185" s="1">
        <v>0</v>
      </c>
      <c r="Q185" s="1">
        <v>0</v>
      </c>
      <c r="R185" s="1">
        <v>36026091.091200002</v>
      </c>
      <c r="S185" s="1">
        <v>8214071.4884684002</v>
      </c>
      <c r="T185" s="1">
        <v>25.308378111627</v>
      </c>
      <c r="U185" t="str">
        <f t="shared" si="2"/>
        <v>Week 4</v>
      </c>
    </row>
    <row r="186" spans="1:21" x14ac:dyDescent="0.25">
      <c r="A186" s="1">
        <v>185</v>
      </c>
      <c r="B186" s="1" t="s">
        <v>3258</v>
      </c>
      <c r="C186" s="2">
        <v>46134</v>
      </c>
      <c r="D186" s="1" t="s">
        <v>28</v>
      </c>
      <c r="E186" s="1" t="s">
        <v>29</v>
      </c>
      <c r="F186" s="1" t="s">
        <v>23</v>
      </c>
      <c r="G186" s="1" t="s">
        <v>24</v>
      </c>
      <c r="H186" s="1">
        <v>1</v>
      </c>
      <c r="I186" s="1" t="s">
        <v>3259</v>
      </c>
      <c r="J186" s="1"/>
      <c r="K186" s="1">
        <v>9843750</v>
      </c>
      <c r="L186" s="1">
        <v>0</v>
      </c>
      <c r="M186" s="1">
        <v>0</v>
      </c>
      <c r="N186" s="1">
        <v>1082812.5</v>
      </c>
      <c r="O186" s="1">
        <v>0</v>
      </c>
      <c r="P186" s="1">
        <v>0</v>
      </c>
      <c r="Q186" s="1">
        <v>0</v>
      </c>
      <c r="R186" s="1">
        <v>10926562.5</v>
      </c>
      <c r="S186" s="1">
        <v>3196350</v>
      </c>
      <c r="T186" s="1">
        <v>32.470857142857</v>
      </c>
      <c r="U186" t="str">
        <f t="shared" si="2"/>
        <v>Week 4</v>
      </c>
    </row>
    <row r="187" spans="1:21" x14ac:dyDescent="0.25">
      <c r="A187" s="1">
        <v>186</v>
      </c>
      <c r="B187" s="1" t="s">
        <v>3260</v>
      </c>
      <c r="C187" s="2">
        <v>46134</v>
      </c>
      <c r="D187" s="1" t="s">
        <v>28</v>
      </c>
      <c r="E187" s="1" t="s">
        <v>29</v>
      </c>
      <c r="F187" s="1" t="s">
        <v>30</v>
      </c>
      <c r="G187" s="1" t="s">
        <v>24</v>
      </c>
      <c r="H187" s="1">
        <v>1</v>
      </c>
      <c r="I187" s="1" t="s">
        <v>3261</v>
      </c>
      <c r="J187" s="1"/>
      <c r="K187" s="1">
        <v>1076875</v>
      </c>
      <c r="L187" s="1">
        <v>0</v>
      </c>
      <c r="M187" s="1">
        <v>0</v>
      </c>
      <c r="N187" s="1">
        <v>118456.25</v>
      </c>
      <c r="O187" s="1">
        <v>0</v>
      </c>
      <c r="P187" s="1">
        <v>0</v>
      </c>
      <c r="Q187" s="1">
        <v>0</v>
      </c>
      <c r="R187" s="1">
        <v>1195331.25</v>
      </c>
      <c r="S187" s="1">
        <v>199375</v>
      </c>
      <c r="T187" s="1">
        <v>18.514219384794</v>
      </c>
      <c r="U187" t="str">
        <f t="shared" si="2"/>
        <v>Week 4</v>
      </c>
    </row>
    <row r="188" spans="1:21" x14ac:dyDescent="0.25">
      <c r="A188" s="1">
        <v>187</v>
      </c>
      <c r="B188" s="1" t="s">
        <v>3262</v>
      </c>
      <c r="C188" s="2">
        <v>46134</v>
      </c>
      <c r="D188" s="1" t="s">
        <v>2210</v>
      </c>
      <c r="E188" s="1" t="s">
        <v>192</v>
      </c>
      <c r="F188" s="1" t="s">
        <v>23</v>
      </c>
      <c r="G188" s="1" t="s">
        <v>24</v>
      </c>
      <c r="H188" s="1">
        <v>1</v>
      </c>
      <c r="I188" s="1" t="s">
        <v>3263</v>
      </c>
      <c r="J188" s="1" t="s">
        <v>56</v>
      </c>
      <c r="K188" s="1">
        <v>57718558.240000002</v>
      </c>
      <c r="L188" s="1">
        <v>0</v>
      </c>
      <c r="M188" s="1">
        <v>0</v>
      </c>
      <c r="N188" s="1">
        <v>6349041.4063999997</v>
      </c>
      <c r="O188" s="1">
        <v>0</v>
      </c>
      <c r="P188" s="1">
        <v>0</v>
      </c>
      <c r="Q188" s="1">
        <v>0</v>
      </c>
      <c r="R188" s="1">
        <v>64067599.646399997</v>
      </c>
      <c r="S188" s="1">
        <v>543718.87063055998</v>
      </c>
      <c r="T188" s="1">
        <v>0.94201741555933005</v>
      </c>
      <c r="U188" t="str">
        <f t="shared" si="2"/>
        <v>Week 4</v>
      </c>
    </row>
    <row r="189" spans="1:21" x14ac:dyDescent="0.25">
      <c r="A189" s="1">
        <v>188</v>
      </c>
      <c r="B189" s="1" t="s">
        <v>3264</v>
      </c>
      <c r="C189" s="2">
        <v>46134</v>
      </c>
      <c r="D189" s="1" t="s">
        <v>3265</v>
      </c>
      <c r="E189" s="1" t="s">
        <v>192</v>
      </c>
      <c r="F189" s="1" t="s">
        <v>23</v>
      </c>
      <c r="G189" s="1" t="s">
        <v>24</v>
      </c>
      <c r="H189" s="1">
        <v>1</v>
      </c>
      <c r="I189" s="1" t="s">
        <v>3266</v>
      </c>
      <c r="J189" s="1" t="s">
        <v>56</v>
      </c>
      <c r="K189" s="1">
        <v>241170000</v>
      </c>
      <c r="L189" s="1">
        <v>0</v>
      </c>
      <c r="M189" s="1">
        <v>0</v>
      </c>
      <c r="N189" s="1">
        <v>26528700</v>
      </c>
      <c r="O189" s="1">
        <v>0</v>
      </c>
      <c r="P189" s="1">
        <v>0</v>
      </c>
      <c r="Q189" s="1">
        <v>0</v>
      </c>
      <c r="R189" s="1">
        <v>267698700</v>
      </c>
      <c r="S189" s="1">
        <v>63572000</v>
      </c>
      <c r="T189" s="1">
        <v>26.359829166148</v>
      </c>
      <c r="U189" t="str">
        <f t="shared" si="2"/>
        <v>Week 4</v>
      </c>
    </row>
    <row r="190" spans="1:21" x14ac:dyDescent="0.25">
      <c r="A190" s="1">
        <v>189</v>
      </c>
      <c r="B190" s="1" t="s">
        <v>3267</v>
      </c>
      <c r="C190" s="2">
        <v>46134</v>
      </c>
      <c r="D190" s="1" t="s">
        <v>53</v>
      </c>
      <c r="E190" s="1" t="s">
        <v>54</v>
      </c>
      <c r="F190" s="1" t="s">
        <v>30</v>
      </c>
      <c r="G190" s="1" t="s">
        <v>24</v>
      </c>
      <c r="H190" s="1">
        <v>1</v>
      </c>
      <c r="I190" s="1" t="s">
        <v>3268</v>
      </c>
      <c r="J190" s="1"/>
      <c r="K190" s="1">
        <v>31611440</v>
      </c>
      <c r="L190" s="1">
        <v>0</v>
      </c>
      <c r="M190" s="1">
        <v>0</v>
      </c>
      <c r="N190" s="1">
        <v>3477258.4</v>
      </c>
      <c r="O190" s="1">
        <v>0</v>
      </c>
      <c r="P190" s="1">
        <v>0</v>
      </c>
      <c r="Q190" s="1">
        <v>0</v>
      </c>
      <c r="R190" s="1">
        <v>35088698.399999999</v>
      </c>
      <c r="S190" s="1">
        <v>3347557.0920720999</v>
      </c>
      <c r="T190" s="1">
        <v>10.589701361507</v>
      </c>
      <c r="U190" t="str">
        <f t="shared" si="2"/>
        <v>Week 4</v>
      </c>
    </row>
    <row r="191" spans="1:21" x14ac:dyDescent="0.25">
      <c r="A191" s="1">
        <v>190</v>
      </c>
      <c r="B191" s="1" t="s">
        <v>3269</v>
      </c>
      <c r="C191" s="2">
        <v>46134</v>
      </c>
      <c r="D191" s="1" t="s">
        <v>306</v>
      </c>
      <c r="E191" s="1" t="s">
        <v>99</v>
      </c>
      <c r="F191" s="1" t="s">
        <v>30</v>
      </c>
      <c r="G191" s="1" t="s">
        <v>24</v>
      </c>
      <c r="H191" s="1">
        <v>1</v>
      </c>
      <c r="I191" s="1" t="s">
        <v>3270</v>
      </c>
      <c r="J191" s="1"/>
      <c r="K191" s="1">
        <v>52464000</v>
      </c>
      <c r="L191" s="1">
        <v>0</v>
      </c>
      <c r="M191" s="1">
        <v>0</v>
      </c>
      <c r="N191" s="1">
        <v>5771040</v>
      </c>
      <c r="O191" s="1">
        <v>0</v>
      </c>
      <c r="P191" s="1">
        <v>0</v>
      </c>
      <c r="Q191" s="1">
        <v>0</v>
      </c>
      <c r="R191" s="1">
        <v>58235040</v>
      </c>
      <c r="S191" s="1">
        <v>11232000</v>
      </c>
      <c r="T191" s="1">
        <v>21.408966148215999</v>
      </c>
      <c r="U191" t="str">
        <f t="shared" si="2"/>
        <v>Week 4</v>
      </c>
    </row>
    <row r="192" spans="1:21" x14ac:dyDescent="0.25">
      <c r="A192" s="1">
        <v>191</v>
      </c>
      <c r="B192" s="1" t="s">
        <v>3271</v>
      </c>
      <c r="C192" s="2">
        <v>46134</v>
      </c>
      <c r="D192" s="1" t="s">
        <v>2979</v>
      </c>
      <c r="E192" s="1" t="s">
        <v>192</v>
      </c>
      <c r="F192" s="1" t="s">
        <v>23</v>
      </c>
      <c r="G192" s="1" t="s">
        <v>24</v>
      </c>
      <c r="H192" s="1">
        <v>1</v>
      </c>
      <c r="I192" s="1" t="s">
        <v>3272</v>
      </c>
      <c r="J192" s="1" t="s">
        <v>56</v>
      </c>
      <c r="K192" s="1">
        <v>784621540</v>
      </c>
      <c r="L192" s="1">
        <v>0</v>
      </c>
      <c r="M192" s="1">
        <v>0</v>
      </c>
      <c r="N192" s="1">
        <v>86308369.400000006</v>
      </c>
      <c r="O192" s="1">
        <v>0</v>
      </c>
      <c r="P192" s="1">
        <v>0</v>
      </c>
      <c r="Q192" s="1">
        <v>0</v>
      </c>
      <c r="R192" s="1">
        <v>870929909.39999998</v>
      </c>
      <c r="S192" s="1">
        <v>251827540</v>
      </c>
      <c r="T192" s="1">
        <v>32.095415071067002</v>
      </c>
      <c r="U192" t="str">
        <f t="shared" si="2"/>
        <v>Week 4</v>
      </c>
    </row>
    <row r="193" spans="1:21" x14ac:dyDescent="0.25">
      <c r="A193" s="1">
        <v>192</v>
      </c>
      <c r="B193" s="1" t="s">
        <v>3273</v>
      </c>
      <c r="C193" s="2">
        <v>46134</v>
      </c>
      <c r="D193" s="1" t="s">
        <v>248</v>
      </c>
      <c r="E193" s="1" t="s">
        <v>116</v>
      </c>
      <c r="F193" s="1" t="s">
        <v>30</v>
      </c>
      <c r="G193" s="1" t="s">
        <v>24</v>
      </c>
      <c r="H193" s="1">
        <v>1</v>
      </c>
      <c r="I193" s="1" t="s">
        <v>3051</v>
      </c>
      <c r="J193" s="1" t="s">
        <v>26</v>
      </c>
      <c r="K193" s="1">
        <v>6155692</v>
      </c>
      <c r="L193" s="1">
        <v>0</v>
      </c>
      <c r="M193" s="1">
        <v>0</v>
      </c>
      <c r="N193" s="1">
        <v>677126.12</v>
      </c>
      <c r="O193" s="1">
        <v>0</v>
      </c>
      <c r="P193" s="1">
        <v>0</v>
      </c>
      <c r="Q193" s="1">
        <v>0</v>
      </c>
      <c r="R193" s="1">
        <v>6832818.1200000001</v>
      </c>
      <c r="S193" s="1">
        <v>1825692</v>
      </c>
      <c r="T193" s="1">
        <v>29.658598903259001</v>
      </c>
      <c r="U193" t="str">
        <f t="shared" si="2"/>
        <v>Week 4</v>
      </c>
    </row>
    <row r="194" spans="1:21" x14ac:dyDescent="0.25">
      <c r="A194" s="1">
        <v>193</v>
      </c>
      <c r="B194" s="1" t="s">
        <v>3274</v>
      </c>
      <c r="C194" s="2">
        <v>46134</v>
      </c>
      <c r="D194" s="1" t="s">
        <v>53</v>
      </c>
      <c r="E194" s="1" t="s">
        <v>2414</v>
      </c>
      <c r="F194" s="1" t="s">
        <v>30</v>
      </c>
      <c r="G194" s="1" t="s">
        <v>24</v>
      </c>
      <c r="H194" s="1">
        <v>1</v>
      </c>
      <c r="I194" s="1" t="s">
        <v>3275</v>
      </c>
      <c r="J194" s="1"/>
      <c r="K194" s="1">
        <v>47706884.399999999</v>
      </c>
      <c r="L194" s="1">
        <v>0</v>
      </c>
      <c r="M194" s="1">
        <v>0</v>
      </c>
      <c r="N194" s="1">
        <v>5247757.284</v>
      </c>
      <c r="O194" s="1">
        <v>0</v>
      </c>
      <c r="P194" s="1">
        <v>0</v>
      </c>
      <c r="Q194" s="1">
        <v>0</v>
      </c>
      <c r="R194" s="1">
        <v>52954641.684</v>
      </c>
      <c r="S194" s="1">
        <v>8580575.0666899998</v>
      </c>
      <c r="T194" s="1">
        <v>17.986031103489999</v>
      </c>
      <c r="U194" t="str">
        <f t="shared" si="2"/>
        <v>Week 4</v>
      </c>
    </row>
    <row r="195" spans="1:21" x14ac:dyDescent="0.25">
      <c r="A195" s="1">
        <v>194</v>
      </c>
      <c r="B195" s="1" t="s">
        <v>3276</v>
      </c>
      <c r="C195" s="2">
        <v>46134</v>
      </c>
      <c r="D195" s="1" t="s">
        <v>306</v>
      </c>
      <c r="E195" s="1" t="s">
        <v>99</v>
      </c>
      <c r="F195" s="1" t="s">
        <v>23</v>
      </c>
      <c r="G195" s="1" t="s">
        <v>24</v>
      </c>
      <c r="H195" s="1">
        <v>1</v>
      </c>
      <c r="I195" s="1" t="s">
        <v>3277</v>
      </c>
      <c r="J195" s="1"/>
      <c r="K195" s="1">
        <v>6045000</v>
      </c>
      <c r="L195" s="1">
        <v>0</v>
      </c>
      <c r="M195" s="1">
        <v>0</v>
      </c>
      <c r="N195" s="1">
        <v>664950</v>
      </c>
      <c r="O195" s="1">
        <v>0</v>
      </c>
      <c r="P195" s="1">
        <v>0</v>
      </c>
      <c r="Q195" s="1">
        <v>0</v>
      </c>
      <c r="R195" s="1">
        <v>6709950</v>
      </c>
      <c r="S195" s="1">
        <v>1718760.3603604001</v>
      </c>
      <c r="T195" s="1">
        <v>28.432760303727999</v>
      </c>
      <c r="U195" t="str">
        <f t="shared" ref="U195:U258" si="3">"Week "&amp;IF(DAY(C195)&gt;=24,4,INT((DAY(C195)-1)/7)+1)</f>
        <v>Week 4</v>
      </c>
    </row>
    <row r="196" spans="1:21" x14ac:dyDescent="0.25">
      <c r="A196" s="1">
        <v>195</v>
      </c>
      <c r="B196" s="1" t="s">
        <v>3278</v>
      </c>
      <c r="C196" s="2">
        <v>46134</v>
      </c>
      <c r="D196" s="1" t="s">
        <v>53</v>
      </c>
      <c r="E196" s="1" t="s">
        <v>54</v>
      </c>
      <c r="F196" s="1" t="s">
        <v>23</v>
      </c>
      <c r="G196" s="1" t="s">
        <v>24</v>
      </c>
      <c r="H196" s="1">
        <v>1</v>
      </c>
      <c r="I196" s="1" t="s">
        <v>3279</v>
      </c>
      <c r="J196" s="1"/>
      <c r="K196" s="1">
        <v>6820000</v>
      </c>
      <c r="L196" s="1">
        <v>0</v>
      </c>
      <c r="M196" s="1">
        <v>0</v>
      </c>
      <c r="N196" s="1">
        <v>750200</v>
      </c>
      <c r="O196" s="1">
        <v>0</v>
      </c>
      <c r="P196" s="1">
        <v>0</v>
      </c>
      <c r="Q196" s="1">
        <v>0</v>
      </c>
      <c r="R196" s="1">
        <v>7570200</v>
      </c>
      <c r="S196" s="1">
        <v>2409000</v>
      </c>
      <c r="T196" s="1">
        <v>35.322580645160997</v>
      </c>
      <c r="U196" t="str">
        <f t="shared" si="3"/>
        <v>Week 4</v>
      </c>
    </row>
    <row r="197" spans="1:21" x14ac:dyDescent="0.25">
      <c r="A197" s="1">
        <v>196</v>
      </c>
      <c r="B197" s="1" t="s">
        <v>3280</v>
      </c>
      <c r="C197" s="2">
        <v>46134</v>
      </c>
      <c r="D197" s="1" t="s">
        <v>53</v>
      </c>
      <c r="E197" s="1" t="s">
        <v>54</v>
      </c>
      <c r="F197" s="1" t="s">
        <v>23</v>
      </c>
      <c r="G197" s="1" t="s">
        <v>24</v>
      </c>
      <c r="H197" s="1">
        <v>1</v>
      </c>
      <c r="I197" s="1" t="s">
        <v>3281</v>
      </c>
      <c r="J197" s="1"/>
      <c r="K197" s="1">
        <v>750000</v>
      </c>
      <c r="L197" s="1">
        <v>0</v>
      </c>
      <c r="M197" s="1">
        <v>0</v>
      </c>
      <c r="N197" s="1">
        <v>82500</v>
      </c>
      <c r="O197" s="1">
        <v>0</v>
      </c>
      <c r="P197" s="1">
        <v>0</v>
      </c>
      <c r="Q197" s="1">
        <v>0</v>
      </c>
      <c r="R197" s="1">
        <v>832500</v>
      </c>
      <c r="S197" s="1">
        <v>300000</v>
      </c>
      <c r="T197" s="1">
        <v>40</v>
      </c>
      <c r="U197" t="str">
        <f t="shared" si="3"/>
        <v>Week 4</v>
      </c>
    </row>
    <row r="198" spans="1:21" x14ac:dyDescent="0.25">
      <c r="A198" s="1">
        <v>197</v>
      </c>
      <c r="B198" s="1" t="s">
        <v>3282</v>
      </c>
      <c r="C198" s="2">
        <v>46134</v>
      </c>
      <c r="D198" s="1" t="s">
        <v>53</v>
      </c>
      <c r="E198" s="1" t="s">
        <v>54</v>
      </c>
      <c r="F198" s="1" t="s">
        <v>23</v>
      </c>
      <c r="G198" s="1" t="s">
        <v>24</v>
      </c>
      <c r="H198" s="1">
        <v>1</v>
      </c>
      <c r="I198" s="1" t="s">
        <v>3283</v>
      </c>
      <c r="J198" s="1"/>
      <c r="K198" s="1">
        <v>1500000</v>
      </c>
      <c r="L198" s="1">
        <v>0</v>
      </c>
      <c r="M198" s="1">
        <v>0</v>
      </c>
      <c r="N198" s="1">
        <v>165000</v>
      </c>
      <c r="O198" s="1">
        <v>0</v>
      </c>
      <c r="P198" s="1">
        <v>0</v>
      </c>
      <c r="Q198" s="1">
        <v>0</v>
      </c>
      <c r="R198" s="1">
        <v>1665000</v>
      </c>
      <c r="S198" s="1">
        <v>600000</v>
      </c>
      <c r="T198" s="1">
        <v>40</v>
      </c>
      <c r="U198" t="str">
        <f t="shared" si="3"/>
        <v>Week 4</v>
      </c>
    </row>
    <row r="199" spans="1:21" x14ac:dyDescent="0.25">
      <c r="A199" s="1">
        <v>198</v>
      </c>
      <c r="B199" s="1" t="s">
        <v>3284</v>
      </c>
      <c r="C199" s="2">
        <v>46134</v>
      </c>
      <c r="D199" s="1" t="s">
        <v>98</v>
      </c>
      <c r="E199" s="1" t="s">
        <v>99</v>
      </c>
      <c r="F199" s="1" t="s">
        <v>23</v>
      </c>
      <c r="G199" s="1" t="s">
        <v>24</v>
      </c>
      <c r="H199" s="1">
        <v>1</v>
      </c>
      <c r="I199" s="1" t="s">
        <v>3285</v>
      </c>
      <c r="J199" s="1"/>
      <c r="K199" s="1">
        <v>246323000</v>
      </c>
      <c r="L199" s="1">
        <v>0</v>
      </c>
      <c r="M199" s="1">
        <v>0</v>
      </c>
      <c r="N199" s="1">
        <v>27095530</v>
      </c>
      <c r="O199" s="1">
        <v>0</v>
      </c>
      <c r="P199" s="1">
        <v>0</v>
      </c>
      <c r="Q199" s="1">
        <v>0</v>
      </c>
      <c r="R199" s="1">
        <v>273418530</v>
      </c>
      <c r="S199" s="1">
        <v>61323000</v>
      </c>
      <c r="T199" s="1">
        <v>24.895360969134</v>
      </c>
      <c r="U199" t="str">
        <f t="shared" si="3"/>
        <v>Week 4</v>
      </c>
    </row>
    <row r="200" spans="1:21" x14ac:dyDescent="0.25">
      <c r="A200" s="1">
        <v>199</v>
      </c>
      <c r="B200" s="1" t="s">
        <v>3286</v>
      </c>
      <c r="C200" s="2">
        <v>46134</v>
      </c>
      <c r="D200" s="1" t="s">
        <v>53</v>
      </c>
      <c r="E200" s="1" t="s">
        <v>2414</v>
      </c>
      <c r="F200" s="1" t="s">
        <v>30</v>
      </c>
      <c r="G200" s="1" t="s">
        <v>24</v>
      </c>
      <c r="H200" s="1">
        <v>1</v>
      </c>
      <c r="I200" s="1" t="s">
        <v>3287</v>
      </c>
      <c r="J200" s="1"/>
      <c r="K200" s="1">
        <v>13374120</v>
      </c>
      <c r="L200" s="1">
        <v>0</v>
      </c>
      <c r="M200" s="1">
        <v>0</v>
      </c>
      <c r="N200" s="1">
        <v>1471153.2</v>
      </c>
      <c r="O200" s="1">
        <v>0</v>
      </c>
      <c r="P200" s="1">
        <v>0</v>
      </c>
      <c r="Q200" s="1">
        <v>0</v>
      </c>
      <c r="R200" s="1">
        <v>14845273.199999999</v>
      </c>
      <c r="S200" s="1">
        <v>4886876.7171179997</v>
      </c>
      <c r="T200" s="1">
        <v>36.539800129787999</v>
      </c>
      <c r="U200" t="str">
        <f t="shared" si="3"/>
        <v>Week 4</v>
      </c>
    </row>
    <row r="201" spans="1:21" x14ac:dyDescent="0.25">
      <c r="A201" s="1">
        <v>200</v>
      </c>
      <c r="B201" s="1" t="s">
        <v>3288</v>
      </c>
      <c r="C201" s="2">
        <v>46134</v>
      </c>
      <c r="D201" s="1" t="s">
        <v>53</v>
      </c>
      <c r="E201" s="1" t="s">
        <v>54</v>
      </c>
      <c r="F201" s="1" t="s">
        <v>23</v>
      </c>
      <c r="G201" s="1" t="s">
        <v>24</v>
      </c>
      <c r="H201" s="1">
        <v>1</v>
      </c>
      <c r="I201" s="1" t="s">
        <v>302</v>
      </c>
      <c r="J201" s="1"/>
      <c r="K201" s="1">
        <v>90000</v>
      </c>
      <c r="L201" s="1">
        <v>0</v>
      </c>
      <c r="M201" s="1">
        <v>0</v>
      </c>
      <c r="N201" s="1">
        <v>9900</v>
      </c>
      <c r="O201" s="1">
        <v>0</v>
      </c>
      <c r="P201" s="1">
        <v>0</v>
      </c>
      <c r="Q201" s="1">
        <v>0</v>
      </c>
      <c r="R201" s="1">
        <v>99900</v>
      </c>
      <c r="S201" s="1">
        <v>62100</v>
      </c>
      <c r="T201" s="1">
        <v>69</v>
      </c>
      <c r="U201" t="str">
        <f t="shared" si="3"/>
        <v>Week 4</v>
      </c>
    </row>
    <row r="202" spans="1:21" x14ac:dyDescent="0.25">
      <c r="A202" s="1">
        <v>201</v>
      </c>
      <c r="B202" s="1" t="s">
        <v>2761</v>
      </c>
      <c r="C202" s="2">
        <v>46134</v>
      </c>
      <c r="D202" s="1" t="s">
        <v>98</v>
      </c>
      <c r="E202" s="1" t="s">
        <v>99</v>
      </c>
      <c r="F202" s="1" t="s">
        <v>39</v>
      </c>
      <c r="G202" s="1" t="s">
        <v>24</v>
      </c>
      <c r="H202" s="1">
        <v>1</v>
      </c>
      <c r="I202" s="1" t="s">
        <v>3289</v>
      </c>
      <c r="J202" s="1" t="s">
        <v>26</v>
      </c>
      <c r="K202" s="1">
        <v>30558000</v>
      </c>
      <c r="L202" s="1">
        <v>0</v>
      </c>
      <c r="M202" s="1">
        <v>0</v>
      </c>
      <c r="N202" s="1">
        <v>3361380</v>
      </c>
      <c r="O202" s="1">
        <v>0</v>
      </c>
      <c r="P202" s="1">
        <v>0</v>
      </c>
      <c r="Q202" s="1">
        <v>0</v>
      </c>
      <c r="R202" s="1">
        <v>33919380</v>
      </c>
      <c r="S202" s="1">
        <v>9347800</v>
      </c>
      <c r="T202" s="1">
        <v>30.590352771778001</v>
      </c>
      <c r="U202" t="str">
        <f t="shared" si="3"/>
        <v>Week 4</v>
      </c>
    </row>
    <row r="203" spans="1:21" x14ac:dyDescent="0.25">
      <c r="A203" s="1">
        <v>202</v>
      </c>
      <c r="B203" s="1" t="s">
        <v>522</v>
      </c>
      <c r="C203" s="2">
        <v>46134</v>
      </c>
      <c r="D203" s="1" t="s">
        <v>306</v>
      </c>
      <c r="E203" s="1" t="s">
        <v>99</v>
      </c>
      <c r="F203" s="1" t="s">
        <v>23</v>
      </c>
      <c r="G203" s="1" t="s">
        <v>24</v>
      </c>
      <c r="H203" s="1">
        <v>1</v>
      </c>
      <c r="I203" s="1" t="s">
        <v>523</v>
      </c>
      <c r="J203" s="1"/>
      <c r="K203" s="1">
        <v>20219996</v>
      </c>
      <c r="L203" s="1">
        <v>0</v>
      </c>
      <c r="M203" s="1">
        <v>0</v>
      </c>
      <c r="N203" s="1">
        <v>2224199.56</v>
      </c>
      <c r="O203" s="1">
        <v>0</v>
      </c>
      <c r="P203" s="1">
        <v>0</v>
      </c>
      <c r="Q203" s="1">
        <v>0</v>
      </c>
      <c r="R203" s="1">
        <v>22444195.559999999</v>
      </c>
      <c r="S203" s="1">
        <v>9981046.8399999999</v>
      </c>
      <c r="T203" s="1">
        <v>49.362259221020999</v>
      </c>
      <c r="U203" t="str">
        <f t="shared" si="3"/>
        <v>Week 4</v>
      </c>
    </row>
    <row r="204" spans="1:21" x14ac:dyDescent="0.25">
      <c r="A204" s="1">
        <v>203</v>
      </c>
      <c r="B204" s="1" t="s">
        <v>960</v>
      </c>
      <c r="C204" s="2">
        <v>46134</v>
      </c>
      <c r="D204" s="1" t="s">
        <v>98</v>
      </c>
      <c r="E204" s="1" t="s">
        <v>99</v>
      </c>
      <c r="F204" s="1" t="s">
        <v>23</v>
      </c>
      <c r="G204" s="1" t="s">
        <v>24</v>
      </c>
      <c r="H204" s="1">
        <v>1</v>
      </c>
      <c r="I204" s="1" t="s">
        <v>3290</v>
      </c>
      <c r="J204" s="1" t="s">
        <v>26</v>
      </c>
      <c r="K204" s="1">
        <v>8645000</v>
      </c>
      <c r="L204" s="1">
        <v>0</v>
      </c>
      <c r="M204" s="1">
        <v>0</v>
      </c>
      <c r="N204" s="1">
        <v>950950</v>
      </c>
      <c r="O204" s="1">
        <v>0</v>
      </c>
      <c r="P204" s="1">
        <v>0</v>
      </c>
      <c r="Q204" s="1">
        <v>0</v>
      </c>
      <c r="R204" s="1">
        <v>9595950</v>
      </c>
      <c r="S204" s="1">
        <v>2315000</v>
      </c>
      <c r="T204" s="1">
        <v>26.778484673222</v>
      </c>
      <c r="U204" t="str">
        <f t="shared" si="3"/>
        <v>Week 4</v>
      </c>
    </row>
    <row r="205" spans="1:21" x14ac:dyDescent="0.25">
      <c r="A205" s="1">
        <v>204</v>
      </c>
      <c r="B205" s="1" t="s">
        <v>3291</v>
      </c>
      <c r="C205" s="2">
        <v>46133</v>
      </c>
      <c r="D205" s="1" t="s">
        <v>33</v>
      </c>
      <c r="E205" s="1" t="s">
        <v>34</v>
      </c>
      <c r="F205" s="1" t="s">
        <v>30</v>
      </c>
      <c r="G205" s="1" t="s">
        <v>24</v>
      </c>
      <c r="H205" s="1">
        <v>1</v>
      </c>
      <c r="I205" s="1" t="s">
        <v>3292</v>
      </c>
      <c r="J205" s="1"/>
      <c r="K205" s="1">
        <v>9855000</v>
      </c>
      <c r="L205" s="1">
        <v>0</v>
      </c>
      <c r="M205" s="1">
        <v>0</v>
      </c>
      <c r="N205" s="1">
        <v>1084050</v>
      </c>
      <c r="O205" s="1">
        <v>0</v>
      </c>
      <c r="P205" s="1">
        <v>0</v>
      </c>
      <c r="Q205" s="1">
        <v>0</v>
      </c>
      <c r="R205" s="1">
        <v>10939050</v>
      </c>
      <c r="S205" s="1">
        <v>3965000</v>
      </c>
      <c r="T205" s="1">
        <v>40.233384069000998</v>
      </c>
      <c r="U205" t="str">
        <f t="shared" si="3"/>
        <v>Week 3</v>
      </c>
    </row>
    <row r="206" spans="1:21" x14ac:dyDescent="0.25">
      <c r="A206" s="1">
        <v>205</v>
      </c>
      <c r="B206" s="1" t="s">
        <v>3293</v>
      </c>
      <c r="C206" s="2">
        <v>46133</v>
      </c>
      <c r="D206" s="1" t="s">
        <v>2979</v>
      </c>
      <c r="E206" s="1" t="s">
        <v>203</v>
      </c>
      <c r="F206" s="1" t="s">
        <v>30</v>
      </c>
      <c r="G206" s="1" t="s">
        <v>24</v>
      </c>
      <c r="H206" s="1">
        <v>1</v>
      </c>
      <c r="I206" s="1" t="s">
        <v>3294</v>
      </c>
      <c r="J206" s="1" t="s">
        <v>56</v>
      </c>
      <c r="K206" s="1">
        <v>708640000</v>
      </c>
      <c r="L206" s="1">
        <v>0</v>
      </c>
      <c r="M206" s="1">
        <v>0</v>
      </c>
      <c r="N206" s="1">
        <v>77950400</v>
      </c>
      <c r="O206" s="1">
        <v>0</v>
      </c>
      <c r="P206" s="1">
        <v>0</v>
      </c>
      <c r="Q206" s="1">
        <v>0</v>
      </c>
      <c r="R206" s="1">
        <v>786590400</v>
      </c>
      <c r="S206" s="1">
        <v>89280000</v>
      </c>
      <c r="T206" s="1">
        <v>12.598780763152</v>
      </c>
      <c r="U206" t="str">
        <f t="shared" si="3"/>
        <v>Week 3</v>
      </c>
    </row>
    <row r="207" spans="1:21" x14ac:dyDescent="0.25">
      <c r="A207" s="1">
        <v>206</v>
      </c>
      <c r="B207" s="1" t="s">
        <v>3295</v>
      </c>
      <c r="C207" s="2">
        <v>46133</v>
      </c>
      <c r="D207" s="1" t="s">
        <v>202</v>
      </c>
      <c r="E207" s="1" t="s">
        <v>203</v>
      </c>
      <c r="F207" s="1" t="s">
        <v>30</v>
      </c>
      <c r="G207" s="1" t="s">
        <v>24</v>
      </c>
      <c r="H207" s="1">
        <v>1</v>
      </c>
      <c r="I207" s="1" t="s">
        <v>3296</v>
      </c>
      <c r="J207" s="1"/>
      <c r="K207" s="1">
        <v>46762000</v>
      </c>
      <c r="L207" s="1">
        <v>0</v>
      </c>
      <c r="M207" s="1">
        <v>0</v>
      </c>
      <c r="N207" s="1">
        <v>5143820</v>
      </c>
      <c r="O207" s="1">
        <v>0</v>
      </c>
      <c r="P207" s="1">
        <v>0</v>
      </c>
      <c r="Q207" s="1">
        <v>0</v>
      </c>
      <c r="R207" s="1">
        <v>51905820</v>
      </c>
      <c r="S207" s="1">
        <v>2262000</v>
      </c>
      <c r="T207" s="1">
        <v>4.8372610239083</v>
      </c>
      <c r="U207" t="str">
        <f t="shared" si="3"/>
        <v>Week 3</v>
      </c>
    </row>
    <row r="208" spans="1:21" x14ac:dyDescent="0.25">
      <c r="A208" s="1">
        <v>207</v>
      </c>
      <c r="B208" s="1" t="s">
        <v>3297</v>
      </c>
      <c r="C208" s="2">
        <v>46133</v>
      </c>
      <c r="D208" s="1" t="s">
        <v>53</v>
      </c>
      <c r="E208" s="1" t="s">
        <v>54</v>
      </c>
      <c r="F208" s="1" t="s">
        <v>30</v>
      </c>
      <c r="G208" s="1" t="s">
        <v>24</v>
      </c>
      <c r="H208" s="1">
        <v>1</v>
      </c>
      <c r="I208" s="1" t="s">
        <v>3298</v>
      </c>
      <c r="J208" s="1"/>
      <c r="K208" s="1">
        <v>1176000</v>
      </c>
      <c r="L208" s="1">
        <v>0</v>
      </c>
      <c r="M208" s="1">
        <v>0</v>
      </c>
      <c r="N208" s="1">
        <v>129360</v>
      </c>
      <c r="O208" s="1">
        <v>0</v>
      </c>
      <c r="P208" s="1">
        <v>0</v>
      </c>
      <c r="Q208" s="1">
        <v>0</v>
      </c>
      <c r="R208" s="1">
        <v>1305360</v>
      </c>
      <c r="S208" s="1">
        <v>291000</v>
      </c>
      <c r="T208" s="1">
        <v>24.744897959184001</v>
      </c>
      <c r="U208" t="str">
        <f t="shared" si="3"/>
        <v>Week 3</v>
      </c>
    </row>
    <row r="209" spans="1:21" x14ac:dyDescent="0.25">
      <c r="A209" s="1">
        <v>208</v>
      </c>
      <c r="B209" s="1" t="s">
        <v>3299</v>
      </c>
      <c r="C209" s="2">
        <v>46133</v>
      </c>
      <c r="D209" s="1" t="s">
        <v>53</v>
      </c>
      <c r="E209" s="1" t="s">
        <v>54</v>
      </c>
      <c r="F209" s="1" t="s">
        <v>30</v>
      </c>
      <c r="G209" s="1" t="s">
        <v>24</v>
      </c>
      <c r="H209" s="1">
        <v>1</v>
      </c>
      <c r="I209" s="1" t="s">
        <v>3300</v>
      </c>
      <c r="J209" s="1"/>
      <c r="K209" s="1">
        <v>10754196.6</v>
      </c>
      <c r="L209" s="1">
        <v>0</v>
      </c>
      <c r="M209" s="1">
        <v>0</v>
      </c>
      <c r="N209" s="1">
        <v>1182961.6259999999</v>
      </c>
      <c r="O209" s="1">
        <v>0</v>
      </c>
      <c r="P209" s="1">
        <v>0</v>
      </c>
      <c r="Q209" s="1">
        <v>0</v>
      </c>
      <c r="R209" s="1">
        <v>11937158.226</v>
      </c>
      <c r="S209" s="1">
        <v>-1697803.4</v>
      </c>
      <c r="T209" s="1">
        <v>-15.787356909581</v>
      </c>
      <c r="U209" t="str">
        <f t="shared" si="3"/>
        <v>Week 3</v>
      </c>
    </row>
    <row r="210" spans="1:21" x14ac:dyDescent="0.25">
      <c r="A210" s="1">
        <v>209</v>
      </c>
      <c r="B210" s="1" t="s">
        <v>3301</v>
      </c>
      <c r="C210" s="2">
        <v>46133</v>
      </c>
      <c r="D210" s="1" t="s">
        <v>53</v>
      </c>
      <c r="E210" s="1" t="s">
        <v>54</v>
      </c>
      <c r="F210" s="1" t="s">
        <v>30</v>
      </c>
      <c r="G210" s="1" t="s">
        <v>24</v>
      </c>
      <c r="H210" s="1">
        <v>1</v>
      </c>
      <c r="I210" s="1" t="s">
        <v>3302</v>
      </c>
      <c r="J210" s="1"/>
      <c r="K210" s="1">
        <v>4896400</v>
      </c>
      <c r="L210" s="1">
        <v>0</v>
      </c>
      <c r="M210" s="1">
        <v>0</v>
      </c>
      <c r="N210" s="1">
        <v>538604</v>
      </c>
      <c r="O210" s="1">
        <v>0</v>
      </c>
      <c r="P210" s="1">
        <v>0</v>
      </c>
      <c r="Q210" s="1">
        <v>0</v>
      </c>
      <c r="R210" s="1">
        <v>5435004</v>
      </c>
      <c r="S210" s="1">
        <v>751354.95495716005</v>
      </c>
      <c r="T210" s="1">
        <v>15.345048504149</v>
      </c>
      <c r="U210" t="str">
        <f t="shared" si="3"/>
        <v>Week 3</v>
      </c>
    </row>
    <row r="211" spans="1:21" x14ac:dyDescent="0.25">
      <c r="A211" s="1">
        <v>210</v>
      </c>
      <c r="B211" s="1" t="s">
        <v>3303</v>
      </c>
      <c r="C211" s="2">
        <v>46133</v>
      </c>
      <c r="D211" s="1" t="s">
        <v>53</v>
      </c>
      <c r="E211" s="1" t="s">
        <v>54</v>
      </c>
      <c r="F211" s="1" t="s">
        <v>30</v>
      </c>
      <c r="G211" s="1" t="s">
        <v>24</v>
      </c>
      <c r="H211" s="1">
        <v>1</v>
      </c>
      <c r="I211" s="1" t="s">
        <v>3304</v>
      </c>
      <c r="J211" s="1"/>
      <c r="K211" s="1">
        <v>1240100</v>
      </c>
      <c r="L211" s="1">
        <v>0</v>
      </c>
      <c r="M211" s="1">
        <v>0</v>
      </c>
      <c r="N211" s="1">
        <v>136411</v>
      </c>
      <c r="O211" s="1">
        <v>0</v>
      </c>
      <c r="P211" s="1">
        <v>0</v>
      </c>
      <c r="Q211" s="1">
        <v>0</v>
      </c>
      <c r="R211" s="1">
        <v>1376511</v>
      </c>
      <c r="S211" s="1">
        <v>243600</v>
      </c>
      <c r="T211" s="1">
        <v>19.643577130876999</v>
      </c>
      <c r="U211" t="str">
        <f t="shared" si="3"/>
        <v>Week 3</v>
      </c>
    </row>
    <row r="212" spans="1:21" x14ac:dyDescent="0.25">
      <c r="A212" s="1">
        <v>211</v>
      </c>
      <c r="B212" s="1" t="s">
        <v>3305</v>
      </c>
      <c r="C212" s="2">
        <v>46133</v>
      </c>
      <c r="D212" s="1" t="s">
        <v>33</v>
      </c>
      <c r="E212" s="1" t="s">
        <v>34</v>
      </c>
      <c r="F212" s="1" t="s">
        <v>30</v>
      </c>
      <c r="G212" s="1" t="s">
        <v>24</v>
      </c>
      <c r="H212" s="1">
        <v>1</v>
      </c>
      <c r="I212" s="1" t="s">
        <v>3306</v>
      </c>
      <c r="J212" s="1"/>
      <c r="K212" s="1">
        <v>30195132.800000001</v>
      </c>
      <c r="L212" s="1">
        <v>0</v>
      </c>
      <c r="M212" s="1">
        <v>0</v>
      </c>
      <c r="N212" s="1">
        <v>3321464.608</v>
      </c>
      <c r="O212" s="1">
        <v>0</v>
      </c>
      <c r="P212" s="1">
        <v>0</v>
      </c>
      <c r="Q212" s="1">
        <v>0</v>
      </c>
      <c r="R212" s="1">
        <v>33516597.408</v>
      </c>
      <c r="S212" s="1">
        <v>2066506.4144144999</v>
      </c>
      <c r="T212" s="1">
        <v>6.8438394628107</v>
      </c>
      <c r="U212" t="str">
        <f t="shared" si="3"/>
        <v>Week 3</v>
      </c>
    </row>
    <row r="213" spans="1:21" x14ac:dyDescent="0.25">
      <c r="A213" s="1">
        <v>212</v>
      </c>
      <c r="B213" s="1" t="s">
        <v>3307</v>
      </c>
      <c r="C213" s="2">
        <v>46133</v>
      </c>
      <c r="D213" s="1" t="s">
        <v>98</v>
      </c>
      <c r="E213" s="1" t="s">
        <v>99</v>
      </c>
      <c r="F213" s="1" t="s">
        <v>30</v>
      </c>
      <c r="G213" s="1" t="s">
        <v>24</v>
      </c>
      <c r="H213" s="1">
        <v>1</v>
      </c>
      <c r="I213" s="1" t="s">
        <v>3308</v>
      </c>
      <c r="J213" s="1"/>
      <c r="K213" s="1">
        <v>2060200</v>
      </c>
      <c r="L213" s="1">
        <v>0</v>
      </c>
      <c r="M213" s="1">
        <v>0</v>
      </c>
      <c r="N213" s="1">
        <v>226622</v>
      </c>
      <c r="O213" s="1">
        <v>0</v>
      </c>
      <c r="P213" s="1">
        <v>0</v>
      </c>
      <c r="Q213" s="1">
        <v>0</v>
      </c>
      <c r="R213" s="1">
        <v>2286822</v>
      </c>
      <c r="S213" s="1">
        <v>1006650.48</v>
      </c>
      <c r="T213" s="1">
        <v>48.861784292787</v>
      </c>
      <c r="U213" t="str">
        <f t="shared" si="3"/>
        <v>Week 3</v>
      </c>
    </row>
    <row r="214" spans="1:21" x14ac:dyDescent="0.25">
      <c r="A214" s="1">
        <v>213</v>
      </c>
      <c r="B214" s="1" t="s">
        <v>3309</v>
      </c>
      <c r="C214" s="2">
        <v>46133</v>
      </c>
      <c r="D214" s="1" t="s">
        <v>98</v>
      </c>
      <c r="E214" s="1" t="s">
        <v>99</v>
      </c>
      <c r="F214" s="1" t="s">
        <v>30</v>
      </c>
      <c r="G214" s="1" t="s">
        <v>24</v>
      </c>
      <c r="H214" s="1">
        <v>1</v>
      </c>
      <c r="I214" s="1" t="s">
        <v>3310</v>
      </c>
      <c r="J214" s="1"/>
      <c r="K214" s="1">
        <v>2141300</v>
      </c>
      <c r="L214" s="1">
        <v>0</v>
      </c>
      <c r="M214" s="1">
        <v>0</v>
      </c>
      <c r="N214" s="1">
        <v>235543</v>
      </c>
      <c r="O214" s="1">
        <v>0</v>
      </c>
      <c r="P214" s="1">
        <v>0</v>
      </c>
      <c r="Q214" s="1">
        <v>0</v>
      </c>
      <c r="R214" s="1">
        <v>2376843</v>
      </c>
      <c r="S214" s="1">
        <v>55350</v>
      </c>
      <c r="T214" s="1">
        <v>2.5848783449305999</v>
      </c>
      <c r="U214" t="str">
        <f t="shared" si="3"/>
        <v>Week 3</v>
      </c>
    </row>
    <row r="215" spans="1:21" x14ac:dyDescent="0.25">
      <c r="A215" s="1">
        <v>214</v>
      </c>
      <c r="B215" s="1" t="s">
        <v>3311</v>
      </c>
      <c r="C215" s="2">
        <v>46133</v>
      </c>
      <c r="D215" s="1" t="s">
        <v>202</v>
      </c>
      <c r="E215" s="1" t="s">
        <v>203</v>
      </c>
      <c r="F215" s="1" t="s">
        <v>23</v>
      </c>
      <c r="G215" s="1" t="s">
        <v>24</v>
      </c>
      <c r="H215" s="1">
        <v>1</v>
      </c>
      <c r="I215" s="1" t="s">
        <v>3312</v>
      </c>
      <c r="J215" s="1" t="s">
        <v>26</v>
      </c>
      <c r="K215" s="1">
        <v>3100552</v>
      </c>
      <c r="L215" s="1">
        <v>0</v>
      </c>
      <c r="M215" s="1">
        <v>0</v>
      </c>
      <c r="N215" s="1">
        <v>341060.72</v>
      </c>
      <c r="O215" s="1">
        <v>0</v>
      </c>
      <c r="P215" s="1">
        <v>0</v>
      </c>
      <c r="Q215" s="1">
        <v>0</v>
      </c>
      <c r="R215" s="1">
        <v>3441612.72</v>
      </c>
      <c r="S215" s="1">
        <v>659110.56000000006</v>
      </c>
      <c r="T215" s="1">
        <v>21.257845699733</v>
      </c>
      <c r="U215" t="str">
        <f t="shared" si="3"/>
        <v>Week 3</v>
      </c>
    </row>
    <row r="216" spans="1:21" x14ac:dyDescent="0.25">
      <c r="A216" s="1">
        <v>215</v>
      </c>
      <c r="B216" s="1" t="s">
        <v>3313</v>
      </c>
      <c r="C216" s="2">
        <v>46133</v>
      </c>
      <c r="D216" s="1" t="s">
        <v>33</v>
      </c>
      <c r="E216" s="1" t="s">
        <v>34</v>
      </c>
      <c r="F216" s="1" t="s">
        <v>23</v>
      </c>
      <c r="G216" s="1" t="s">
        <v>24</v>
      </c>
      <c r="H216" s="1">
        <v>1</v>
      </c>
      <c r="I216" s="1" t="s">
        <v>661</v>
      </c>
      <c r="J216" s="1"/>
      <c r="K216" s="1">
        <v>18500000</v>
      </c>
      <c r="L216" s="1">
        <v>0</v>
      </c>
      <c r="M216" s="1">
        <v>0</v>
      </c>
      <c r="N216" s="1">
        <v>2035000</v>
      </c>
      <c r="O216" s="1">
        <v>0</v>
      </c>
      <c r="P216" s="1">
        <v>0</v>
      </c>
      <c r="Q216" s="1">
        <v>0</v>
      </c>
      <c r="R216" s="1">
        <v>20535000</v>
      </c>
      <c r="S216" s="1">
        <v>2000000</v>
      </c>
      <c r="T216" s="1">
        <v>10.810810810811001</v>
      </c>
      <c r="U216" t="str">
        <f t="shared" si="3"/>
        <v>Week 3</v>
      </c>
    </row>
    <row r="217" spans="1:21" x14ac:dyDescent="0.25">
      <c r="A217" s="1">
        <v>216</v>
      </c>
      <c r="B217" s="1" t="s">
        <v>3314</v>
      </c>
      <c r="C217" s="2">
        <v>46133</v>
      </c>
      <c r="D217" s="1" t="s">
        <v>306</v>
      </c>
      <c r="E217" s="1" t="s">
        <v>99</v>
      </c>
      <c r="F217" s="1" t="s">
        <v>30</v>
      </c>
      <c r="G217" s="1" t="s">
        <v>24</v>
      </c>
      <c r="H217" s="1">
        <v>1</v>
      </c>
      <c r="I217" s="1" t="s">
        <v>3315</v>
      </c>
      <c r="J217" s="1" t="s">
        <v>56</v>
      </c>
      <c r="K217" s="1">
        <v>1887217500</v>
      </c>
      <c r="L217" s="1">
        <v>0</v>
      </c>
      <c r="M217" s="1">
        <v>0</v>
      </c>
      <c r="N217" s="1">
        <v>207593925</v>
      </c>
      <c r="O217" s="1">
        <v>0</v>
      </c>
      <c r="P217" s="1">
        <v>0</v>
      </c>
      <c r="Q217" s="1">
        <v>0</v>
      </c>
      <c r="R217" s="1">
        <v>2094811425</v>
      </c>
      <c r="S217" s="1">
        <v>630817500</v>
      </c>
      <c r="T217" s="1">
        <v>33.425797503467003</v>
      </c>
      <c r="U217" t="str">
        <f t="shared" si="3"/>
        <v>Week 3</v>
      </c>
    </row>
    <row r="218" spans="1:21" x14ac:dyDescent="0.25">
      <c r="A218" s="1">
        <v>217</v>
      </c>
      <c r="B218" s="1" t="s">
        <v>3316</v>
      </c>
      <c r="C218" s="2">
        <v>46133</v>
      </c>
      <c r="D218" s="1" t="s">
        <v>306</v>
      </c>
      <c r="E218" s="1" t="s">
        <v>99</v>
      </c>
      <c r="F218" s="1" t="s">
        <v>30</v>
      </c>
      <c r="G218" s="1" t="s">
        <v>24</v>
      </c>
      <c r="H218" s="1">
        <v>1</v>
      </c>
      <c r="I218" s="1" t="s">
        <v>3317</v>
      </c>
      <c r="J218" s="1"/>
      <c r="K218" s="1">
        <v>28368354</v>
      </c>
      <c r="L218" s="1">
        <v>0</v>
      </c>
      <c r="M218" s="1">
        <v>0</v>
      </c>
      <c r="N218" s="1">
        <v>3120518.94</v>
      </c>
      <c r="O218" s="1">
        <v>0</v>
      </c>
      <c r="P218" s="1">
        <v>0</v>
      </c>
      <c r="Q218" s="1">
        <v>0</v>
      </c>
      <c r="R218" s="1">
        <v>31488872.940000001</v>
      </c>
      <c r="S218" s="1">
        <v>10355933</v>
      </c>
      <c r="T218" s="1">
        <v>36.505230440934</v>
      </c>
      <c r="U218" t="str">
        <f t="shared" si="3"/>
        <v>Week 3</v>
      </c>
    </row>
    <row r="219" spans="1:21" x14ac:dyDescent="0.25">
      <c r="A219" s="1">
        <v>218</v>
      </c>
      <c r="B219" s="1" t="s">
        <v>3318</v>
      </c>
      <c r="C219" s="2">
        <v>46133</v>
      </c>
      <c r="D219" s="1" t="s">
        <v>306</v>
      </c>
      <c r="E219" s="1" t="s">
        <v>99</v>
      </c>
      <c r="F219" s="1" t="s">
        <v>30</v>
      </c>
      <c r="G219" s="1" t="s">
        <v>24</v>
      </c>
      <c r="H219" s="1">
        <v>1</v>
      </c>
      <c r="I219" s="1" t="s">
        <v>3319</v>
      </c>
      <c r="J219" s="1"/>
      <c r="K219" s="1">
        <v>1161300</v>
      </c>
      <c r="L219" s="1">
        <v>0</v>
      </c>
      <c r="M219" s="1">
        <v>0</v>
      </c>
      <c r="N219" s="1">
        <v>127743</v>
      </c>
      <c r="O219" s="1">
        <v>0</v>
      </c>
      <c r="P219" s="1">
        <v>0</v>
      </c>
      <c r="Q219" s="1">
        <v>0</v>
      </c>
      <c r="R219" s="1">
        <v>1289043</v>
      </c>
      <c r="S219" s="1">
        <v>207300</v>
      </c>
      <c r="T219" s="1">
        <v>17.850684577629</v>
      </c>
      <c r="U219" t="str">
        <f t="shared" si="3"/>
        <v>Week 3</v>
      </c>
    </row>
    <row r="220" spans="1:21" x14ac:dyDescent="0.25">
      <c r="A220" s="1">
        <v>219</v>
      </c>
      <c r="B220" s="1" t="s">
        <v>3320</v>
      </c>
      <c r="C220" s="2">
        <v>46133</v>
      </c>
      <c r="D220" s="1" t="s">
        <v>421</v>
      </c>
      <c r="E220" s="1" t="s">
        <v>203</v>
      </c>
      <c r="F220" s="1" t="s">
        <v>23</v>
      </c>
      <c r="G220" s="1" t="s">
        <v>24</v>
      </c>
      <c r="H220" s="1">
        <v>1</v>
      </c>
      <c r="I220" s="1" t="s">
        <v>1047</v>
      </c>
      <c r="J220" s="1" t="s">
        <v>26</v>
      </c>
      <c r="K220" s="1">
        <v>1212456</v>
      </c>
      <c r="L220" s="1">
        <v>0</v>
      </c>
      <c r="M220" s="1">
        <v>0</v>
      </c>
      <c r="N220" s="1">
        <v>133370.16</v>
      </c>
      <c r="O220" s="1">
        <v>0</v>
      </c>
      <c r="P220" s="1">
        <v>0</v>
      </c>
      <c r="Q220" s="1">
        <v>0</v>
      </c>
      <c r="R220" s="1">
        <v>1345826.16</v>
      </c>
      <c r="S220" s="1">
        <v>512456</v>
      </c>
      <c r="T220" s="1">
        <v>42.265946145675002</v>
      </c>
      <c r="U220" t="str">
        <f t="shared" si="3"/>
        <v>Week 3</v>
      </c>
    </row>
    <row r="221" spans="1:21" x14ac:dyDescent="0.25">
      <c r="A221" s="1">
        <v>220</v>
      </c>
      <c r="B221" s="1" t="s">
        <v>3321</v>
      </c>
      <c r="C221" s="2">
        <v>46133</v>
      </c>
      <c r="D221" s="1" t="s">
        <v>53</v>
      </c>
      <c r="E221" s="1" t="s">
        <v>2414</v>
      </c>
      <c r="F221" s="1" t="s">
        <v>30</v>
      </c>
      <c r="G221" s="1" t="s">
        <v>24</v>
      </c>
      <c r="H221" s="1">
        <v>1</v>
      </c>
      <c r="I221" s="1" t="s">
        <v>3322</v>
      </c>
      <c r="J221" s="1" t="s">
        <v>26</v>
      </c>
      <c r="K221" s="1">
        <v>14110628</v>
      </c>
      <c r="L221" s="1">
        <v>0</v>
      </c>
      <c r="M221" s="1">
        <v>0</v>
      </c>
      <c r="N221" s="1">
        <v>1552169.08</v>
      </c>
      <c r="O221" s="1">
        <v>0</v>
      </c>
      <c r="P221" s="1">
        <v>0</v>
      </c>
      <c r="Q221" s="1">
        <v>0</v>
      </c>
      <c r="R221" s="1">
        <v>15662797.08</v>
      </c>
      <c r="S221" s="1">
        <v>3765402.7747746999</v>
      </c>
      <c r="T221" s="1">
        <v>26.684870260734002</v>
      </c>
      <c r="U221" t="str">
        <f t="shared" si="3"/>
        <v>Week 3</v>
      </c>
    </row>
    <row r="222" spans="1:21" x14ac:dyDescent="0.25">
      <c r="A222" s="1">
        <v>221</v>
      </c>
      <c r="B222" s="1" t="s">
        <v>3323</v>
      </c>
      <c r="C222" s="2">
        <v>46133</v>
      </c>
      <c r="D222" s="1" t="s">
        <v>33</v>
      </c>
      <c r="E222" s="1" t="s">
        <v>34</v>
      </c>
      <c r="F222" s="1" t="s">
        <v>23</v>
      </c>
      <c r="G222" s="1" t="s">
        <v>24</v>
      </c>
      <c r="H222" s="1">
        <v>1</v>
      </c>
      <c r="I222" s="1" t="s">
        <v>672</v>
      </c>
      <c r="J222" s="1"/>
      <c r="K222" s="1">
        <v>55741193</v>
      </c>
      <c r="L222" s="1">
        <v>0</v>
      </c>
      <c r="M222" s="1">
        <v>0</v>
      </c>
      <c r="N222" s="1">
        <v>6131531.2300000004</v>
      </c>
      <c r="O222" s="1">
        <v>0</v>
      </c>
      <c r="P222" s="1">
        <v>0</v>
      </c>
      <c r="Q222" s="1">
        <v>0</v>
      </c>
      <c r="R222" s="1">
        <v>61872724.229999997</v>
      </c>
      <c r="S222" s="1">
        <v>16447144.050000001</v>
      </c>
      <c r="T222" s="1">
        <v>29.506264873088998</v>
      </c>
      <c r="U222" t="str">
        <f t="shared" si="3"/>
        <v>Week 3</v>
      </c>
    </row>
    <row r="223" spans="1:21" x14ac:dyDescent="0.25">
      <c r="A223" s="1">
        <v>222</v>
      </c>
      <c r="B223" s="1" t="s">
        <v>2326</v>
      </c>
      <c r="C223" s="2">
        <v>46133</v>
      </c>
      <c r="D223" s="1" t="s">
        <v>306</v>
      </c>
      <c r="E223" s="1" t="s">
        <v>99</v>
      </c>
      <c r="F223" s="1" t="s">
        <v>30</v>
      </c>
      <c r="G223" s="1" t="s">
        <v>24</v>
      </c>
      <c r="H223" s="1">
        <v>1</v>
      </c>
      <c r="I223" s="1" t="s">
        <v>3324</v>
      </c>
      <c r="J223" s="1" t="s">
        <v>26</v>
      </c>
      <c r="K223" s="1">
        <v>21939000</v>
      </c>
      <c r="L223" s="1">
        <v>0</v>
      </c>
      <c r="M223" s="1">
        <v>0</v>
      </c>
      <c r="N223" s="1">
        <v>2413290</v>
      </c>
      <c r="O223" s="1">
        <v>0</v>
      </c>
      <c r="P223" s="1">
        <v>0</v>
      </c>
      <c r="Q223" s="1">
        <v>0</v>
      </c>
      <c r="R223" s="1">
        <v>24352290</v>
      </c>
      <c r="S223" s="1">
        <v>639000</v>
      </c>
      <c r="T223" s="1">
        <v>2.9126213592233001</v>
      </c>
      <c r="U223" t="str">
        <f t="shared" si="3"/>
        <v>Week 3</v>
      </c>
    </row>
    <row r="224" spans="1:21" x14ac:dyDescent="0.25">
      <c r="A224" s="1">
        <v>223</v>
      </c>
      <c r="B224" s="1" t="s">
        <v>3325</v>
      </c>
      <c r="C224" s="2">
        <v>46132</v>
      </c>
      <c r="D224" s="1" t="s">
        <v>2316</v>
      </c>
      <c r="E224" s="1" t="s">
        <v>192</v>
      </c>
      <c r="F224" s="1" t="s">
        <v>23</v>
      </c>
      <c r="G224" s="1" t="s">
        <v>24</v>
      </c>
      <c r="H224" s="1">
        <v>1</v>
      </c>
      <c r="I224" s="1" t="s">
        <v>3326</v>
      </c>
      <c r="J224" s="1" t="s">
        <v>56</v>
      </c>
      <c r="K224" s="1">
        <v>78398132</v>
      </c>
      <c r="L224" s="1">
        <v>0</v>
      </c>
      <c r="M224" s="1">
        <v>0</v>
      </c>
      <c r="N224" s="1">
        <v>8623794.5199999996</v>
      </c>
      <c r="O224" s="1">
        <v>0</v>
      </c>
      <c r="P224" s="1">
        <v>0</v>
      </c>
      <c r="Q224" s="1">
        <v>0</v>
      </c>
      <c r="R224" s="1">
        <v>87021926.519999996</v>
      </c>
      <c r="S224" s="1">
        <v>-650967.09909916006</v>
      </c>
      <c r="T224" s="1">
        <v>-0.83033496142378005</v>
      </c>
      <c r="U224" t="str">
        <f t="shared" si="3"/>
        <v>Week 3</v>
      </c>
    </row>
    <row r="225" spans="1:21" x14ac:dyDescent="0.25">
      <c r="A225" s="1">
        <v>224</v>
      </c>
      <c r="B225" s="1" t="s">
        <v>3327</v>
      </c>
      <c r="C225" s="2">
        <v>46132</v>
      </c>
      <c r="D225" s="1" t="s">
        <v>2319</v>
      </c>
      <c r="E225" s="1" t="s">
        <v>192</v>
      </c>
      <c r="F225" s="1" t="s">
        <v>30</v>
      </c>
      <c r="G225" s="1" t="s">
        <v>24</v>
      </c>
      <c r="H225" s="1">
        <v>1</v>
      </c>
      <c r="I225" s="1" t="s">
        <v>3328</v>
      </c>
      <c r="J225" s="1" t="s">
        <v>56</v>
      </c>
      <c r="K225" s="1">
        <v>162636230</v>
      </c>
      <c r="L225" s="1">
        <v>0</v>
      </c>
      <c r="M225" s="1">
        <v>0</v>
      </c>
      <c r="N225" s="1">
        <v>17889985.300000001</v>
      </c>
      <c r="O225" s="1">
        <v>0</v>
      </c>
      <c r="P225" s="1">
        <v>0</v>
      </c>
      <c r="Q225" s="1">
        <v>0</v>
      </c>
      <c r="R225" s="1">
        <v>180526215.30000001</v>
      </c>
      <c r="S225" s="1">
        <v>-14412869.099099001</v>
      </c>
      <c r="T225" s="1">
        <v>-8.8620285277758999</v>
      </c>
      <c r="U225" t="str">
        <f t="shared" si="3"/>
        <v>Week 3</v>
      </c>
    </row>
    <row r="226" spans="1:21" x14ac:dyDescent="0.25">
      <c r="A226" s="1">
        <v>225</v>
      </c>
      <c r="B226" s="1" t="s">
        <v>3329</v>
      </c>
      <c r="C226" s="2">
        <v>46132</v>
      </c>
      <c r="D226" s="1" t="s">
        <v>202</v>
      </c>
      <c r="E226" s="1" t="s">
        <v>203</v>
      </c>
      <c r="F226" s="1" t="s">
        <v>30</v>
      </c>
      <c r="G226" s="1" t="s">
        <v>24</v>
      </c>
      <c r="H226" s="1">
        <v>1</v>
      </c>
      <c r="I226" s="1" t="s">
        <v>3330</v>
      </c>
      <c r="J226" s="1" t="s">
        <v>26</v>
      </c>
      <c r="K226" s="1">
        <v>18788000</v>
      </c>
      <c r="L226" s="1">
        <v>0</v>
      </c>
      <c r="M226" s="1">
        <v>0</v>
      </c>
      <c r="N226" s="1">
        <v>2066680</v>
      </c>
      <c r="O226" s="1">
        <v>0</v>
      </c>
      <c r="P226" s="1">
        <v>0</v>
      </c>
      <c r="Q226" s="1">
        <v>0</v>
      </c>
      <c r="R226" s="1">
        <v>20854680</v>
      </c>
      <c r="S226" s="1">
        <v>587830</v>
      </c>
      <c r="T226" s="1">
        <v>3.1287523951458001</v>
      </c>
      <c r="U226" t="str">
        <f t="shared" si="3"/>
        <v>Week 3</v>
      </c>
    </row>
    <row r="227" spans="1:21" x14ac:dyDescent="0.25">
      <c r="A227" s="1">
        <v>226</v>
      </c>
      <c r="B227" s="1" t="s">
        <v>3331</v>
      </c>
      <c r="C227" s="2">
        <v>46132</v>
      </c>
      <c r="D227" s="1" t="s">
        <v>53</v>
      </c>
      <c r="E227" s="1" t="s">
        <v>54</v>
      </c>
      <c r="F227" s="1" t="s">
        <v>30</v>
      </c>
      <c r="G227" s="1" t="s">
        <v>24</v>
      </c>
      <c r="H227" s="1">
        <v>1</v>
      </c>
      <c r="I227" s="1" t="s">
        <v>3332</v>
      </c>
      <c r="J227" s="1"/>
      <c r="K227" s="1">
        <v>5927200</v>
      </c>
      <c r="L227" s="1">
        <v>0</v>
      </c>
      <c r="M227" s="1">
        <v>0</v>
      </c>
      <c r="N227" s="1">
        <v>651992</v>
      </c>
      <c r="O227" s="1">
        <v>0</v>
      </c>
      <c r="P227" s="1">
        <v>0</v>
      </c>
      <c r="Q227" s="1">
        <v>0</v>
      </c>
      <c r="R227" s="1">
        <v>6579192</v>
      </c>
      <c r="S227" s="1">
        <v>2059461.2162162</v>
      </c>
      <c r="T227" s="1">
        <v>34.745937647053999</v>
      </c>
      <c r="U227" t="str">
        <f t="shared" si="3"/>
        <v>Week 3</v>
      </c>
    </row>
    <row r="228" spans="1:21" x14ac:dyDescent="0.25">
      <c r="A228" s="1">
        <v>227</v>
      </c>
      <c r="B228" s="1" t="s">
        <v>3333</v>
      </c>
      <c r="C228" s="2">
        <v>46132</v>
      </c>
      <c r="D228" s="1" t="s">
        <v>306</v>
      </c>
      <c r="E228" s="1" t="s">
        <v>99</v>
      </c>
      <c r="F228" s="1" t="s">
        <v>30</v>
      </c>
      <c r="G228" s="1" t="s">
        <v>24</v>
      </c>
      <c r="H228" s="1">
        <v>1</v>
      </c>
      <c r="I228" s="1" t="s">
        <v>3334</v>
      </c>
      <c r="J228" s="1"/>
      <c r="K228" s="1">
        <v>75405330</v>
      </c>
      <c r="L228" s="1">
        <v>0</v>
      </c>
      <c r="M228" s="1">
        <v>0</v>
      </c>
      <c r="N228" s="1">
        <v>8294586.2999999998</v>
      </c>
      <c r="O228" s="1">
        <v>0</v>
      </c>
      <c r="P228" s="1">
        <v>0</v>
      </c>
      <c r="Q228" s="1">
        <v>0</v>
      </c>
      <c r="R228" s="1">
        <v>83699916.299999997</v>
      </c>
      <c r="S228" s="1">
        <v>23080330</v>
      </c>
      <c r="T228" s="1">
        <v>30.608353547421999</v>
      </c>
      <c r="U228" t="str">
        <f t="shared" si="3"/>
        <v>Week 3</v>
      </c>
    </row>
    <row r="229" spans="1:21" x14ac:dyDescent="0.25">
      <c r="A229" s="1">
        <v>228</v>
      </c>
      <c r="B229" s="1" t="s">
        <v>3335</v>
      </c>
      <c r="C229" s="2">
        <v>46132</v>
      </c>
      <c r="D229" s="1" t="s">
        <v>53</v>
      </c>
      <c r="E229" s="1" t="s">
        <v>54</v>
      </c>
      <c r="F229" s="1" t="s">
        <v>30</v>
      </c>
      <c r="G229" s="1" t="s">
        <v>24</v>
      </c>
      <c r="H229" s="1">
        <v>1</v>
      </c>
      <c r="I229" s="1" t="s">
        <v>3336</v>
      </c>
      <c r="J229" s="1"/>
      <c r="K229" s="1">
        <v>2932650</v>
      </c>
      <c r="L229" s="1">
        <v>0</v>
      </c>
      <c r="M229" s="1">
        <v>0</v>
      </c>
      <c r="N229" s="1">
        <v>322591.5</v>
      </c>
      <c r="O229" s="1">
        <v>0</v>
      </c>
      <c r="P229" s="1">
        <v>0</v>
      </c>
      <c r="Q229" s="1">
        <v>0</v>
      </c>
      <c r="R229" s="1">
        <v>3255241.5</v>
      </c>
      <c r="S229" s="1">
        <v>1458055.4</v>
      </c>
      <c r="T229" s="1">
        <v>49.718016128757</v>
      </c>
      <c r="U229" t="str">
        <f t="shared" si="3"/>
        <v>Week 3</v>
      </c>
    </row>
    <row r="230" spans="1:21" x14ac:dyDescent="0.25">
      <c r="A230" s="1">
        <v>229</v>
      </c>
      <c r="B230" s="1" t="s">
        <v>3337</v>
      </c>
      <c r="C230" s="2">
        <v>46132</v>
      </c>
      <c r="D230" s="1" t="s">
        <v>53</v>
      </c>
      <c r="E230" s="1" t="s">
        <v>54</v>
      </c>
      <c r="F230" s="1" t="s">
        <v>30</v>
      </c>
      <c r="G230" s="1" t="s">
        <v>24</v>
      </c>
      <c r="H230" s="1">
        <v>1</v>
      </c>
      <c r="I230" s="1" t="s">
        <v>3338</v>
      </c>
      <c r="J230" s="1"/>
      <c r="K230" s="1">
        <v>2695000</v>
      </c>
      <c r="L230" s="1">
        <v>0</v>
      </c>
      <c r="M230" s="1">
        <v>0</v>
      </c>
      <c r="N230" s="1">
        <v>296450</v>
      </c>
      <c r="O230" s="1">
        <v>0</v>
      </c>
      <c r="P230" s="1">
        <v>0</v>
      </c>
      <c r="Q230" s="1">
        <v>0</v>
      </c>
      <c r="R230" s="1">
        <v>2991450</v>
      </c>
      <c r="S230" s="1">
        <v>302034.23423423001</v>
      </c>
      <c r="T230" s="1">
        <v>0</v>
      </c>
      <c r="U230" t="str">
        <f t="shared" si="3"/>
        <v>Week 3</v>
      </c>
    </row>
    <row r="231" spans="1:21" x14ac:dyDescent="0.25">
      <c r="A231" s="1">
        <v>230</v>
      </c>
      <c r="B231" s="1" t="s">
        <v>3339</v>
      </c>
      <c r="C231" s="2">
        <v>46132</v>
      </c>
      <c r="D231" s="1" t="s">
        <v>53</v>
      </c>
      <c r="E231" s="1" t="s">
        <v>54</v>
      </c>
      <c r="F231" s="1" t="s">
        <v>30</v>
      </c>
      <c r="G231" s="1" t="s">
        <v>24</v>
      </c>
      <c r="H231" s="1">
        <v>1</v>
      </c>
      <c r="I231" s="1" t="s">
        <v>3340</v>
      </c>
      <c r="J231" s="1"/>
      <c r="K231" s="1">
        <v>16405793.880000001</v>
      </c>
      <c r="L231" s="1">
        <v>0</v>
      </c>
      <c r="M231" s="1">
        <v>0</v>
      </c>
      <c r="N231" s="1">
        <v>1804637.3267999999</v>
      </c>
      <c r="O231" s="1">
        <v>0</v>
      </c>
      <c r="P231" s="1">
        <v>0</v>
      </c>
      <c r="Q231" s="1">
        <v>0</v>
      </c>
      <c r="R231" s="1">
        <v>18210431.206799999</v>
      </c>
      <c r="S231" s="1">
        <v>3359393.88</v>
      </c>
      <c r="T231" s="1">
        <v>20.476874844169</v>
      </c>
      <c r="U231" t="str">
        <f t="shared" si="3"/>
        <v>Week 3</v>
      </c>
    </row>
    <row r="232" spans="1:21" x14ac:dyDescent="0.25">
      <c r="A232" s="1">
        <v>231</v>
      </c>
      <c r="B232" s="1" t="s">
        <v>3341</v>
      </c>
      <c r="C232" s="2">
        <v>46132</v>
      </c>
      <c r="D232" s="1" t="s">
        <v>21</v>
      </c>
      <c r="E232" s="1" t="s">
        <v>22</v>
      </c>
      <c r="F232" s="1" t="s">
        <v>30</v>
      </c>
      <c r="G232" s="1" t="s">
        <v>24</v>
      </c>
      <c r="H232" s="1">
        <v>1</v>
      </c>
      <c r="I232" s="1" t="s">
        <v>3342</v>
      </c>
      <c r="J232" s="1" t="s">
        <v>26</v>
      </c>
      <c r="K232" s="1">
        <v>5540372.1799999997</v>
      </c>
      <c r="L232" s="1">
        <v>0</v>
      </c>
      <c r="M232" s="1">
        <v>0</v>
      </c>
      <c r="N232" s="1">
        <v>609440.93980000005</v>
      </c>
      <c r="O232" s="1">
        <v>0</v>
      </c>
      <c r="P232" s="1">
        <v>0</v>
      </c>
      <c r="Q232" s="1">
        <v>0</v>
      </c>
      <c r="R232" s="1">
        <v>6149813.1198000005</v>
      </c>
      <c r="S232" s="1">
        <v>1365015.9908110001</v>
      </c>
      <c r="T232" s="1">
        <v>24.637622644531</v>
      </c>
      <c r="U232" t="str">
        <f t="shared" si="3"/>
        <v>Week 3</v>
      </c>
    </row>
    <row r="233" spans="1:21" x14ac:dyDescent="0.25">
      <c r="A233" s="1">
        <v>232</v>
      </c>
      <c r="B233" s="1" t="s">
        <v>3343</v>
      </c>
      <c r="C233" s="2">
        <v>46132</v>
      </c>
      <c r="D233" s="1" t="s">
        <v>2979</v>
      </c>
      <c r="E233" s="1" t="s">
        <v>203</v>
      </c>
      <c r="F233" s="1" t="s">
        <v>23</v>
      </c>
      <c r="G233" s="1" t="s">
        <v>24</v>
      </c>
      <c r="H233" s="1">
        <v>1</v>
      </c>
      <c r="I233" s="1" t="s">
        <v>3344</v>
      </c>
      <c r="J233" s="1" t="s">
        <v>56</v>
      </c>
      <c r="K233" s="1">
        <v>321360000</v>
      </c>
      <c r="L233" s="1">
        <v>0</v>
      </c>
      <c r="M233" s="1">
        <v>0</v>
      </c>
      <c r="N233" s="1">
        <v>35349600</v>
      </c>
      <c r="O233" s="1">
        <v>0</v>
      </c>
      <c r="P233" s="1">
        <v>0</v>
      </c>
      <c r="Q233" s="1">
        <v>0</v>
      </c>
      <c r="R233" s="1">
        <v>356709600</v>
      </c>
      <c r="S233" s="1">
        <v>11680000</v>
      </c>
      <c r="T233" s="1">
        <v>3.6345531491163001</v>
      </c>
      <c r="U233" t="str">
        <f t="shared" si="3"/>
        <v>Week 3</v>
      </c>
    </row>
    <row r="234" spans="1:21" x14ac:dyDescent="0.25">
      <c r="A234" s="1">
        <v>233</v>
      </c>
      <c r="B234" s="1" t="s">
        <v>3345</v>
      </c>
      <c r="C234" s="2">
        <v>46132</v>
      </c>
      <c r="D234" s="1" t="s">
        <v>28</v>
      </c>
      <c r="E234" s="1" t="s">
        <v>29</v>
      </c>
      <c r="F234" s="1" t="s">
        <v>30</v>
      </c>
      <c r="G234" s="1" t="s">
        <v>24</v>
      </c>
      <c r="H234" s="1">
        <v>1</v>
      </c>
      <c r="I234" s="1" t="s">
        <v>3346</v>
      </c>
      <c r="J234" s="1"/>
      <c r="K234" s="1">
        <v>1978987.5</v>
      </c>
      <c r="L234" s="1">
        <v>0</v>
      </c>
      <c r="M234" s="1">
        <v>0</v>
      </c>
      <c r="N234" s="1">
        <v>217688.625</v>
      </c>
      <c r="O234" s="1">
        <v>0</v>
      </c>
      <c r="P234" s="1">
        <v>0</v>
      </c>
      <c r="Q234" s="1">
        <v>0</v>
      </c>
      <c r="R234" s="1">
        <v>2196676.125</v>
      </c>
      <c r="S234" s="1">
        <v>172987.5</v>
      </c>
      <c r="T234" s="1">
        <v>8.7412123623822993</v>
      </c>
      <c r="U234" t="str">
        <f t="shared" si="3"/>
        <v>Week 3</v>
      </c>
    </row>
    <row r="235" spans="1:21" x14ac:dyDescent="0.25">
      <c r="A235" s="1">
        <v>234</v>
      </c>
      <c r="B235" s="1" t="s">
        <v>3347</v>
      </c>
      <c r="C235" s="2">
        <v>46132</v>
      </c>
      <c r="D235" s="1" t="s">
        <v>432</v>
      </c>
      <c r="E235" s="1" t="s">
        <v>116</v>
      </c>
      <c r="F235" s="1" t="s">
        <v>30</v>
      </c>
      <c r="G235" s="1" t="s">
        <v>24</v>
      </c>
      <c r="H235" s="1">
        <v>1</v>
      </c>
      <c r="I235" s="1" t="s">
        <v>3348</v>
      </c>
      <c r="J235" s="1" t="s">
        <v>26</v>
      </c>
      <c r="K235" s="1">
        <v>66612000</v>
      </c>
      <c r="L235" s="1">
        <v>0</v>
      </c>
      <c r="M235" s="1">
        <v>0</v>
      </c>
      <c r="N235" s="1">
        <v>7327320</v>
      </c>
      <c r="O235" s="1">
        <v>0</v>
      </c>
      <c r="P235" s="1">
        <v>0</v>
      </c>
      <c r="Q235" s="1">
        <v>0</v>
      </c>
      <c r="R235" s="1">
        <v>73939320</v>
      </c>
      <c r="S235" s="1">
        <v>1998360</v>
      </c>
      <c r="T235" s="1">
        <v>3</v>
      </c>
      <c r="U235" t="str">
        <f t="shared" si="3"/>
        <v>Week 3</v>
      </c>
    </row>
    <row r="236" spans="1:21" x14ac:dyDescent="0.25">
      <c r="A236" s="1">
        <v>235</v>
      </c>
      <c r="B236" s="1" t="s">
        <v>3349</v>
      </c>
      <c r="C236" s="2">
        <v>46132</v>
      </c>
      <c r="D236" s="1" t="s">
        <v>21</v>
      </c>
      <c r="E236" s="1" t="s">
        <v>22</v>
      </c>
      <c r="F236" s="1" t="s">
        <v>30</v>
      </c>
      <c r="G236" s="1" t="s">
        <v>24</v>
      </c>
      <c r="H236" s="1">
        <v>1</v>
      </c>
      <c r="I236" s="1" t="s">
        <v>3350</v>
      </c>
      <c r="J236" s="1" t="s">
        <v>26</v>
      </c>
      <c r="K236" s="1">
        <v>6619116</v>
      </c>
      <c r="L236" s="1">
        <v>0</v>
      </c>
      <c r="M236" s="1">
        <v>0</v>
      </c>
      <c r="N236" s="1">
        <v>728102.76</v>
      </c>
      <c r="O236" s="1">
        <v>0</v>
      </c>
      <c r="P236" s="1">
        <v>0</v>
      </c>
      <c r="Q236" s="1">
        <v>0</v>
      </c>
      <c r="R236" s="1">
        <v>7347218.7599999998</v>
      </c>
      <c r="S236" s="1">
        <v>585521.5</v>
      </c>
      <c r="T236" s="1">
        <v>8.8459168867867</v>
      </c>
      <c r="U236" t="str">
        <f t="shared" si="3"/>
        <v>Week 3</v>
      </c>
    </row>
    <row r="237" spans="1:21" x14ac:dyDescent="0.25">
      <c r="A237" s="1">
        <v>236</v>
      </c>
      <c r="B237" s="1" t="s">
        <v>3351</v>
      </c>
      <c r="C237" s="2">
        <v>46132</v>
      </c>
      <c r="D237" s="1" t="s">
        <v>248</v>
      </c>
      <c r="E237" s="1" t="s">
        <v>116</v>
      </c>
      <c r="F237" s="1" t="s">
        <v>30</v>
      </c>
      <c r="G237" s="1" t="s">
        <v>24</v>
      </c>
      <c r="H237" s="1">
        <v>1</v>
      </c>
      <c r="I237" s="1" t="s">
        <v>3352</v>
      </c>
      <c r="J237" s="1" t="s">
        <v>26</v>
      </c>
      <c r="K237" s="1">
        <v>40528440</v>
      </c>
      <c r="L237" s="1">
        <v>0</v>
      </c>
      <c r="M237" s="1">
        <v>0</v>
      </c>
      <c r="N237" s="1">
        <v>4458128.4000000004</v>
      </c>
      <c r="O237" s="1">
        <v>0</v>
      </c>
      <c r="P237" s="1">
        <v>0</v>
      </c>
      <c r="Q237" s="1">
        <v>0</v>
      </c>
      <c r="R237" s="1">
        <v>44986568.399999999</v>
      </c>
      <c r="S237" s="1">
        <v>40528440</v>
      </c>
      <c r="T237" s="1">
        <v>100</v>
      </c>
      <c r="U237" t="str">
        <f t="shared" si="3"/>
        <v>Week 3</v>
      </c>
    </row>
    <row r="238" spans="1:21" x14ac:dyDescent="0.25">
      <c r="A238" s="1">
        <v>237</v>
      </c>
      <c r="B238" s="1" t="s">
        <v>3353</v>
      </c>
      <c r="C238" s="2">
        <v>46132</v>
      </c>
      <c r="D238" s="1" t="s">
        <v>98</v>
      </c>
      <c r="E238" s="1" t="s">
        <v>99</v>
      </c>
      <c r="F238" s="1" t="s">
        <v>23</v>
      </c>
      <c r="G238" s="1" t="s">
        <v>24</v>
      </c>
      <c r="H238" s="1">
        <v>1</v>
      </c>
      <c r="I238" s="1" t="s">
        <v>3354</v>
      </c>
      <c r="J238" s="1"/>
      <c r="K238" s="1">
        <v>157689340</v>
      </c>
      <c r="L238" s="1">
        <v>0</v>
      </c>
      <c r="M238" s="1">
        <v>0</v>
      </c>
      <c r="N238" s="1">
        <v>17345827.399999999</v>
      </c>
      <c r="O238" s="1">
        <v>0</v>
      </c>
      <c r="P238" s="1">
        <v>0</v>
      </c>
      <c r="Q238" s="1">
        <v>0</v>
      </c>
      <c r="R238" s="1">
        <v>175035167.40000001</v>
      </c>
      <c r="S238" s="1">
        <v>81574214.003514007</v>
      </c>
      <c r="T238" s="1">
        <v>51.730962919569002</v>
      </c>
      <c r="U238" t="str">
        <f t="shared" si="3"/>
        <v>Week 3</v>
      </c>
    </row>
    <row r="239" spans="1:21" x14ac:dyDescent="0.25">
      <c r="A239" s="1">
        <v>238</v>
      </c>
      <c r="B239" s="1" t="s">
        <v>3355</v>
      </c>
      <c r="C239" s="2">
        <v>46132</v>
      </c>
      <c r="D239" s="1" t="s">
        <v>248</v>
      </c>
      <c r="E239" s="1" t="s">
        <v>116</v>
      </c>
      <c r="F239" s="1" t="s">
        <v>30</v>
      </c>
      <c r="G239" s="1" t="s">
        <v>24</v>
      </c>
      <c r="H239" s="1">
        <v>1</v>
      </c>
      <c r="I239" s="1" t="s">
        <v>3356</v>
      </c>
      <c r="J239" s="1" t="s">
        <v>26</v>
      </c>
      <c r="K239" s="1">
        <v>13832700</v>
      </c>
      <c r="L239" s="1">
        <v>0</v>
      </c>
      <c r="M239" s="1">
        <v>0</v>
      </c>
      <c r="N239" s="1">
        <v>1521597</v>
      </c>
      <c r="O239" s="1">
        <v>0</v>
      </c>
      <c r="P239" s="1">
        <v>0</v>
      </c>
      <c r="Q239" s="1">
        <v>0</v>
      </c>
      <c r="R239" s="1">
        <v>15354297</v>
      </c>
      <c r="S239" s="1">
        <v>-1208741.45</v>
      </c>
      <c r="T239" s="1">
        <v>-8.7382900662921994</v>
      </c>
      <c r="U239" t="str">
        <f t="shared" si="3"/>
        <v>Week 3</v>
      </c>
    </row>
    <row r="240" spans="1:21" x14ac:dyDescent="0.25">
      <c r="A240" s="1">
        <v>239</v>
      </c>
      <c r="B240" s="1" t="s">
        <v>3357</v>
      </c>
      <c r="C240" s="2">
        <v>46132</v>
      </c>
      <c r="D240" s="1" t="s">
        <v>248</v>
      </c>
      <c r="E240" s="1" t="s">
        <v>116</v>
      </c>
      <c r="F240" s="1" t="s">
        <v>30</v>
      </c>
      <c r="G240" s="1" t="s">
        <v>24</v>
      </c>
      <c r="H240" s="1">
        <v>1</v>
      </c>
      <c r="I240" s="1" t="s">
        <v>3358</v>
      </c>
      <c r="J240" s="1" t="s">
        <v>26</v>
      </c>
      <c r="K240" s="1">
        <v>2405700</v>
      </c>
      <c r="L240" s="1">
        <v>0</v>
      </c>
      <c r="M240" s="1">
        <v>0</v>
      </c>
      <c r="N240" s="1">
        <v>264627</v>
      </c>
      <c r="O240" s="1">
        <v>0</v>
      </c>
      <c r="P240" s="1">
        <v>0</v>
      </c>
      <c r="Q240" s="1">
        <v>0</v>
      </c>
      <c r="R240" s="1">
        <v>2670327</v>
      </c>
      <c r="S240" s="1">
        <v>90700</v>
      </c>
      <c r="T240" s="1">
        <v>3.7702124121876999</v>
      </c>
      <c r="U240" t="str">
        <f t="shared" si="3"/>
        <v>Week 3</v>
      </c>
    </row>
    <row r="241" spans="1:21" x14ac:dyDescent="0.25">
      <c r="A241" s="1">
        <v>240</v>
      </c>
      <c r="B241" s="1" t="s">
        <v>3359</v>
      </c>
      <c r="C241" s="2">
        <v>46132</v>
      </c>
      <c r="D241" s="1" t="s">
        <v>33</v>
      </c>
      <c r="E241" s="1" t="s">
        <v>38</v>
      </c>
      <c r="F241" s="1" t="s">
        <v>30</v>
      </c>
      <c r="G241" s="1" t="s">
        <v>24</v>
      </c>
      <c r="H241" s="1">
        <v>1</v>
      </c>
      <c r="I241" s="1" t="s">
        <v>3360</v>
      </c>
      <c r="J241" s="1"/>
      <c r="K241" s="1">
        <v>2250673.88</v>
      </c>
      <c r="L241" s="1">
        <v>0</v>
      </c>
      <c r="M241" s="1">
        <v>0</v>
      </c>
      <c r="N241" s="1">
        <v>247574.1268</v>
      </c>
      <c r="O241" s="1">
        <v>0</v>
      </c>
      <c r="P241" s="1">
        <v>0</v>
      </c>
      <c r="Q241" s="1">
        <v>0</v>
      </c>
      <c r="R241" s="1">
        <v>2498248.0068000001</v>
      </c>
      <c r="S241" s="1">
        <v>1062613.8799999999</v>
      </c>
      <c r="T241" s="1">
        <v>47.213143114274999</v>
      </c>
      <c r="U241" t="str">
        <f t="shared" si="3"/>
        <v>Week 3</v>
      </c>
    </row>
    <row r="242" spans="1:21" x14ac:dyDescent="0.25">
      <c r="A242" s="1">
        <v>241</v>
      </c>
      <c r="B242" s="1" t="s">
        <v>3361</v>
      </c>
      <c r="C242" s="2">
        <v>46132</v>
      </c>
      <c r="D242" s="1" t="s">
        <v>21</v>
      </c>
      <c r="E242" s="1" t="s">
        <v>22</v>
      </c>
      <c r="F242" s="1" t="s">
        <v>30</v>
      </c>
      <c r="G242" s="1" t="s">
        <v>24</v>
      </c>
      <c r="H242" s="1">
        <v>1</v>
      </c>
      <c r="I242" s="1" t="s">
        <v>3362</v>
      </c>
      <c r="J242" s="1" t="s">
        <v>26</v>
      </c>
      <c r="K242" s="1">
        <v>29794060</v>
      </c>
      <c r="L242" s="1">
        <v>0</v>
      </c>
      <c r="M242" s="1">
        <v>0</v>
      </c>
      <c r="N242" s="1">
        <v>3277346.6</v>
      </c>
      <c r="O242" s="1">
        <v>0</v>
      </c>
      <c r="P242" s="1">
        <v>0</v>
      </c>
      <c r="Q242" s="1">
        <v>0</v>
      </c>
      <c r="R242" s="1">
        <v>33071406.600000001</v>
      </c>
      <c r="S242" s="1">
        <v>6384808.5608176999</v>
      </c>
      <c r="T242" s="1">
        <v>21.429803661594001</v>
      </c>
      <c r="U242" t="str">
        <f t="shared" si="3"/>
        <v>Week 3</v>
      </c>
    </row>
    <row r="243" spans="1:21" x14ac:dyDescent="0.25">
      <c r="A243" s="1">
        <v>242</v>
      </c>
      <c r="B243" s="1" t="s">
        <v>3363</v>
      </c>
      <c r="C243" s="2">
        <v>46132</v>
      </c>
      <c r="D243" s="1" t="s">
        <v>248</v>
      </c>
      <c r="E243" s="1" t="s">
        <v>116</v>
      </c>
      <c r="F243" s="1" t="s">
        <v>30</v>
      </c>
      <c r="G243" s="1" t="s">
        <v>24</v>
      </c>
      <c r="H243" s="1">
        <v>1</v>
      </c>
      <c r="I243" s="1" t="s">
        <v>3364</v>
      </c>
      <c r="J243" s="1" t="s">
        <v>26</v>
      </c>
      <c r="K243" s="1">
        <v>4811400</v>
      </c>
      <c r="L243" s="1">
        <v>0</v>
      </c>
      <c r="M243" s="1">
        <v>0</v>
      </c>
      <c r="N243" s="1">
        <v>529254</v>
      </c>
      <c r="O243" s="1">
        <v>0</v>
      </c>
      <c r="P243" s="1">
        <v>0</v>
      </c>
      <c r="Q243" s="1">
        <v>0</v>
      </c>
      <c r="R243" s="1">
        <v>5340654</v>
      </c>
      <c r="S243" s="1">
        <v>181400</v>
      </c>
      <c r="T243" s="1">
        <v>3.7702124121876999</v>
      </c>
      <c r="U243" t="str">
        <f t="shared" si="3"/>
        <v>Week 3</v>
      </c>
    </row>
    <row r="244" spans="1:21" x14ac:dyDescent="0.25">
      <c r="A244" s="1">
        <v>243</v>
      </c>
      <c r="B244" s="1" t="s">
        <v>2821</v>
      </c>
      <c r="C244" s="2">
        <v>46132</v>
      </c>
      <c r="D244" s="1" t="s">
        <v>21</v>
      </c>
      <c r="E244" s="1" t="s">
        <v>22</v>
      </c>
      <c r="F244" s="1" t="s">
        <v>30</v>
      </c>
      <c r="G244" s="1" t="s">
        <v>24</v>
      </c>
      <c r="H244" s="1">
        <v>1</v>
      </c>
      <c r="I244" s="1" t="s">
        <v>2822</v>
      </c>
      <c r="J244" s="1" t="s">
        <v>26</v>
      </c>
      <c r="K244" s="1">
        <v>48678000</v>
      </c>
      <c r="L244" s="1">
        <v>0</v>
      </c>
      <c r="M244" s="1">
        <v>0</v>
      </c>
      <c r="N244" s="1">
        <v>5354580</v>
      </c>
      <c r="O244" s="1">
        <v>0</v>
      </c>
      <c r="P244" s="1">
        <v>0</v>
      </c>
      <c r="Q244" s="1">
        <v>0</v>
      </c>
      <c r="R244" s="1">
        <v>54032580</v>
      </c>
      <c r="S244" s="1">
        <v>1460340</v>
      </c>
      <c r="T244" s="1">
        <v>3</v>
      </c>
      <c r="U244" t="str">
        <f t="shared" si="3"/>
        <v>Week 3</v>
      </c>
    </row>
    <row r="245" spans="1:21" x14ac:dyDescent="0.25">
      <c r="A245" s="1">
        <v>244</v>
      </c>
      <c r="B245" s="1" t="s">
        <v>2823</v>
      </c>
      <c r="C245" s="2">
        <v>46132</v>
      </c>
      <c r="D245" s="1" t="s">
        <v>33</v>
      </c>
      <c r="E245" s="1" t="s">
        <v>38</v>
      </c>
      <c r="F245" s="1" t="s">
        <v>30</v>
      </c>
      <c r="G245" s="1" t="s">
        <v>24</v>
      </c>
      <c r="H245" s="1">
        <v>1</v>
      </c>
      <c r="I245" s="1" t="s">
        <v>2824</v>
      </c>
      <c r="J245" s="1"/>
      <c r="K245" s="1">
        <v>686000</v>
      </c>
      <c r="L245" s="1">
        <v>0</v>
      </c>
      <c r="M245" s="1">
        <v>0</v>
      </c>
      <c r="N245" s="1">
        <v>75460</v>
      </c>
      <c r="O245" s="1">
        <v>0</v>
      </c>
      <c r="P245" s="1">
        <v>0</v>
      </c>
      <c r="Q245" s="1">
        <v>0</v>
      </c>
      <c r="R245" s="1">
        <v>761460</v>
      </c>
      <c r="S245" s="1">
        <v>77891.891891891995</v>
      </c>
      <c r="T245" s="1">
        <v>11.354503191238001</v>
      </c>
      <c r="U245" t="str">
        <f t="shared" si="3"/>
        <v>Week 3</v>
      </c>
    </row>
    <row r="246" spans="1:21" x14ac:dyDescent="0.25">
      <c r="A246" s="1">
        <v>245</v>
      </c>
      <c r="B246" s="1" t="s">
        <v>2825</v>
      </c>
      <c r="C246" s="2">
        <v>46132</v>
      </c>
      <c r="D246" s="1" t="s">
        <v>33</v>
      </c>
      <c r="E246" s="1" t="s">
        <v>34</v>
      </c>
      <c r="F246" s="1" t="s">
        <v>30</v>
      </c>
      <c r="G246" s="1" t="s">
        <v>24</v>
      </c>
      <c r="H246" s="1">
        <v>1</v>
      </c>
      <c r="I246" s="1" t="s">
        <v>2826</v>
      </c>
      <c r="J246" s="1"/>
      <c r="K246" s="1">
        <v>1136800</v>
      </c>
      <c r="L246" s="1">
        <v>0</v>
      </c>
      <c r="M246" s="1">
        <v>0</v>
      </c>
      <c r="N246" s="1">
        <v>125048</v>
      </c>
      <c r="O246" s="1">
        <v>0</v>
      </c>
      <c r="P246" s="1">
        <v>0</v>
      </c>
      <c r="Q246" s="1">
        <v>0</v>
      </c>
      <c r="R246" s="1">
        <v>1261848</v>
      </c>
      <c r="S246" s="1">
        <v>176800</v>
      </c>
      <c r="T246" s="1">
        <v>15.552427867699</v>
      </c>
      <c r="U246" t="str">
        <f t="shared" si="3"/>
        <v>Week 3</v>
      </c>
    </row>
    <row r="247" spans="1:21" x14ac:dyDescent="0.25">
      <c r="A247" s="1">
        <v>246</v>
      </c>
      <c r="B247" s="1" t="s">
        <v>2827</v>
      </c>
      <c r="C247" s="2">
        <v>46132</v>
      </c>
      <c r="D247" s="1" t="s">
        <v>33</v>
      </c>
      <c r="E247" s="1" t="s">
        <v>34</v>
      </c>
      <c r="F247" s="1" t="s">
        <v>30</v>
      </c>
      <c r="G247" s="1" t="s">
        <v>24</v>
      </c>
      <c r="H247" s="1">
        <v>1</v>
      </c>
      <c r="I247" s="1" t="s">
        <v>2828</v>
      </c>
      <c r="J247" s="1"/>
      <c r="K247" s="1">
        <v>12978000</v>
      </c>
      <c r="L247" s="1">
        <v>0</v>
      </c>
      <c r="M247" s="1">
        <v>0</v>
      </c>
      <c r="N247" s="1">
        <v>1427580</v>
      </c>
      <c r="O247" s="1">
        <v>0</v>
      </c>
      <c r="P247" s="1">
        <v>0</v>
      </c>
      <c r="Q247" s="1">
        <v>0</v>
      </c>
      <c r="R247" s="1">
        <v>14405580</v>
      </c>
      <c r="S247" s="1">
        <v>828000</v>
      </c>
      <c r="T247" s="1">
        <v>6.3800277392510001</v>
      </c>
      <c r="U247" t="str">
        <f t="shared" si="3"/>
        <v>Week 3</v>
      </c>
    </row>
    <row r="248" spans="1:21" x14ac:dyDescent="0.25">
      <c r="A248" s="1">
        <v>247</v>
      </c>
      <c r="B248" s="1" t="s">
        <v>47</v>
      </c>
      <c r="C248" s="2">
        <v>46132</v>
      </c>
      <c r="D248" s="1" t="s">
        <v>306</v>
      </c>
      <c r="E248" s="1" t="s">
        <v>99</v>
      </c>
      <c r="F248" s="1" t="s">
        <v>30</v>
      </c>
      <c r="G248" s="1" t="s">
        <v>24</v>
      </c>
      <c r="H248" s="1">
        <v>1</v>
      </c>
      <c r="I248" s="1" t="s">
        <v>3365</v>
      </c>
      <c r="J248" s="1" t="s">
        <v>26</v>
      </c>
      <c r="K248" s="1">
        <v>89610000</v>
      </c>
      <c r="L248" s="1">
        <v>0</v>
      </c>
      <c r="M248" s="1">
        <v>0</v>
      </c>
      <c r="N248" s="1">
        <v>9857100</v>
      </c>
      <c r="O248" s="1">
        <v>0</v>
      </c>
      <c r="P248" s="1">
        <v>0</v>
      </c>
      <c r="Q248" s="1">
        <v>0</v>
      </c>
      <c r="R248" s="1">
        <v>99467100</v>
      </c>
      <c r="S248" s="1">
        <v>17922000</v>
      </c>
      <c r="T248" s="1">
        <v>20</v>
      </c>
      <c r="U248" t="str">
        <f t="shared" si="3"/>
        <v>Week 3</v>
      </c>
    </row>
    <row r="249" spans="1:21" x14ac:dyDescent="0.25">
      <c r="A249" s="1">
        <v>248</v>
      </c>
      <c r="B249" s="1" t="s">
        <v>1148</v>
      </c>
      <c r="C249" s="2">
        <v>46130</v>
      </c>
      <c r="D249" s="1" t="s">
        <v>98</v>
      </c>
      <c r="E249" s="1" t="s">
        <v>99</v>
      </c>
      <c r="F249" s="1" t="s">
        <v>23</v>
      </c>
      <c r="G249" s="1" t="s">
        <v>24</v>
      </c>
      <c r="H249" s="1">
        <v>1</v>
      </c>
      <c r="I249" s="1" t="s">
        <v>2829</v>
      </c>
      <c r="J249" s="1"/>
      <c r="K249" s="1">
        <v>50860000</v>
      </c>
      <c r="L249" s="1">
        <v>0</v>
      </c>
      <c r="M249" s="1">
        <v>0</v>
      </c>
      <c r="N249" s="1">
        <v>5594600</v>
      </c>
      <c r="O249" s="1">
        <v>0</v>
      </c>
      <c r="P249" s="1">
        <v>0</v>
      </c>
      <c r="Q249" s="1">
        <v>0</v>
      </c>
      <c r="R249" s="1">
        <v>56454600</v>
      </c>
      <c r="S249" s="1">
        <v>24406000</v>
      </c>
      <c r="T249" s="1">
        <v>47.986629964609001</v>
      </c>
      <c r="U249" t="str">
        <f t="shared" si="3"/>
        <v>Week 3</v>
      </c>
    </row>
    <row r="250" spans="1:21" x14ac:dyDescent="0.25">
      <c r="A250" s="1">
        <v>249</v>
      </c>
      <c r="B250" s="1" t="s">
        <v>582</v>
      </c>
      <c r="C250" s="2">
        <v>46130</v>
      </c>
      <c r="D250" s="1" t="s">
        <v>98</v>
      </c>
      <c r="E250" s="1" t="s">
        <v>99</v>
      </c>
      <c r="F250" s="1" t="s">
        <v>30</v>
      </c>
      <c r="G250" s="1" t="s">
        <v>24</v>
      </c>
      <c r="H250" s="1">
        <v>1</v>
      </c>
      <c r="I250" s="1" t="s">
        <v>3366</v>
      </c>
      <c r="J250" s="1"/>
      <c r="K250" s="1">
        <v>22372802</v>
      </c>
      <c r="L250" s="1">
        <v>0</v>
      </c>
      <c r="M250" s="1">
        <v>0</v>
      </c>
      <c r="N250" s="1">
        <v>2461008.2200000002</v>
      </c>
      <c r="O250" s="1">
        <v>0</v>
      </c>
      <c r="P250" s="1">
        <v>0</v>
      </c>
      <c r="Q250" s="1">
        <v>0</v>
      </c>
      <c r="R250" s="1">
        <v>24833810.219999999</v>
      </c>
      <c r="S250" s="1">
        <v>5555504.6500000004</v>
      </c>
      <c r="T250" s="1">
        <v>24.831510375857</v>
      </c>
      <c r="U250" t="str">
        <f t="shared" si="3"/>
        <v>Week 3</v>
      </c>
    </row>
    <row r="251" spans="1:21" x14ac:dyDescent="0.25">
      <c r="A251" s="1">
        <v>250</v>
      </c>
      <c r="B251" s="1" t="s">
        <v>2830</v>
      </c>
      <c r="C251" s="2">
        <v>46130</v>
      </c>
      <c r="D251" s="1" t="s">
        <v>53</v>
      </c>
      <c r="E251" s="1" t="s">
        <v>54</v>
      </c>
      <c r="F251" s="1" t="s">
        <v>30</v>
      </c>
      <c r="G251" s="1" t="s">
        <v>24</v>
      </c>
      <c r="H251" s="1">
        <v>1</v>
      </c>
      <c r="I251" s="1" t="s">
        <v>2831</v>
      </c>
      <c r="J251" s="1"/>
      <c r="K251" s="1">
        <v>38912500</v>
      </c>
      <c r="L251" s="1">
        <v>0</v>
      </c>
      <c r="M251" s="1">
        <v>0</v>
      </c>
      <c r="N251" s="1">
        <v>4280375</v>
      </c>
      <c r="O251" s="1">
        <v>0</v>
      </c>
      <c r="P251" s="1">
        <v>0</v>
      </c>
      <c r="Q251" s="1">
        <v>0</v>
      </c>
      <c r="R251" s="1">
        <v>43192875</v>
      </c>
      <c r="S251" s="1">
        <v>8562500</v>
      </c>
      <c r="T251" s="1">
        <v>22.004497269514999</v>
      </c>
      <c r="U251" t="str">
        <f t="shared" si="3"/>
        <v>Week 3</v>
      </c>
    </row>
    <row r="252" spans="1:21" x14ac:dyDescent="0.25">
      <c r="A252" s="1">
        <v>251</v>
      </c>
      <c r="B252" s="1" t="s">
        <v>2832</v>
      </c>
      <c r="C252" s="2">
        <v>46130</v>
      </c>
      <c r="D252" s="1" t="s">
        <v>21</v>
      </c>
      <c r="E252" s="1" t="s">
        <v>22</v>
      </c>
      <c r="F252" s="1" t="s">
        <v>30</v>
      </c>
      <c r="G252" s="1" t="s">
        <v>24</v>
      </c>
      <c r="H252" s="1">
        <v>1</v>
      </c>
      <c r="I252" s="1" t="s">
        <v>2833</v>
      </c>
      <c r="J252" s="1"/>
      <c r="K252" s="1">
        <v>11498594</v>
      </c>
      <c r="L252" s="1">
        <v>0</v>
      </c>
      <c r="M252" s="1">
        <v>0</v>
      </c>
      <c r="N252" s="1">
        <v>1264845.3400000001</v>
      </c>
      <c r="O252" s="1">
        <v>0</v>
      </c>
      <c r="P252" s="1">
        <v>0</v>
      </c>
      <c r="Q252" s="1">
        <v>0</v>
      </c>
      <c r="R252" s="1">
        <v>12763439.34</v>
      </c>
      <c r="S252" s="1">
        <v>554561.9</v>
      </c>
      <c r="T252" s="1">
        <v>4.8228670392224</v>
      </c>
      <c r="U252" t="str">
        <f t="shared" si="3"/>
        <v>Week 3</v>
      </c>
    </row>
    <row r="253" spans="1:21" x14ac:dyDescent="0.25">
      <c r="A253" s="1">
        <v>252</v>
      </c>
      <c r="B253" s="1" t="s">
        <v>2834</v>
      </c>
      <c r="C253" s="2">
        <v>46130</v>
      </c>
      <c r="D253" s="1" t="s">
        <v>21</v>
      </c>
      <c r="E253" s="1" t="s">
        <v>38</v>
      </c>
      <c r="F253" s="1" t="s">
        <v>30</v>
      </c>
      <c r="G253" s="1" t="s">
        <v>24</v>
      </c>
      <c r="H253" s="1">
        <v>1</v>
      </c>
      <c r="I253" s="1" t="s">
        <v>2835</v>
      </c>
      <c r="J253" s="1"/>
      <c r="K253" s="1">
        <v>622489</v>
      </c>
      <c r="L253" s="1">
        <v>0</v>
      </c>
      <c r="M253" s="1">
        <v>0</v>
      </c>
      <c r="N253" s="1">
        <v>68473.789999999994</v>
      </c>
      <c r="O253" s="1">
        <v>0</v>
      </c>
      <c r="P253" s="1">
        <v>0</v>
      </c>
      <c r="Q253" s="1">
        <v>0</v>
      </c>
      <c r="R253" s="1">
        <v>690962.79</v>
      </c>
      <c r="S253" s="1">
        <v>33100.9</v>
      </c>
      <c r="T253" s="1">
        <v>5.3175076186085004</v>
      </c>
      <c r="U253" t="str">
        <f t="shared" si="3"/>
        <v>Week 3</v>
      </c>
    </row>
    <row r="254" spans="1:21" x14ac:dyDescent="0.25">
      <c r="A254" s="1">
        <v>253</v>
      </c>
      <c r="B254" s="1" t="s">
        <v>2836</v>
      </c>
      <c r="C254" s="2">
        <v>46130</v>
      </c>
      <c r="D254" s="1" t="s">
        <v>21</v>
      </c>
      <c r="E254" s="1" t="s">
        <v>22</v>
      </c>
      <c r="F254" s="1" t="s">
        <v>30</v>
      </c>
      <c r="G254" s="1" t="s">
        <v>24</v>
      </c>
      <c r="H254" s="1">
        <v>1</v>
      </c>
      <c r="I254" s="1" t="s">
        <v>2837</v>
      </c>
      <c r="J254" s="1"/>
      <c r="K254" s="1">
        <v>5228300</v>
      </c>
      <c r="L254" s="1">
        <v>0</v>
      </c>
      <c r="M254" s="1">
        <v>0</v>
      </c>
      <c r="N254" s="1">
        <v>575113</v>
      </c>
      <c r="O254" s="1">
        <v>0</v>
      </c>
      <c r="P254" s="1">
        <v>0</v>
      </c>
      <c r="Q254" s="1">
        <v>0</v>
      </c>
      <c r="R254" s="1">
        <v>5803413</v>
      </c>
      <c r="S254" s="1">
        <v>968300</v>
      </c>
      <c r="T254" s="1">
        <v>18.520360346575</v>
      </c>
      <c r="U254" t="str">
        <f t="shared" si="3"/>
        <v>Week 3</v>
      </c>
    </row>
    <row r="255" spans="1:21" x14ac:dyDescent="0.25">
      <c r="A255" s="1">
        <v>254</v>
      </c>
      <c r="B255" s="1" t="s">
        <v>2838</v>
      </c>
      <c r="C255" s="2">
        <v>46130</v>
      </c>
      <c r="D255" s="1" t="s">
        <v>53</v>
      </c>
      <c r="E255" s="1" t="s">
        <v>54</v>
      </c>
      <c r="F255" s="1" t="s">
        <v>30</v>
      </c>
      <c r="G255" s="1" t="s">
        <v>24</v>
      </c>
      <c r="H255" s="1">
        <v>1</v>
      </c>
      <c r="I255" s="1" t="s">
        <v>2839</v>
      </c>
      <c r="J255" s="1"/>
      <c r="K255" s="1">
        <v>3090000</v>
      </c>
      <c r="L255" s="1">
        <v>0</v>
      </c>
      <c r="M255" s="1">
        <v>0</v>
      </c>
      <c r="N255" s="1">
        <v>339900</v>
      </c>
      <c r="O255" s="1">
        <v>0</v>
      </c>
      <c r="P255" s="1">
        <v>0</v>
      </c>
      <c r="Q255" s="1">
        <v>0</v>
      </c>
      <c r="R255" s="1">
        <v>3429900</v>
      </c>
      <c r="S255" s="1">
        <v>-2510000</v>
      </c>
      <c r="T255" s="1">
        <v>-81.229773462783001</v>
      </c>
      <c r="U255" t="str">
        <f t="shared" si="3"/>
        <v>Week 3</v>
      </c>
    </row>
    <row r="256" spans="1:21" x14ac:dyDescent="0.25">
      <c r="A256" s="1">
        <v>255</v>
      </c>
      <c r="B256" s="1" t="s">
        <v>2840</v>
      </c>
      <c r="C256" s="2">
        <v>46130</v>
      </c>
      <c r="D256" s="1" t="s">
        <v>21</v>
      </c>
      <c r="E256" s="1" t="s">
        <v>22</v>
      </c>
      <c r="F256" s="1" t="s">
        <v>39</v>
      </c>
      <c r="G256" s="1" t="s">
        <v>24</v>
      </c>
      <c r="H256" s="1">
        <v>1</v>
      </c>
      <c r="I256" s="1" t="s">
        <v>2841</v>
      </c>
      <c r="J256" s="1" t="s">
        <v>26</v>
      </c>
      <c r="K256" s="1">
        <v>29556447.199999999</v>
      </c>
      <c r="L256" s="1">
        <v>0</v>
      </c>
      <c r="M256" s="1">
        <v>0</v>
      </c>
      <c r="N256" s="1">
        <v>3251209.1919999998</v>
      </c>
      <c r="O256" s="1">
        <v>0</v>
      </c>
      <c r="P256" s="1">
        <v>0</v>
      </c>
      <c r="Q256" s="1">
        <v>0</v>
      </c>
      <c r="R256" s="1">
        <v>32807656.392000001</v>
      </c>
      <c r="S256" s="1">
        <v>2602447.2000000002</v>
      </c>
      <c r="T256" s="1">
        <v>8.8050068480490005</v>
      </c>
      <c r="U256" t="str">
        <f t="shared" si="3"/>
        <v>Week 3</v>
      </c>
    </row>
    <row r="257" spans="1:21" x14ac:dyDescent="0.25">
      <c r="A257" s="1">
        <v>256</v>
      </c>
      <c r="B257" s="1" t="s">
        <v>2842</v>
      </c>
      <c r="C257" s="2">
        <v>46130</v>
      </c>
      <c r="D257" s="1" t="s">
        <v>21</v>
      </c>
      <c r="E257" s="1" t="s">
        <v>22</v>
      </c>
      <c r="F257" s="1" t="s">
        <v>30</v>
      </c>
      <c r="G257" s="1" t="s">
        <v>24</v>
      </c>
      <c r="H257" s="1">
        <v>1</v>
      </c>
      <c r="I257" s="1" t="s">
        <v>2843</v>
      </c>
      <c r="J257" s="1"/>
      <c r="K257" s="1">
        <v>2598362</v>
      </c>
      <c r="L257" s="1">
        <v>0</v>
      </c>
      <c r="M257" s="1">
        <v>0</v>
      </c>
      <c r="N257" s="1">
        <v>285819.82</v>
      </c>
      <c r="O257" s="1">
        <v>0</v>
      </c>
      <c r="P257" s="1">
        <v>0</v>
      </c>
      <c r="Q257" s="1">
        <v>0</v>
      </c>
      <c r="R257" s="1">
        <v>2884181.82</v>
      </c>
      <c r="S257" s="1">
        <v>145721.48000000001</v>
      </c>
      <c r="T257" s="1">
        <v>5.6082054771429002</v>
      </c>
      <c r="U257" t="str">
        <f t="shared" si="3"/>
        <v>Week 3</v>
      </c>
    </row>
    <row r="258" spans="1:21" x14ac:dyDescent="0.25">
      <c r="A258" s="1">
        <v>257</v>
      </c>
      <c r="B258" s="1" t="s">
        <v>2844</v>
      </c>
      <c r="C258" s="2">
        <v>46130</v>
      </c>
      <c r="D258" s="1" t="s">
        <v>33</v>
      </c>
      <c r="E258" s="1" t="s">
        <v>34</v>
      </c>
      <c r="F258" s="1" t="s">
        <v>30</v>
      </c>
      <c r="G258" s="1" t="s">
        <v>24</v>
      </c>
      <c r="H258" s="1">
        <v>1</v>
      </c>
      <c r="I258" s="1" t="s">
        <v>2845</v>
      </c>
      <c r="J258" s="1"/>
      <c r="K258" s="1">
        <v>9114000</v>
      </c>
      <c r="L258" s="1">
        <v>0</v>
      </c>
      <c r="M258" s="1">
        <v>0</v>
      </c>
      <c r="N258" s="1">
        <v>1002540</v>
      </c>
      <c r="O258" s="1">
        <v>0</v>
      </c>
      <c r="P258" s="1">
        <v>0</v>
      </c>
      <c r="Q258" s="1">
        <v>0</v>
      </c>
      <c r="R258" s="1">
        <v>10116540</v>
      </c>
      <c r="S258" s="1">
        <v>3798684.6847000001</v>
      </c>
      <c r="T258" s="1">
        <v>41.679665182137001</v>
      </c>
      <c r="U258" t="str">
        <f t="shared" si="3"/>
        <v>Week 3</v>
      </c>
    </row>
    <row r="259" spans="1:21" x14ac:dyDescent="0.25">
      <c r="A259" s="1">
        <v>258</v>
      </c>
      <c r="B259" s="1" t="s">
        <v>2846</v>
      </c>
      <c r="C259" s="2">
        <v>46130</v>
      </c>
      <c r="D259" s="1" t="s">
        <v>33</v>
      </c>
      <c r="E259" s="1" t="s">
        <v>34</v>
      </c>
      <c r="F259" s="1" t="s">
        <v>30</v>
      </c>
      <c r="G259" s="1" t="s">
        <v>24</v>
      </c>
      <c r="H259" s="1">
        <v>1</v>
      </c>
      <c r="I259" s="1" t="s">
        <v>644</v>
      </c>
      <c r="J259" s="1"/>
      <c r="K259" s="1">
        <v>539000</v>
      </c>
      <c r="L259" s="1">
        <v>0</v>
      </c>
      <c r="M259" s="1">
        <v>0</v>
      </c>
      <c r="N259" s="1">
        <v>59290</v>
      </c>
      <c r="O259" s="1">
        <v>0</v>
      </c>
      <c r="P259" s="1">
        <v>0</v>
      </c>
      <c r="Q259" s="1">
        <v>0</v>
      </c>
      <c r="R259" s="1">
        <v>598290</v>
      </c>
      <c r="S259" s="1">
        <v>329000</v>
      </c>
      <c r="T259" s="1">
        <v>61.038961038960998</v>
      </c>
      <c r="U259" t="str">
        <f t="shared" ref="U259:U322" si="4">"Week "&amp;IF(DAY(C259)&gt;=24,4,INT((DAY(C259)-1)/7)+1)</f>
        <v>Week 3</v>
      </c>
    </row>
    <row r="260" spans="1:21" x14ac:dyDescent="0.25">
      <c r="A260" s="1">
        <v>259</v>
      </c>
      <c r="B260" s="1" t="s">
        <v>2847</v>
      </c>
      <c r="C260" s="2">
        <v>46130</v>
      </c>
      <c r="D260" s="1" t="s">
        <v>53</v>
      </c>
      <c r="E260" s="1" t="s">
        <v>54</v>
      </c>
      <c r="F260" s="1" t="s">
        <v>23</v>
      </c>
      <c r="G260" s="1" t="s">
        <v>24</v>
      </c>
      <c r="H260" s="1">
        <v>1</v>
      </c>
      <c r="I260" s="1" t="s">
        <v>2848</v>
      </c>
      <c r="J260" s="1"/>
      <c r="K260" s="1">
        <v>36355000</v>
      </c>
      <c r="L260" s="1">
        <v>0</v>
      </c>
      <c r="M260" s="1">
        <v>0</v>
      </c>
      <c r="N260" s="1">
        <v>3999050</v>
      </c>
      <c r="O260" s="1">
        <v>0</v>
      </c>
      <c r="P260" s="1">
        <v>0</v>
      </c>
      <c r="Q260" s="1">
        <v>0</v>
      </c>
      <c r="R260" s="1">
        <v>40354050</v>
      </c>
      <c r="S260" s="1">
        <v>6290000</v>
      </c>
      <c r="T260" s="1">
        <v>17.301609132168998</v>
      </c>
      <c r="U260" t="str">
        <f t="shared" si="4"/>
        <v>Week 3</v>
      </c>
    </row>
    <row r="261" spans="1:21" x14ac:dyDescent="0.25">
      <c r="A261" s="1">
        <v>260</v>
      </c>
      <c r="B261" s="1" t="s">
        <v>2849</v>
      </c>
      <c r="C261" s="2">
        <v>46130</v>
      </c>
      <c r="D261" s="1" t="s">
        <v>21</v>
      </c>
      <c r="E261" s="1" t="s">
        <v>22</v>
      </c>
      <c r="F261" s="1" t="s">
        <v>30</v>
      </c>
      <c r="G261" s="1" t="s">
        <v>24</v>
      </c>
      <c r="H261" s="1">
        <v>1</v>
      </c>
      <c r="I261" s="1" t="s">
        <v>3367</v>
      </c>
      <c r="J261" s="1" t="s">
        <v>26</v>
      </c>
      <c r="K261" s="1">
        <v>717360</v>
      </c>
      <c r="L261" s="1">
        <v>0</v>
      </c>
      <c r="M261" s="1">
        <v>0</v>
      </c>
      <c r="N261" s="1">
        <v>78909.600000000006</v>
      </c>
      <c r="O261" s="1">
        <v>0</v>
      </c>
      <c r="P261" s="1">
        <v>0</v>
      </c>
      <c r="Q261" s="1">
        <v>0</v>
      </c>
      <c r="R261" s="1">
        <v>796269.6</v>
      </c>
      <c r="S261" s="1">
        <v>162725.08558558999</v>
      </c>
      <c r="T261" s="1">
        <v>22.683880560052</v>
      </c>
      <c r="U261" t="str">
        <f t="shared" si="4"/>
        <v>Week 3</v>
      </c>
    </row>
    <row r="262" spans="1:21" x14ac:dyDescent="0.25">
      <c r="A262" s="1">
        <v>261</v>
      </c>
      <c r="B262" s="1" t="s">
        <v>2850</v>
      </c>
      <c r="C262" s="2">
        <v>46130</v>
      </c>
      <c r="D262" s="1" t="s">
        <v>53</v>
      </c>
      <c r="E262" s="1" t="s">
        <v>54</v>
      </c>
      <c r="F262" s="1" t="s">
        <v>30</v>
      </c>
      <c r="G262" s="1" t="s">
        <v>24</v>
      </c>
      <c r="H262" s="1">
        <v>1</v>
      </c>
      <c r="I262" s="1" t="s">
        <v>2851</v>
      </c>
      <c r="J262" s="1"/>
      <c r="K262" s="1">
        <v>14698280</v>
      </c>
      <c r="L262" s="1">
        <v>0</v>
      </c>
      <c r="M262" s="1">
        <v>0</v>
      </c>
      <c r="N262" s="1">
        <v>1616810.8</v>
      </c>
      <c r="O262" s="1">
        <v>0</v>
      </c>
      <c r="P262" s="1">
        <v>0</v>
      </c>
      <c r="Q262" s="1">
        <v>0</v>
      </c>
      <c r="R262" s="1">
        <v>16315090.800000001</v>
      </c>
      <c r="S262" s="1">
        <v>3818384.1369440001</v>
      </c>
      <c r="T262" s="1">
        <v>25.978441946568001</v>
      </c>
      <c r="U262" t="str">
        <f t="shared" si="4"/>
        <v>Week 3</v>
      </c>
    </row>
    <row r="263" spans="1:21" x14ac:dyDescent="0.25">
      <c r="A263" s="1">
        <v>262</v>
      </c>
      <c r="B263" s="1" t="s">
        <v>2852</v>
      </c>
      <c r="C263" s="2">
        <v>46130</v>
      </c>
      <c r="D263" s="1" t="s">
        <v>33</v>
      </c>
      <c r="E263" s="1" t="s">
        <v>34</v>
      </c>
      <c r="F263" s="1" t="s">
        <v>30</v>
      </c>
      <c r="G263" s="1" t="s">
        <v>24</v>
      </c>
      <c r="H263" s="1">
        <v>1</v>
      </c>
      <c r="I263" s="1" t="s">
        <v>2853</v>
      </c>
      <c r="J263" s="1"/>
      <c r="K263" s="1">
        <v>1422945</v>
      </c>
      <c r="L263" s="1">
        <v>0</v>
      </c>
      <c r="M263" s="1">
        <v>0</v>
      </c>
      <c r="N263" s="1">
        <v>156523.95000000001</v>
      </c>
      <c r="O263" s="1">
        <v>0</v>
      </c>
      <c r="P263" s="1">
        <v>0</v>
      </c>
      <c r="Q263" s="1">
        <v>0</v>
      </c>
      <c r="R263" s="1">
        <v>1579468.95</v>
      </c>
      <c r="S263" s="1">
        <v>105631.65</v>
      </c>
      <c r="T263" s="1">
        <v>7.4234527687296001</v>
      </c>
      <c r="U263" t="str">
        <f t="shared" si="4"/>
        <v>Week 3</v>
      </c>
    </row>
    <row r="264" spans="1:21" x14ac:dyDescent="0.25">
      <c r="A264" s="1">
        <v>263</v>
      </c>
      <c r="B264" s="1" t="s">
        <v>2854</v>
      </c>
      <c r="C264" s="2">
        <v>46130</v>
      </c>
      <c r="D264" s="1" t="s">
        <v>21</v>
      </c>
      <c r="E264" s="1" t="s">
        <v>38</v>
      </c>
      <c r="F264" s="1" t="s">
        <v>30</v>
      </c>
      <c r="G264" s="1" t="s">
        <v>24</v>
      </c>
      <c r="H264" s="1">
        <v>1</v>
      </c>
      <c r="I264" s="1" t="s">
        <v>2855</v>
      </c>
      <c r="J264" s="1"/>
      <c r="K264" s="1">
        <v>2782342.5</v>
      </c>
      <c r="L264" s="1">
        <v>0</v>
      </c>
      <c r="M264" s="1">
        <v>0</v>
      </c>
      <c r="N264" s="1">
        <v>306057.67499999999</v>
      </c>
      <c r="O264" s="1">
        <v>0</v>
      </c>
      <c r="P264" s="1">
        <v>0</v>
      </c>
      <c r="Q264" s="1">
        <v>0</v>
      </c>
      <c r="R264" s="1">
        <v>3088400.1749999998</v>
      </c>
      <c r="S264" s="1">
        <v>1531050.2747748001</v>
      </c>
      <c r="T264" s="1">
        <v>55.027383392762999</v>
      </c>
      <c r="U264" t="str">
        <f t="shared" si="4"/>
        <v>Week 3</v>
      </c>
    </row>
    <row r="265" spans="1:21" x14ac:dyDescent="0.25">
      <c r="A265" s="1">
        <v>264</v>
      </c>
      <c r="B265" s="1" t="s">
        <v>2856</v>
      </c>
      <c r="C265" s="2">
        <v>46130</v>
      </c>
      <c r="D265" s="1" t="s">
        <v>21</v>
      </c>
      <c r="E265" s="1" t="s">
        <v>38</v>
      </c>
      <c r="F265" s="1" t="s">
        <v>30</v>
      </c>
      <c r="G265" s="1" t="s">
        <v>24</v>
      </c>
      <c r="H265" s="1">
        <v>1</v>
      </c>
      <c r="I265" s="1" t="s">
        <v>2857</v>
      </c>
      <c r="J265" s="1"/>
      <c r="K265" s="1">
        <v>3193330</v>
      </c>
      <c r="L265" s="1">
        <v>0</v>
      </c>
      <c r="M265" s="1">
        <v>0</v>
      </c>
      <c r="N265" s="1">
        <v>351266.3</v>
      </c>
      <c r="O265" s="1">
        <v>0</v>
      </c>
      <c r="P265" s="1">
        <v>0</v>
      </c>
      <c r="Q265" s="1">
        <v>0</v>
      </c>
      <c r="R265" s="1">
        <v>3544596.3</v>
      </c>
      <c r="S265" s="1">
        <v>1466122.7927928001</v>
      </c>
      <c r="T265" s="1">
        <v>45.912035173089002</v>
      </c>
      <c r="U265" t="str">
        <f t="shared" si="4"/>
        <v>Week 3</v>
      </c>
    </row>
    <row r="266" spans="1:21" x14ac:dyDescent="0.25">
      <c r="A266" s="1">
        <v>265</v>
      </c>
      <c r="B266" s="1" t="s">
        <v>2858</v>
      </c>
      <c r="C266" s="2">
        <v>46130</v>
      </c>
      <c r="D266" s="1" t="s">
        <v>53</v>
      </c>
      <c r="E266" s="1" t="s">
        <v>54</v>
      </c>
      <c r="F266" s="1" t="s">
        <v>30</v>
      </c>
      <c r="G266" s="1" t="s">
        <v>24</v>
      </c>
      <c r="H266" s="1">
        <v>1</v>
      </c>
      <c r="I266" s="1" t="s">
        <v>2859</v>
      </c>
      <c r="J266" s="1"/>
      <c r="K266" s="1">
        <v>4480780</v>
      </c>
      <c r="L266" s="1">
        <v>0</v>
      </c>
      <c r="M266" s="1">
        <v>0</v>
      </c>
      <c r="N266" s="1">
        <v>492885.8</v>
      </c>
      <c r="O266" s="1">
        <v>0</v>
      </c>
      <c r="P266" s="1">
        <v>0</v>
      </c>
      <c r="Q266" s="1">
        <v>0</v>
      </c>
      <c r="R266" s="1">
        <v>4973665.8</v>
      </c>
      <c r="S266" s="1">
        <v>689788.95135400002</v>
      </c>
      <c r="T266" s="1">
        <v>15.394394532961</v>
      </c>
      <c r="U266" t="str">
        <f t="shared" si="4"/>
        <v>Week 3</v>
      </c>
    </row>
    <row r="267" spans="1:21" x14ac:dyDescent="0.25">
      <c r="A267" s="1">
        <v>266</v>
      </c>
      <c r="B267" s="1" t="s">
        <v>2860</v>
      </c>
      <c r="C267" s="2">
        <v>46130</v>
      </c>
      <c r="D267" s="1" t="s">
        <v>53</v>
      </c>
      <c r="E267" s="1" t="s">
        <v>54</v>
      </c>
      <c r="F267" s="1" t="s">
        <v>30</v>
      </c>
      <c r="G267" s="1" t="s">
        <v>24</v>
      </c>
      <c r="H267" s="1">
        <v>1</v>
      </c>
      <c r="I267" s="1" t="s">
        <v>2861</v>
      </c>
      <c r="J267" s="1"/>
      <c r="K267" s="1">
        <v>5340700</v>
      </c>
      <c r="L267" s="1">
        <v>0</v>
      </c>
      <c r="M267" s="1">
        <v>0</v>
      </c>
      <c r="N267" s="1">
        <v>587477</v>
      </c>
      <c r="O267" s="1">
        <v>0</v>
      </c>
      <c r="P267" s="1">
        <v>0</v>
      </c>
      <c r="Q267" s="1">
        <v>0</v>
      </c>
      <c r="R267" s="1">
        <v>5928177</v>
      </c>
      <c r="S267" s="1">
        <v>-124072</v>
      </c>
      <c r="T267" s="1">
        <v>-2.3231411612709998</v>
      </c>
      <c r="U267" t="str">
        <f t="shared" si="4"/>
        <v>Week 3</v>
      </c>
    </row>
    <row r="268" spans="1:21" x14ac:dyDescent="0.25">
      <c r="A268" s="1">
        <v>267</v>
      </c>
      <c r="B268" s="1" t="s">
        <v>2862</v>
      </c>
      <c r="C268" s="2">
        <v>46130</v>
      </c>
      <c r="D268" s="1" t="s">
        <v>21</v>
      </c>
      <c r="E268" s="1" t="s">
        <v>38</v>
      </c>
      <c r="F268" s="1" t="s">
        <v>30</v>
      </c>
      <c r="G268" s="1" t="s">
        <v>24</v>
      </c>
      <c r="H268" s="1">
        <v>1</v>
      </c>
      <c r="I268" s="1" t="s">
        <v>2863</v>
      </c>
      <c r="J268" s="1"/>
      <c r="K268" s="1">
        <v>13440798</v>
      </c>
      <c r="L268" s="1">
        <v>0</v>
      </c>
      <c r="M268" s="1">
        <v>0</v>
      </c>
      <c r="N268" s="1">
        <v>1478487.78</v>
      </c>
      <c r="O268" s="1">
        <v>0</v>
      </c>
      <c r="P268" s="1">
        <v>0</v>
      </c>
      <c r="Q268" s="1">
        <v>0</v>
      </c>
      <c r="R268" s="1">
        <v>14919285.779999999</v>
      </c>
      <c r="S268" s="1">
        <v>2511232.6846846999</v>
      </c>
      <c r="T268" s="1">
        <v>18.683657656969</v>
      </c>
      <c r="U268" t="str">
        <f t="shared" si="4"/>
        <v>Week 3</v>
      </c>
    </row>
    <row r="269" spans="1:21" x14ac:dyDescent="0.25">
      <c r="A269" s="1">
        <v>268</v>
      </c>
      <c r="B269" s="1" t="s">
        <v>2864</v>
      </c>
      <c r="C269" s="2">
        <v>46130</v>
      </c>
      <c r="D269" s="1" t="s">
        <v>53</v>
      </c>
      <c r="E269" s="1" t="s">
        <v>54</v>
      </c>
      <c r="F269" s="1" t="s">
        <v>30</v>
      </c>
      <c r="G269" s="1" t="s">
        <v>24</v>
      </c>
      <c r="H269" s="1">
        <v>1</v>
      </c>
      <c r="I269" s="1" t="s">
        <v>2865</v>
      </c>
      <c r="J269" s="1"/>
      <c r="K269" s="1">
        <v>1370960</v>
      </c>
      <c r="L269" s="1">
        <v>0</v>
      </c>
      <c r="M269" s="1">
        <v>0</v>
      </c>
      <c r="N269" s="1">
        <v>150805.6</v>
      </c>
      <c r="O269" s="1">
        <v>0</v>
      </c>
      <c r="P269" s="1">
        <v>0</v>
      </c>
      <c r="Q269" s="1">
        <v>0</v>
      </c>
      <c r="R269" s="1">
        <v>1521765.6</v>
      </c>
      <c r="S269" s="1">
        <v>202491.51711799999</v>
      </c>
      <c r="T269" s="1">
        <v>14.770052891259001</v>
      </c>
      <c r="U269" t="str">
        <f t="shared" si="4"/>
        <v>Week 3</v>
      </c>
    </row>
    <row r="270" spans="1:21" x14ac:dyDescent="0.25">
      <c r="A270" s="1">
        <v>269</v>
      </c>
      <c r="B270" s="1" t="s">
        <v>2866</v>
      </c>
      <c r="C270" s="2">
        <v>46130</v>
      </c>
      <c r="D270" s="1" t="s">
        <v>53</v>
      </c>
      <c r="E270" s="1" t="s">
        <v>54</v>
      </c>
      <c r="F270" s="1" t="s">
        <v>30</v>
      </c>
      <c r="G270" s="1" t="s">
        <v>24</v>
      </c>
      <c r="H270" s="1">
        <v>1</v>
      </c>
      <c r="I270" s="1" t="s">
        <v>2867</v>
      </c>
      <c r="J270" s="1"/>
      <c r="K270" s="1">
        <v>46986800</v>
      </c>
      <c r="L270" s="1">
        <v>0</v>
      </c>
      <c r="M270" s="1">
        <v>0</v>
      </c>
      <c r="N270" s="1">
        <v>5168548</v>
      </c>
      <c r="O270" s="1">
        <v>0</v>
      </c>
      <c r="P270" s="1">
        <v>0</v>
      </c>
      <c r="Q270" s="1">
        <v>0</v>
      </c>
      <c r="R270" s="1">
        <v>52155348</v>
      </c>
      <c r="S270" s="1">
        <v>8659948.2883100007</v>
      </c>
      <c r="T270" s="1">
        <v>18.430598143116999</v>
      </c>
      <c r="U270" t="str">
        <f t="shared" si="4"/>
        <v>Week 3</v>
      </c>
    </row>
    <row r="271" spans="1:21" x14ac:dyDescent="0.25">
      <c r="A271" s="1">
        <v>270</v>
      </c>
      <c r="B271" s="1" t="s">
        <v>2868</v>
      </c>
      <c r="C271" s="2">
        <v>46130</v>
      </c>
      <c r="D271" s="1" t="s">
        <v>98</v>
      </c>
      <c r="E271" s="1" t="s">
        <v>99</v>
      </c>
      <c r="F271" s="1" t="s">
        <v>23</v>
      </c>
      <c r="G271" s="1" t="s">
        <v>24</v>
      </c>
      <c r="H271" s="1">
        <v>1</v>
      </c>
      <c r="I271" s="1" t="s">
        <v>2869</v>
      </c>
      <c r="J271" s="1"/>
      <c r="K271" s="1">
        <v>6365100</v>
      </c>
      <c r="L271" s="1">
        <v>0</v>
      </c>
      <c r="M271" s="1">
        <v>0</v>
      </c>
      <c r="N271" s="1">
        <v>700161</v>
      </c>
      <c r="O271" s="1">
        <v>0</v>
      </c>
      <c r="P271" s="1">
        <v>0</v>
      </c>
      <c r="Q271" s="1">
        <v>0</v>
      </c>
      <c r="R271" s="1">
        <v>7065261</v>
      </c>
      <c r="S271" s="1">
        <v>2196749.5499999998</v>
      </c>
      <c r="T271" s="1">
        <v>34.512412216618998</v>
      </c>
      <c r="U271" t="str">
        <f t="shared" si="4"/>
        <v>Week 3</v>
      </c>
    </row>
    <row r="272" spans="1:21" x14ac:dyDescent="0.25">
      <c r="A272" s="1">
        <v>271</v>
      </c>
      <c r="B272" s="1" t="s">
        <v>2870</v>
      </c>
      <c r="C272" s="2">
        <v>46130</v>
      </c>
      <c r="D272" s="1" t="s">
        <v>21</v>
      </c>
      <c r="E272" s="1" t="s">
        <v>38</v>
      </c>
      <c r="F272" s="1" t="s">
        <v>39</v>
      </c>
      <c r="G272" s="1" t="s">
        <v>24</v>
      </c>
      <c r="H272" s="1">
        <v>1</v>
      </c>
      <c r="I272" s="1" t="s">
        <v>2871</v>
      </c>
      <c r="J272" s="1"/>
      <c r="K272" s="1">
        <v>2063581600</v>
      </c>
      <c r="L272" s="1">
        <v>0</v>
      </c>
      <c r="M272" s="1">
        <v>0</v>
      </c>
      <c r="N272" s="1">
        <v>226993976</v>
      </c>
      <c r="O272" s="1">
        <v>0</v>
      </c>
      <c r="P272" s="1">
        <v>0</v>
      </c>
      <c r="Q272" s="1">
        <v>0</v>
      </c>
      <c r="R272" s="1">
        <v>2290575576</v>
      </c>
      <c r="S272" s="1">
        <v>1017429600</v>
      </c>
      <c r="T272" s="1">
        <v>49.304064351028998</v>
      </c>
      <c r="U272" t="str">
        <f t="shared" si="4"/>
        <v>Week 3</v>
      </c>
    </row>
    <row r="273" spans="1:21" x14ac:dyDescent="0.25">
      <c r="A273" s="1">
        <v>272</v>
      </c>
      <c r="B273" s="1" t="s">
        <v>2872</v>
      </c>
      <c r="C273" s="2">
        <v>46130</v>
      </c>
      <c r="D273" s="1" t="s">
        <v>53</v>
      </c>
      <c r="E273" s="1" t="s">
        <v>54</v>
      </c>
      <c r="F273" s="1" t="s">
        <v>30</v>
      </c>
      <c r="G273" s="1" t="s">
        <v>24</v>
      </c>
      <c r="H273" s="1">
        <v>1</v>
      </c>
      <c r="I273" s="1" t="s">
        <v>2873</v>
      </c>
      <c r="J273" s="1"/>
      <c r="K273" s="1">
        <v>10221360</v>
      </c>
      <c r="L273" s="1">
        <v>0</v>
      </c>
      <c r="M273" s="1">
        <v>0</v>
      </c>
      <c r="N273" s="1">
        <v>1124349.6000000001</v>
      </c>
      <c r="O273" s="1">
        <v>0</v>
      </c>
      <c r="P273" s="1">
        <v>0</v>
      </c>
      <c r="Q273" s="1">
        <v>0</v>
      </c>
      <c r="R273" s="1">
        <v>11345709.6</v>
      </c>
      <c r="S273" s="1">
        <v>1351070.933338</v>
      </c>
      <c r="T273" s="1">
        <v>13.218113180027</v>
      </c>
      <c r="U273" t="str">
        <f t="shared" si="4"/>
        <v>Week 3</v>
      </c>
    </row>
    <row r="274" spans="1:21" x14ac:dyDescent="0.25">
      <c r="A274" s="1">
        <v>273</v>
      </c>
      <c r="B274" s="1" t="s">
        <v>2874</v>
      </c>
      <c r="C274" s="2">
        <v>46130</v>
      </c>
      <c r="D274" s="1" t="s">
        <v>98</v>
      </c>
      <c r="E274" s="1" t="s">
        <v>99</v>
      </c>
      <c r="F274" s="1" t="s">
        <v>23</v>
      </c>
      <c r="G274" s="1" t="s">
        <v>24</v>
      </c>
      <c r="H274" s="1">
        <v>1</v>
      </c>
      <c r="I274" s="1" t="s">
        <v>2875</v>
      </c>
      <c r="J274" s="1"/>
      <c r="K274" s="1">
        <v>3126200</v>
      </c>
      <c r="L274" s="1">
        <v>0</v>
      </c>
      <c r="M274" s="1">
        <v>0</v>
      </c>
      <c r="N274" s="1">
        <v>343882</v>
      </c>
      <c r="O274" s="1">
        <v>0</v>
      </c>
      <c r="P274" s="1">
        <v>0</v>
      </c>
      <c r="Q274" s="1">
        <v>0</v>
      </c>
      <c r="R274" s="1">
        <v>3470082</v>
      </c>
      <c r="S274" s="1">
        <v>1229082.71</v>
      </c>
      <c r="T274" s="1">
        <v>39.315549548973003</v>
      </c>
      <c r="U274" t="str">
        <f t="shared" si="4"/>
        <v>Week 3</v>
      </c>
    </row>
    <row r="275" spans="1:21" x14ac:dyDescent="0.25">
      <c r="A275" s="1">
        <v>274</v>
      </c>
      <c r="B275" s="1" t="s">
        <v>2876</v>
      </c>
      <c r="C275" s="2">
        <v>46130</v>
      </c>
      <c r="D275" s="1" t="s">
        <v>53</v>
      </c>
      <c r="E275" s="1" t="s">
        <v>54</v>
      </c>
      <c r="F275" s="1" t="s">
        <v>30</v>
      </c>
      <c r="G275" s="1" t="s">
        <v>24</v>
      </c>
      <c r="H275" s="1">
        <v>1</v>
      </c>
      <c r="I275" s="1" t="s">
        <v>2877</v>
      </c>
      <c r="J275" s="1"/>
      <c r="K275" s="1">
        <v>6776370</v>
      </c>
      <c r="L275" s="1">
        <v>0</v>
      </c>
      <c r="M275" s="1">
        <v>0</v>
      </c>
      <c r="N275" s="1">
        <v>745400.7</v>
      </c>
      <c r="O275" s="1">
        <v>0</v>
      </c>
      <c r="P275" s="1">
        <v>0</v>
      </c>
      <c r="Q275" s="1">
        <v>0</v>
      </c>
      <c r="R275" s="1">
        <v>7521770.7000000002</v>
      </c>
      <c r="S275" s="1">
        <v>6776304</v>
      </c>
      <c r="T275" s="1">
        <v>99.999026027208998</v>
      </c>
      <c r="U275" t="str">
        <f t="shared" si="4"/>
        <v>Week 3</v>
      </c>
    </row>
    <row r="276" spans="1:21" x14ac:dyDescent="0.25">
      <c r="A276" s="1">
        <v>275</v>
      </c>
      <c r="B276" s="1" t="s">
        <v>2878</v>
      </c>
      <c r="C276" s="2">
        <v>46130</v>
      </c>
      <c r="D276" s="1" t="s">
        <v>53</v>
      </c>
      <c r="E276" s="1" t="s">
        <v>54</v>
      </c>
      <c r="F276" s="1" t="s">
        <v>30</v>
      </c>
      <c r="G276" s="1" t="s">
        <v>24</v>
      </c>
      <c r="H276" s="1">
        <v>1</v>
      </c>
      <c r="I276" s="1" t="s">
        <v>2879</v>
      </c>
      <c r="J276" s="1"/>
      <c r="K276" s="1">
        <v>31418604</v>
      </c>
      <c r="L276" s="1">
        <v>0</v>
      </c>
      <c r="M276" s="1">
        <v>0</v>
      </c>
      <c r="N276" s="1">
        <v>3456046.44</v>
      </c>
      <c r="O276" s="1">
        <v>0</v>
      </c>
      <c r="P276" s="1">
        <v>0</v>
      </c>
      <c r="Q276" s="1">
        <v>0</v>
      </c>
      <c r="R276" s="1">
        <v>34874650.439999998</v>
      </c>
      <c r="S276" s="1">
        <v>31418584</v>
      </c>
      <c r="T276" s="1">
        <v>99.999936343447999</v>
      </c>
      <c r="U276" t="str">
        <f t="shared" si="4"/>
        <v>Week 3</v>
      </c>
    </row>
    <row r="277" spans="1:21" x14ac:dyDescent="0.25">
      <c r="A277" s="1">
        <v>276</v>
      </c>
      <c r="B277" s="1" t="s">
        <v>2880</v>
      </c>
      <c r="C277" s="2">
        <v>46130</v>
      </c>
      <c r="D277" s="1" t="s">
        <v>33</v>
      </c>
      <c r="E277" s="1" t="s">
        <v>34</v>
      </c>
      <c r="F277" s="1" t="s">
        <v>30</v>
      </c>
      <c r="G277" s="1" t="s">
        <v>24</v>
      </c>
      <c r="H277" s="1">
        <v>1</v>
      </c>
      <c r="I277" s="1" t="s">
        <v>2881</v>
      </c>
      <c r="J277" s="1"/>
      <c r="K277" s="1">
        <v>2783200</v>
      </c>
      <c r="L277" s="1">
        <v>0</v>
      </c>
      <c r="M277" s="1">
        <v>0</v>
      </c>
      <c r="N277" s="1">
        <v>306152</v>
      </c>
      <c r="O277" s="1">
        <v>0</v>
      </c>
      <c r="P277" s="1">
        <v>0</v>
      </c>
      <c r="Q277" s="1">
        <v>0</v>
      </c>
      <c r="R277" s="1">
        <v>3089352</v>
      </c>
      <c r="S277" s="1">
        <v>401360</v>
      </c>
      <c r="T277" s="1">
        <v>14.420810577752</v>
      </c>
      <c r="U277" t="str">
        <f t="shared" si="4"/>
        <v>Week 3</v>
      </c>
    </row>
    <row r="278" spans="1:21" x14ac:dyDescent="0.25">
      <c r="A278" s="1">
        <v>277</v>
      </c>
      <c r="B278" s="1" t="s">
        <v>2882</v>
      </c>
      <c r="C278" s="2">
        <v>46129</v>
      </c>
      <c r="D278" s="1" t="s">
        <v>53</v>
      </c>
      <c r="E278" s="1" t="s">
        <v>54</v>
      </c>
      <c r="F278" s="1" t="s">
        <v>30</v>
      </c>
      <c r="G278" s="1" t="s">
        <v>24</v>
      </c>
      <c r="H278" s="1">
        <v>1</v>
      </c>
      <c r="I278" s="1" t="s">
        <v>2579</v>
      </c>
      <c r="J278" s="1"/>
      <c r="K278" s="1">
        <v>257500</v>
      </c>
      <c r="L278" s="1">
        <v>0</v>
      </c>
      <c r="M278" s="1">
        <v>0</v>
      </c>
      <c r="N278" s="1">
        <v>28325</v>
      </c>
      <c r="O278" s="1">
        <v>0</v>
      </c>
      <c r="P278" s="1">
        <v>0</v>
      </c>
      <c r="Q278" s="1">
        <v>0</v>
      </c>
      <c r="R278" s="1">
        <v>285825</v>
      </c>
      <c r="S278" s="1">
        <v>-17500</v>
      </c>
      <c r="T278" s="1">
        <v>-6.7961165048543997</v>
      </c>
      <c r="U278" t="str">
        <f t="shared" si="4"/>
        <v>Week 3</v>
      </c>
    </row>
    <row r="279" spans="1:21" x14ac:dyDescent="0.25">
      <c r="A279" s="1">
        <v>278</v>
      </c>
      <c r="B279" s="1" t="s">
        <v>2883</v>
      </c>
      <c r="C279" s="2">
        <v>46129</v>
      </c>
      <c r="D279" s="1" t="s">
        <v>53</v>
      </c>
      <c r="E279" s="1" t="s">
        <v>54</v>
      </c>
      <c r="F279" s="1" t="s">
        <v>30</v>
      </c>
      <c r="G279" s="1" t="s">
        <v>24</v>
      </c>
      <c r="H279" s="1">
        <v>1</v>
      </c>
      <c r="I279" s="1" t="s">
        <v>2884</v>
      </c>
      <c r="J279" s="1"/>
      <c r="K279" s="1">
        <v>6594060</v>
      </c>
      <c r="L279" s="1">
        <v>0</v>
      </c>
      <c r="M279" s="1">
        <v>0</v>
      </c>
      <c r="N279" s="1">
        <v>725346.6</v>
      </c>
      <c r="O279" s="1">
        <v>0</v>
      </c>
      <c r="P279" s="1">
        <v>0</v>
      </c>
      <c r="Q279" s="1">
        <v>0</v>
      </c>
      <c r="R279" s="1">
        <v>7319406.5999999996</v>
      </c>
      <c r="S279" s="1">
        <v>4794060</v>
      </c>
      <c r="T279" s="1">
        <v>72.702705161918004</v>
      </c>
      <c r="U279" t="str">
        <f t="shared" si="4"/>
        <v>Week 3</v>
      </c>
    </row>
    <row r="280" spans="1:21" x14ac:dyDescent="0.25">
      <c r="A280" s="1">
        <v>279</v>
      </c>
      <c r="B280" s="1" t="s">
        <v>2885</v>
      </c>
      <c r="C280" s="2">
        <v>46129</v>
      </c>
      <c r="D280" s="1" t="s">
        <v>53</v>
      </c>
      <c r="E280" s="1" t="s">
        <v>54</v>
      </c>
      <c r="F280" s="1" t="s">
        <v>30</v>
      </c>
      <c r="G280" s="1" t="s">
        <v>24</v>
      </c>
      <c r="H280" s="1">
        <v>1</v>
      </c>
      <c r="I280" s="1" t="s">
        <v>2886</v>
      </c>
      <c r="J280" s="1"/>
      <c r="K280" s="1">
        <v>239784</v>
      </c>
      <c r="L280" s="1">
        <v>0</v>
      </c>
      <c r="M280" s="1">
        <v>0</v>
      </c>
      <c r="N280" s="1">
        <v>26376.240000000002</v>
      </c>
      <c r="O280" s="1">
        <v>0</v>
      </c>
      <c r="P280" s="1">
        <v>0</v>
      </c>
      <c r="Q280" s="1">
        <v>0</v>
      </c>
      <c r="R280" s="1">
        <v>266160.24</v>
      </c>
      <c r="S280" s="1">
        <v>142270.48000000001</v>
      </c>
      <c r="T280" s="1">
        <v>59.332766156207001</v>
      </c>
      <c r="U280" t="str">
        <f t="shared" si="4"/>
        <v>Week 3</v>
      </c>
    </row>
    <row r="281" spans="1:21" x14ac:dyDescent="0.25">
      <c r="A281" s="1">
        <v>280</v>
      </c>
      <c r="B281" s="1" t="s">
        <v>2887</v>
      </c>
      <c r="C281" s="2">
        <v>46129</v>
      </c>
      <c r="D281" s="1" t="s">
        <v>53</v>
      </c>
      <c r="E281" s="1" t="s">
        <v>54</v>
      </c>
      <c r="F281" s="1" t="s">
        <v>30</v>
      </c>
      <c r="G281" s="1" t="s">
        <v>24</v>
      </c>
      <c r="H281" s="1">
        <v>1</v>
      </c>
      <c r="I281" s="1" t="s">
        <v>2888</v>
      </c>
      <c r="J281" s="1"/>
      <c r="K281" s="1">
        <v>6468000</v>
      </c>
      <c r="L281" s="1">
        <v>0</v>
      </c>
      <c r="M281" s="1">
        <v>0</v>
      </c>
      <c r="N281" s="1">
        <v>711480</v>
      </c>
      <c r="O281" s="1">
        <v>0</v>
      </c>
      <c r="P281" s="1">
        <v>0</v>
      </c>
      <c r="Q281" s="1">
        <v>0</v>
      </c>
      <c r="R281" s="1">
        <v>7179480</v>
      </c>
      <c r="S281" s="1">
        <v>546000</v>
      </c>
      <c r="T281" s="1">
        <v>8.4415584415583993</v>
      </c>
      <c r="U281" t="str">
        <f t="shared" si="4"/>
        <v>Week 3</v>
      </c>
    </row>
    <row r="282" spans="1:21" x14ac:dyDescent="0.25">
      <c r="A282" s="1">
        <v>281</v>
      </c>
      <c r="B282" s="1" t="s">
        <v>2889</v>
      </c>
      <c r="C282" s="2">
        <v>46129</v>
      </c>
      <c r="D282" s="1" t="s">
        <v>53</v>
      </c>
      <c r="E282" s="1" t="s">
        <v>54</v>
      </c>
      <c r="F282" s="1" t="s">
        <v>30</v>
      </c>
      <c r="G282" s="1" t="s">
        <v>24</v>
      </c>
      <c r="H282" s="1">
        <v>1</v>
      </c>
      <c r="I282" s="1" t="s">
        <v>2890</v>
      </c>
      <c r="J282" s="1"/>
      <c r="K282" s="1">
        <v>50369472</v>
      </c>
      <c r="L282" s="1">
        <v>0</v>
      </c>
      <c r="M282" s="1">
        <v>0</v>
      </c>
      <c r="N282" s="1">
        <v>5540641.9199999999</v>
      </c>
      <c r="O282" s="1">
        <v>0</v>
      </c>
      <c r="P282" s="1">
        <v>0</v>
      </c>
      <c r="Q282" s="1">
        <v>0</v>
      </c>
      <c r="R282" s="1">
        <v>55910113.920000002</v>
      </c>
      <c r="S282" s="1">
        <v>21710128</v>
      </c>
      <c r="T282" s="1">
        <v>43.101758144298003</v>
      </c>
      <c r="U282" t="str">
        <f t="shared" si="4"/>
        <v>Week 3</v>
      </c>
    </row>
    <row r="283" spans="1:21" x14ac:dyDescent="0.25">
      <c r="A283" s="1">
        <v>282</v>
      </c>
      <c r="B283" s="1" t="s">
        <v>2891</v>
      </c>
      <c r="C283" s="2">
        <v>46129</v>
      </c>
      <c r="D283" s="1" t="s">
        <v>53</v>
      </c>
      <c r="E283" s="1" t="s">
        <v>54</v>
      </c>
      <c r="F283" s="1" t="s">
        <v>30</v>
      </c>
      <c r="G283" s="1" t="s">
        <v>24</v>
      </c>
      <c r="H283" s="1">
        <v>1</v>
      </c>
      <c r="I283" s="1" t="s">
        <v>2892</v>
      </c>
      <c r="J283" s="1"/>
      <c r="K283" s="1">
        <v>423700</v>
      </c>
      <c r="L283" s="1">
        <v>0</v>
      </c>
      <c r="M283" s="1">
        <v>0</v>
      </c>
      <c r="N283" s="1">
        <v>46607</v>
      </c>
      <c r="O283" s="1">
        <v>0</v>
      </c>
      <c r="P283" s="1">
        <v>0</v>
      </c>
      <c r="Q283" s="1">
        <v>0</v>
      </c>
      <c r="R283" s="1">
        <v>470307</v>
      </c>
      <c r="S283" s="1">
        <v>128200</v>
      </c>
      <c r="T283" s="1">
        <v>30.25725749351</v>
      </c>
      <c r="U283" t="str">
        <f t="shared" si="4"/>
        <v>Week 3</v>
      </c>
    </row>
    <row r="284" spans="1:21" x14ac:dyDescent="0.25">
      <c r="A284" s="1">
        <v>283</v>
      </c>
      <c r="B284" s="1" t="s">
        <v>2893</v>
      </c>
      <c r="C284" s="2">
        <v>46129</v>
      </c>
      <c r="D284" s="1" t="s">
        <v>184</v>
      </c>
      <c r="E284" s="1" t="s">
        <v>116</v>
      </c>
      <c r="F284" s="1" t="s">
        <v>23</v>
      </c>
      <c r="G284" s="1" t="s">
        <v>24</v>
      </c>
      <c r="H284" s="1">
        <v>1</v>
      </c>
      <c r="I284" s="1" t="s">
        <v>2894</v>
      </c>
      <c r="J284" s="1" t="s">
        <v>56</v>
      </c>
      <c r="K284" s="1">
        <v>1217031000</v>
      </c>
      <c r="L284" s="1">
        <v>0</v>
      </c>
      <c r="M284" s="1">
        <v>0</v>
      </c>
      <c r="N284" s="1">
        <v>133873410</v>
      </c>
      <c r="O284" s="1">
        <v>0</v>
      </c>
      <c r="P284" s="1">
        <v>0</v>
      </c>
      <c r="Q284" s="1">
        <v>0</v>
      </c>
      <c r="R284" s="1">
        <v>1350904410</v>
      </c>
      <c r="S284" s="1">
        <v>221331000</v>
      </c>
      <c r="T284" s="1">
        <v>18.186143163156999</v>
      </c>
      <c r="U284" t="str">
        <f t="shared" si="4"/>
        <v>Week 3</v>
      </c>
    </row>
    <row r="285" spans="1:21" x14ac:dyDescent="0.25">
      <c r="A285" s="1">
        <v>284</v>
      </c>
      <c r="B285" s="1" t="s">
        <v>2895</v>
      </c>
      <c r="C285" s="2">
        <v>46129</v>
      </c>
      <c r="D285" s="1" t="s">
        <v>202</v>
      </c>
      <c r="E285" s="1" t="s">
        <v>203</v>
      </c>
      <c r="F285" s="1" t="s">
        <v>30</v>
      </c>
      <c r="G285" s="1" t="s">
        <v>24</v>
      </c>
      <c r="H285" s="1">
        <v>1</v>
      </c>
      <c r="I285" s="1" t="s">
        <v>2896</v>
      </c>
      <c r="J285" s="1" t="s">
        <v>26</v>
      </c>
      <c r="K285" s="1">
        <v>1237972.26</v>
      </c>
      <c r="L285" s="1">
        <v>0</v>
      </c>
      <c r="M285" s="1">
        <v>0</v>
      </c>
      <c r="N285" s="1">
        <v>136176.9486</v>
      </c>
      <c r="O285" s="1">
        <v>0</v>
      </c>
      <c r="P285" s="1">
        <v>0</v>
      </c>
      <c r="Q285" s="1">
        <v>0</v>
      </c>
      <c r="R285" s="1">
        <v>1374149.2086</v>
      </c>
      <c r="S285" s="1">
        <v>552618.76</v>
      </c>
      <c r="T285" s="1">
        <v>44.639026079631002</v>
      </c>
      <c r="U285" t="str">
        <f t="shared" si="4"/>
        <v>Week 3</v>
      </c>
    </row>
    <row r="286" spans="1:21" x14ac:dyDescent="0.25">
      <c r="A286" s="1">
        <v>285</v>
      </c>
      <c r="B286" s="1" t="s">
        <v>2897</v>
      </c>
      <c r="C286" s="2">
        <v>46129</v>
      </c>
      <c r="D286" s="1" t="s">
        <v>112</v>
      </c>
      <c r="E286" s="1" t="s">
        <v>38</v>
      </c>
      <c r="F286" s="1" t="s">
        <v>23</v>
      </c>
      <c r="G286" s="1" t="s">
        <v>24</v>
      </c>
      <c r="H286" s="1">
        <v>1</v>
      </c>
      <c r="I286" s="1" t="s">
        <v>2898</v>
      </c>
      <c r="J286" s="1" t="s">
        <v>26</v>
      </c>
      <c r="K286" s="1">
        <v>58729411</v>
      </c>
      <c r="L286" s="1">
        <v>0</v>
      </c>
      <c r="M286" s="1">
        <v>0</v>
      </c>
      <c r="N286" s="1">
        <v>6460235.21</v>
      </c>
      <c r="O286" s="1">
        <v>0</v>
      </c>
      <c r="P286" s="1">
        <v>0</v>
      </c>
      <c r="Q286" s="1">
        <v>0</v>
      </c>
      <c r="R286" s="1">
        <v>65189646.210000001</v>
      </c>
      <c r="S286" s="1">
        <v>14963015</v>
      </c>
      <c r="T286" s="1">
        <v>25.477890455941999</v>
      </c>
      <c r="U286" t="str">
        <f t="shared" si="4"/>
        <v>Week 3</v>
      </c>
    </row>
    <row r="287" spans="1:21" x14ac:dyDescent="0.25">
      <c r="A287" s="1">
        <v>286</v>
      </c>
      <c r="B287" s="1" t="s">
        <v>2899</v>
      </c>
      <c r="C287" s="2">
        <v>46129</v>
      </c>
      <c r="D287" s="1" t="s">
        <v>37</v>
      </c>
      <c r="E287" s="1" t="s">
        <v>38</v>
      </c>
      <c r="F287" s="1" t="s">
        <v>23</v>
      </c>
      <c r="G287" s="1" t="s">
        <v>24</v>
      </c>
      <c r="H287" s="1">
        <v>1</v>
      </c>
      <c r="I287" s="1" t="s">
        <v>2900</v>
      </c>
      <c r="J287" s="1" t="s">
        <v>26</v>
      </c>
      <c r="K287" s="1">
        <v>28660110</v>
      </c>
      <c r="L287" s="1">
        <v>0</v>
      </c>
      <c r="M287" s="1">
        <v>0</v>
      </c>
      <c r="N287" s="1">
        <v>3152612.1</v>
      </c>
      <c r="O287" s="1">
        <v>0</v>
      </c>
      <c r="P287" s="1">
        <v>0</v>
      </c>
      <c r="Q287" s="1">
        <v>0</v>
      </c>
      <c r="R287" s="1">
        <v>31812722.100000001</v>
      </c>
      <c r="S287" s="1">
        <v>15188380.270269999</v>
      </c>
      <c r="T287" s="1">
        <v>52.994842902801999</v>
      </c>
      <c r="U287" t="str">
        <f t="shared" si="4"/>
        <v>Week 3</v>
      </c>
    </row>
    <row r="288" spans="1:21" x14ac:dyDescent="0.25">
      <c r="A288" s="1">
        <v>287</v>
      </c>
      <c r="B288" s="1" t="s">
        <v>2901</v>
      </c>
      <c r="C288" s="2">
        <v>46129</v>
      </c>
      <c r="D288" s="1" t="s">
        <v>33</v>
      </c>
      <c r="E288" s="1" t="s">
        <v>34</v>
      </c>
      <c r="F288" s="1" t="s">
        <v>23</v>
      </c>
      <c r="G288" s="1" t="s">
        <v>24</v>
      </c>
      <c r="H288" s="1">
        <v>1</v>
      </c>
      <c r="I288" s="1" t="s">
        <v>2902</v>
      </c>
      <c r="J288" s="1"/>
      <c r="K288" s="1">
        <v>2150000</v>
      </c>
      <c r="L288" s="1">
        <v>0</v>
      </c>
      <c r="M288" s="1">
        <v>0</v>
      </c>
      <c r="N288" s="1">
        <v>236500</v>
      </c>
      <c r="O288" s="1">
        <v>0</v>
      </c>
      <c r="P288" s="1">
        <v>0</v>
      </c>
      <c r="Q288" s="1">
        <v>0</v>
      </c>
      <c r="R288" s="1">
        <v>2386500</v>
      </c>
      <c r="S288" s="1">
        <v>1475000</v>
      </c>
      <c r="T288" s="1">
        <v>68.604651162791001</v>
      </c>
      <c r="U288" t="str">
        <f t="shared" si="4"/>
        <v>Week 3</v>
      </c>
    </row>
    <row r="289" spans="1:21" x14ac:dyDescent="0.25">
      <c r="A289" s="1">
        <v>288</v>
      </c>
      <c r="B289" s="1" t="s">
        <v>2903</v>
      </c>
      <c r="C289" s="2">
        <v>46129</v>
      </c>
      <c r="D289" s="1" t="s">
        <v>28</v>
      </c>
      <c r="E289" s="1" t="s">
        <v>29</v>
      </c>
      <c r="F289" s="1" t="s">
        <v>23</v>
      </c>
      <c r="G289" s="1" t="s">
        <v>24</v>
      </c>
      <c r="H289" s="1">
        <v>1</v>
      </c>
      <c r="I289" s="1" t="s">
        <v>2904</v>
      </c>
      <c r="J289" s="1"/>
      <c r="K289" s="1">
        <v>33194750000</v>
      </c>
      <c r="L289" s="1">
        <v>0</v>
      </c>
      <c r="M289" s="1">
        <v>0</v>
      </c>
      <c r="N289" s="1">
        <v>3651422500</v>
      </c>
      <c r="O289" s="1">
        <v>0</v>
      </c>
      <c r="P289" s="1">
        <v>0</v>
      </c>
      <c r="Q289" s="1">
        <v>0</v>
      </c>
      <c r="R289" s="1">
        <v>36846172500</v>
      </c>
      <c r="S289" s="1">
        <v>6638950000</v>
      </c>
      <c r="T289" s="1">
        <v>20</v>
      </c>
      <c r="U289" t="str">
        <f t="shared" si="4"/>
        <v>Week 3</v>
      </c>
    </row>
    <row r="290" spans="1:21" x14ac:dyDescent="0.25">
      <c r="A290" s="1">
        <v>289</v>
      </c>
      <c r="B290" s="1" t="s">
        <v>2905</v>
      </c>
      <c r="C290" s="2">
        <v>46129</v>
      </c>
      <c r="D290" s="1" t="s">
        <v>28</v>
      </c>
      <c r="E290" s="1" t="s">
        <v>29</v>
      </c>
      <c r="F290" s="1" t="s">
        <v>30</v>
      </c>
      <c r="G290" s="1" t="s">
        <v>24</v>
      </c>
      <c r="H290" s="1">
        <v>1</v>
      </c>
      <c r="I290" s="1" t="s">
        <v>2906</v>
      </c>
      <c r="J290" s="1"/>
      <c r="K290" s="1">
        <v>4286140</v>
      </c>
      <c r="L290" s="1">
        <v>0</v>
      </c>
      <c r="M290" s="1">
        <v>0</v>
      </c>
      <c r="N290" s="1">
        <v>471475.4</v>
      </c>
      <c r="O290" s="1">
        <v>0</v>
      </c>
      <c r="P290" s="1">
        <v>0</v>
      </c>
      <c r="Q290" s="1">
        <v>0</v>
      </c>
      <c r="R290" s="1">
        <v>4757615.4000000004</v>
      </c>
      <c r="S290" s="1">
        <v>486140</v>
      </c>
      <c r="T290" s="1">
        <v>11.342140014091999</v>
      </c>
      <c r="U290" t="str">
        <f t="shared" si="4"/>
        <v>Week 3</v>
      </c>
    </row>
    <row r="291" spans="1:21" x14ac:dyDescent="0.25">
      <c r="A291" s="1">
        <v>290</v>
      </c>
      <c r="B291" s="1" t="s">
        <v>2907</v>
      </c>
      <c r="C291" s="2">
        <v>46129</v>
      </c>
      <c r="D291" s="1" t="s">
        <v>98</v>
      </c>
      <c r="E291" s="1" t="s">
        <v>99</v>
      </c>
      <c r="F291" s="1" t="s">
        <v>30</v>
      </c>
      <c r="G291" s="1" t="s">
        <v>24</v>
      </c>
      <c r="H291" s="1">
        <v>1</v>
      </c>
      <c r="I291" s="1" t="s">
        <v>2908</v>
      </c>
      <c r="J291" s="1" t="s">
        <v>26</v>
      </c>
      <c r="K291" s="1">
        <v>42724830</v>
      </c>
      <c r="L291" s="1">
        <v>0</v>
      </c>
      <c r="M291" s="1">
        <v>0</v>
      </c>
      <c r="N291" s="1">
        <v>4699731.3</v>
      </c>
      <c r="O291" s="1">
        <v>0</v>
      </c>
      <c r="P291" s="1">
        <v>0</v>
      </c>
      <c r="Q291" s="1">
        <v>0</v>
      </c>
      <c r="R291" s="1">
        <v>47424561.299999997</v>
      </c>
      <c r="S291" s="1">
        <v>5399070</v>
      </c>
      <c r="T291" s="1">
        <v>12.636843727640001</v>
      </c>
      <c r="U291" t="str">
        <f t="shared" si="4"/>
        <v>Week 3</v>
      </c>
    </row>
    <row r="292" spans="1:21" x14ac:dyDescent="0.25">
      <c r="A292" s="1">
        <v>291</v>
      </c>
      <c r="B292" s="1" t="s">
        <v>2909</v>
      </c>
      <c r="C292" s="2">
        <v>46129</v>
      </c>
      <c r="D292" s="1" t="s">
        <v>21</v>
      </c>
      <c r="E292" s="1" t="s">
        <v>38</v>
      </c>
      <c r="F292" s="1" t="s">
        <v>30</v>
      </c>
      <c r="G292" s="1" t="s">
        <v>24</v>
      </c>
      <c r="H292" s="1">
        <v>1</v>
      </c>
      <c r="I292" s="1" t="s">
        <v>2910</v>
      </c>
      <c r="J292" s="1"/>
      <c r="K292" s="1">
        <v>2475133160</v>
      </c>
      <c r="L292" s="1">
        <v>0</v>
      </c>
      <c r="M292" s="1">
        <v>0</v>
      </c>
      <c r="N292" s="1">
        <v>272264647.60000002</v>
      </c>
      <c r="O292" s="1">
        <v>0</v>
      </c>
      <c r="P292" s="1">
        <v>0</v>
      </c>
      <c r="Q292" s="1">
        <v>0</v>
      </c>
      <c r="R292" s="1">
        <v>2747397807.5999999</v>
      </c>
      <c r="S292" s="1">
        <v>2977464</v>
      </c>
      <c r="T292" s="1">
        <v>0.12029510363798</v>
      </c>
      <c r="U292" t="str">
        <f t="shared" si="4"/>
        <v>Week 3</v>
      </c>
    </row>
    <row r="293" spans="1:21" x14ac:dyDescent="0.25">
      <c r="A293" s="1">
        <v>292</v>
      </c>
      <c r="B293" s="1" t="s">
        <v>2911</v>
      </c>
      <c r="C293" s="2">
        <v>46129</v>
      </c>
      <c r="D293" s="1" t="s">
        <v>33</v>
      </c>
      <c r="E293" s="1" t="s">
        <v>34</v>
      </c>
      <c r="F293" s="1" t="s">
        <v>30</v>
      </c>
      <c r="G293" s="1" t="s">
        <v>24</v>
      </c>
      <c r="H293" s="1">
        <v>1</v>
      </c>
      <c r="I293" s="1" t="s">
        <v>3368</v>
      </c>
      <c r="J293" s="1"/>
      <c r="K293" s="1">
        <v>18402871.199999999</v>
      </c>
      <c r="L293" s="1">
        <v>0</v>
      </c>
      <c r="M293" s="1">
        <v>0</v>
      </c>
      <c r="N293" s="1">
        <v>2024315.8319999999</v>
      </c>
      <c r="O293" s="1">
        <v>0</v>
      </c>
      <c r="P293" s="1">
        <v>0</v>
      </c>
      <c r="Q293" s="1">
        <v>0</v>
      </c>
      <c r="R293" s="1">
        <v>20427187.032000002</v>
      </c>
      <c r="S293" s="1">
        <v>4054871.2</v>
      </c>
      <c r="T293" s="1">
        <v>22.033905231049001</v>
      </c>
      <c r="U293" t="str">
        <f t="shared" si="4"/>
        <v>Week 3</v>
      </c>
    </row>
    <row r="294" spans="1:21" x14ac:dyDescent="0.25">
      <c r="A294" s="1">
        <v>293</v>
      </c>
      <c r="B294" s="1" t="s">
        <v>2912</v>
      </c>
      <c r="C294" s="2">
        <v>46129</v>
      </c>
      <c r="D294" s="1" t="s">
        <v>202</v>
      </c>
      <c r="E294" s="1" t="s">
        <v>203</v>
      </c>
      <c r="F294" s="1" t="s">
        <v>23</v>
      </c>
      <c r="G294" s="1" t="s">
        <v>24</v>
      </c>
      <c r="H294" s="1">
        <v>1</v>
      </c>
      <c r="I294" s="1" t="s">
        <v>2913</v>
      </c>
      <c r="J294" s="1" t="s">
        <v>26</v>
      </c>
      <c r="K294" s="1">
        <v>7998223</v>
      </c>
      <c r="L294" s="1">
        <v>0</v>
      </c>
      <c r="M294" s="1">
        <v>0</v>
      </c>
      <c r="N294" s="1">
        <v>879804.53</v>
      </c>
      <c r="O294" s="1">
        <v>0</v>
      </c>
      <c r="P294" s="1">
        <v>0</v>
      </c>
      <c r="Q294" s="1">
        <v>0</v>
      </c>
      <c r="R294" s="1">
        <v>8878027.5299999993</v>
      </c>
      <c r="S294" s="1">
        <v>2699122.9642343</v>
      </c>
      <c r="T294" s="1">
        <v>33.746533001571002</v>
      </c>
      <c r="U294" t="str">
        <f t="shared" si="4"/>
        <v>Week 3</v>
      </c>
    </row>
    <row r="295" spans="1:21" x14ac:dyDescent="0.25">
      <c r="A295" s="1">
        <v>294</v>
      </c>
      <c r="B295" s="1" t="s">
        <v>1506</v>
      </c>
      <c r="C295" s="2">
        <v>46128</v>
      </c>
      <c r="D295" s="1" t="s">
        <v>98</v>
      </c>
      <c r="E295" s="1" t="s">
        <v>99</v>
      </c>
      <c r="F295" s="1" t="s">
        <v>30</v>
      </c>
      <c r="G295" s="1" t="s">
        <v>24</v>
      </c>
      <c r="H295" s="1">
        <v>1</v>
      </c>
      <c r="I295" s="1" t="s">
        <v>3369</v>
      </c>
      <c r="J295" s="1"/>
      <c r="K295" s="1">
        <v>11139450</v>
      </c>
      <c r="L295" s="1">
        <v>0</v>
      </c>
      <c r="M295" s="1">
        <v>0</v>
      </c>
      <c r="N295" s="1">
        <v>1225339.5</v>
      </c>
      <c r="O295" s="1">
        <v>0</v>
      </c>
      <c r="P295" s="1">
        <v>0</v>
      </c>
      <c r="Q295" s="1">
        <v>0</v>
      </c>
      <c r="R295" s="1">
        <v>12364789.5</v>
      </c>
      <c r="S295" s="1">
        <v>2806117</v>
      </c>
      <c r="T295" s="1">
        <v>25.190803854767999</v>
      </c>
      <c r="U295" t="str">
        <f t="shared" si="4"/>
        <v>Week 3</v>
      </c>
    </row>
    <row r="296" spans="1:21" x14ac:dyDescent="0.25">
      <c r="A296" s="1">
        <v>295</v>
      </c>
      <c r="B296" s="1" t="s">
        <v>2743</v>
      </c>
      <c r="C296" s="2">
        <v>46128</v>
      </c>
      <c r="D296" s="1" t="s">
        <v>98</v>
      </c>
      <c r="E296" s="1" t="s">
        <v>99</v>
      </c>
      <c r="F296" s="1" t="s">
        <v>30</v>
      </c>
      <c r="G296" s="1" t="s">
        <v>24</v>
      </c>
      <c r="H296" s="1">
        <v>1</v>
      </c>
      <c r="I296" s="1" t="s">
        <v>2744</v>
      </c>
      <c r="J296" s="1"/>
      <c r="K296" s="1">
        <v>7725000</v>
      </c>
      <c r="L296" s="1">
        <v>0</v>
      </c>
      <c r="M296" s="1">
        <v>0</v>
      </c>
      <c r="N296" s="1">
        <v>849750</v>
      </c>
      <c r="O296" s="1">
        <v>0</v>
      </c>
      <c r="P296" s="1">
        <v>0</v>
      </c>
      <c r="Q296" s="1">
        <v>0</v>
      </c>
      <c r="R296" s="1">
        <v>8574750</v>
      </c>
      <c r="S296" s="1">
        <v>2245000</v>
      </c>
      <c r="T296" s="1">
        <v>29.061488673138999</v>
      </c>
      <c r="U296" t="str">
        <f t="shared" si="4"/>
        <v>Week 3</v>
      </c>
    </row>
    <row r="297" spans="1:21" x14ac:dyDescent="0.25">
      <c r="A297" s="1">
        <v>296</v>
      </c>
      <c r="B297" s="1" t="s">
        <v>2745</v>
      </c>
      <c r="C297" s="2">
        <v>46128</v>
      </c>
      <c r="D297" s="1" t="s">
        <v>1317</v>
      </c>
      <c r="E297" s="1" t="s">
        <v>203</v>
      </c>
      <c r="F297" s="1" t="s">
        <v>30</v>
      </c>
      <c r="G297" s="1" t="s">
        <v>24</v>
      </c>
      <c r="H297" s="1">
        <v>1</v>
      </c>
      <c r="I297" s="1" t="s">
        <v>2746</v>
      </c>
      <c r="J297" s="1" t="s">
        <v>26</v>
      </c>
      <c r="K297" s="1">
        <v>427000</v>
      </c>
      <c r="L297" s="1">
        <v>0</v>
      </c>
      <c r="M297" s="1">
        <v>0</v>
      </c>
      <c r="N297" s="1">
        <v>46970</v>
      </c>
      <c r="O297" s="1">
        <v>0</v>
      </c>
      <c r="P297" s="1">
        <v>0</v>
      </c>
      <c r="Q297" s="1">
        <v>0</v>
      </c>
      <c r="R297" s="1">
        <v>473970</v>
      </c>
      <c r="S297" s="1">
        <v>12810</v>
      </c>
      <c r="T297" s="1">
        <v>3</v>
      </c>
      <c r="U297" t="str">
        <f t="shared" si="4"/>
        <v>Week 3</v>
      </c>
    </row>
    <row r="298" spans="1:21" x14ac:dyDescent="0.25">
      <c r="A298" s="1">
        <v>297</v>
      </c>
      <c r="B298" s="1" t="s">
        <v>2747</v>
      </c>
      <c r="C298" s="2">
        <v>46128</v>
      </c>
      <c r="D298" s="1" t="s">
        <v>98</v>
      </c>
      <c r="E298" s="1" t="s">
        <v>99</v>
      </c>
      <c r="F298" s="1" t="s">
        <v>30</v>
      </c>
      <c r="G298" s="1" t="s">
        <v>24</v>
      </c>
      <c r="H298" s="1">
        <v>1</v>
      </c>
      <c r="I298" s="1" t="s">
        <v>2748</v>
      </c>
      <c r="J298" s="1"/>
      <c r="K298" s="1">
        <v>10094000</v>
      </c>
      <c r="L298" s="1">
        <v>0</v>
      </c>
      <c r="M298" s="1">
        <v>0</v>
      </c>
      <c r="N298" s="1">
        <v>1110340</v>
      </c>
      <c r="O298" s="1">
        <v>0</v>
      </c>
      <c r="P298" s="1">
        <v>0</v>
      </c>
      <c r="Q298" s="1">
        <v>0</v>
      </c>
      <c r="R298" s="1">
        <v>11204340</v>
      </c>
      <c r="S298" s="1">
        <v>-4775040</v>
      </c>
      <c r="T298" s="1">
        <v>-47.305726173964999</v>
      </c>
      <c r="U298" t="str">
        <f t="shared" si="4"/>
        <v>Week 3</v>
      </c>
    </row>
    <row r="299" spans="1:21" x14ac:dyDescent="0.25">
      <c r="A299" s="1">
        <v>298</v>
      </c>
      <c r="B299" s="1" t="s">
        <v>2749</v>
      </c>
      <c r="C299" s="2">
        <v>46128</v>
      </c>
      <c r="D299" s="1" t="s">
        <v>1314</v>
      </c>
      <c r="E299" s="1" t="s">
        <v>192</v>
      </c>
      <c r="F299" s="1" t="s">
        <v>23</v>
      </c>
      <c r="G299" s="1" t="s">
        <v>24</v>
      </c>
      <c r="H299" s="1">
        <v>1</v>
      </c>
      <c r="I299" s="1" t="s">
        <v>2750</v>
      </c>
      <c r="J299" s="1" t="s">
        <v>56</v>
      </c>
      <c r="K299" s="1">
        <v>1200000</v>
      </c>
      <c r="L299" s="1">
        <v>0</v>
      </c>
      <c r="M299" s="1">
        <v>0</v>
      </c>
      <c r="N299" s="1">
        <v>132000</v>
      </c>
      <c r="O299" s="1">
        <v>0</v>
      </c>
      <c r="P299" s="1">
        <v>0</v>
      </c>
      <c r="Q299" s="1">
        <v>0</v>
      </c>
      <c r="R299" s="1">
        <v>1332000</v>
      </c>
      <c r="S299" s="1">
        <v>200000</v>
      </c>
      <c r="T299" s="1">
        <v>16.666666666666998</v>
      </c>
      <c r="U299" t="str">
        <f t="shared" si="4"/>
        <v>Week 3</v>
      </c>
    </row>
    <row r="300" spans="1:21" x14ac:dyDescent="0.25">
      <c r="A300" s="1">
        <v>299</v>
      </c>
      <c r="B300" s="1" t="s">
        <v>2751</v>
      </c>
      <c r="C300" s="2">
        <v>46128</v>
      </c>
      <c r="D300" s="1" t="s">
        <v>53</v>
      </c>
      <c r="E300" s="1" t="s">
        <v>54</v>
      </c>
      <c r="F300" s="1" t="s">
        <v>260</v>
      </c>
      <c r="G300" s="1" t="s">
        <v>24</v>
      </c>
      <c r="H300" s="1">
        <v>1</v>
      </c>
      <c r="I300" s="1" t="s">
        <v>2752</v>
      </c>
      <c r="J300" s="1"/>
      <c r="K300" s="1">
        <v>44106190.900900997</v>
      </c>
      <c r="L300" s="1">
        <v>0</v>
      </c>
      <c r="M300" s="1">
        <v>0</v>
      </c>
      <c r="N300" s="1">
        <v>4851680.9990991</v>
      </c>
      <c r="O300" s="1">
        <v>0</v>
      </c>
      <c r="P300" s="1">
        <v>0</v>
      </c>
      <c r="Q300" s="1">
        <v>0</v>
      </c>
      <c r="R300" s="1">
        <v>48957871.899999999</v>
      </c>
      <c r="S300" s="1">
        <v>23699951.987479001</v>
      </c>
      <c r="T300" s="1">
        <v>53.733844395515</v>
      </c>
      <c r="U300" t="str">
        <f t="shared" si="4"/>
        <v>Week 3</v>
      </c>
    </row>
    <row r="301" spans="1:21" x14ac:dyDescent="0.25">
      <c r="A301" s="1">
        <v>300</v>
      </c>
      <c r="B301" s="1" t="s">
        <v>2753</v>
      </c>
      <c r="C301" s="2">
        <v>46128</v>
      </c>
      <c r="D301" s="1" t="s">
        <v>21</v>
      </c>
      <c r="E301" s="1" t="s">
        <v>38</v>
      </c>
      <c r="F301" s="1" t="s">
        <v>30</v>
      </c>
      <c r="G301" s="1" t="s">
        <v>24</v>
      </c>
      <c r="H301" s="1">
        <v>1</v>
      </c>
      <c r="I301" s="1" t="s">
        <v>2754</v>
      </c>
      <c r="J301" s="1"/>
      <c r="K301" s="1">
        <v>8232000</v>
      </c>
      <c r="L301" s="1">
        <v>0</v>
      </c>
      <c r="M301" s="1">
        <v>0</v>
      </c>
      <c r="N301" s="1">
        <v>905520</v>
      </c>
      <c r="O301" s="1">
        <v>0</v>
      </c>
      <c r="P301" s="1">
        <v>0</v>
      </c>
      <c r="Q301" s="1">
        <v>0</v>
      </c>
      <c r="R301" s="1">
        <v>9137520</v>
      </c>
      <c r="S301" s="1">
        <v>1032000</v>
      </c>
      <c r="T301" s="1">
        <v>12.536443148688001</v>
      </c>
      <c r="U301" t="str">
        <f t="shared" si="4"/>
        <v>Week 3</v>
      </c>
    </row>
    <row r="302" spans="1:21" x14ac:dyDescent="0.25">
      <c r="A302" s="1">
        <v>301</v>
      </c>
      <c r="B302" s="1" t="s">
        <v>2755</v>
      </c>
      <c r="C302" s="2">
        <v>46128</v>
      </c>
      <c r="D302" s="1" t="s">
        <v>21</v>
      </c>
      <c r="E302" s="1" t="s">
        <v>54</v>
      </c>
      <c r="F302" s="1" t="s">
        <v>23</v>
      </c>
      <c r="G302" s="1" t="s">
        <v>24</v>
      </c>
      <c r="H302" s="1">
        <v>1</v>
      </c>
      <c r="I302" s="1" t="s">
        <v>2756</v>
      </c>
      <c r="J302" s="1"/>
      <c r="K302" s="1">
        <v>7037050</v>
      </c>
      <c r="L302" s="1">
        <v>0</v>
      </c>
      <c r="M302" s="1">
        <v>0</v>
      </c>
      <c r="N302" s="1">
        <v>774075.5</v>
      </c>
      <c r="O302" s="1">
        <v>0</v>
      </c>
      <c r="P302" s="1">
        <v>0</v>
      </c>
      <c r="Q302" s="1">
        <v>0</v>
      </c>
      <c r="R302" s="1">
        <v>7811125.5</v>
      </c>
      <c r="S302" s="1">
        <v>946550</v>
      </c>
      <c r="T302" s="1">
        <v>13.450948906147</v>
      </c>
      <c r="U302" t="str">
        <f t="shared" si="4"/>
        <v>Week 3</v>
      </c>
    </row>
    <row r="303" spans="1:21" x14ac:dyDescent="0.25">
      <c r="A303" s="1">
        <v>302</v>
      </c>
      <c r="B303" s="1" t="s">
        <v>2757</v>
      </c>
      <c r="C303" s="2">
        <v>46128</v>
      </c>
      <c r="D303" s="1" t="s">
        <v>98</v>
      </c>
      <c r="E303" s="1" t="s">
        <v>99</v>
      </c>
      <c r="F303" s="1" t="s">
        <v>30</v>
      </c>
      <c r="G303" s="1" t="s">
        <v>24</v>
      </c>
      <c r="H303" s="1">
        <v>1</v>
      </c>
      <c r="I303" s="1" t="s">
        <v>2758</v>
      </c>
      <c r="J303" s="1"/>
      <c r="K303" s="1">
        <v>29252000</v>
      </c>
      <c r="L303" s="1">
        <v>0</v>
      </c>
      <c r="M303" s="1">
        <v>0</v>
      </c>
      <c r="N303" s="1">
        <v>3217720</v>
      </c>
      <c r="O303" s="1">
        <v>0</v>
      </c>
      <c r="P303" s="1">
        <v>0</v>
      </c>
      <c r="Q303" s="1">
        <v>0</v>
      </c>
      <c r="R303" s="1">
        <v>32469720</v>
      </c>
      <c r="S303" s="1">
        <v>264000</v>
      </c>
      <c r="T303" s="1">
        <v>0.90250239299877</v>
      </c>
      <c r="U303" t="str">
        <f t="shared" si="4"/>
        <v>Week 3</v>
      </c>
    </row>
    <row r="304" spans="1:21" x14ac:dyDescent="0.25">
      <c r="A304" s="1">
        <v>303</v>
      </c>
      <c r="B304" s="1" t="s">
        <v>2759</v>
      </c>
      <c r="C304" s="2">
        <v>46128</v>
      </c>
      <c r="D304" s="1" t="s">
        <v>115</v>
      </c>
      <c r="E304" s="1" t="s">
        <v>116</v>
      </c>
      <c r="F304" s="1" t="s">
        <v>30</v>
      </c>
      <c r="G304" s="1" t="s">
        <v>24</v>
      </c>
      <c r="H304" s="1">
        <v>1</v>
      </c>
      <c r="I304" s="1" t="s">
        <v>2760</v>
      </c>
      <c r="J304" s="1" t="s">
        <v>56</v>
      </c>
      <c r="K304" s="1">
        <v>123480</v>
      </c>
      <c r="L304" s="1">
        <v>0</v>
      </c>
      <c r="M304" s="1">
        <v>0</v>
      </c>
      <c r="N304" s="1">
        <v>13582.8</v>
      </c>
      <c r="O304" s="1">
        <v>0</v>
      </c>
      <c r="P304" s="1">
        <v>0</v>
      </c>
      <c r="Q304" s="1">
        <v>0</v>
      </c>
      <c r="R304" s="1">
        <v>137062.79999999999</v>
      </c>
      <c r="S304" s="1">
        <v>96351.081081081007</v>
      </c>
      <c r="T304" s="1">
        <v>78.029706090931001</v>
      </c>
      <c r="U304" t="str">
        <f t="shared" si="4"/>
        <v>Week 3</v>
      </c>
    </row>
    <row r="305" spans="1:21" x14ac:dyDescent="0.25">
      <c r="A305" s="1">
        <v>304</v>
      </c>
      <c r="B305" s="1" t="s">
        <v>2762</v>
      </c>
      <c r="C305" s="2">
        <v>46128</v>
      </c>
      <c r="D305" s="1" t="s">
        <v>98</v>
      </c>
      <c r="E305" s="1" t="s">
        <v>99</v>
      </c>
      <c r="F305" s="1" t="s">
        <v>30</v>
      </c>
      <c r="G305" s="1" t="s">
        <v>24</v>
      </c>
      <c r="H305" s="1">
        <v>1</v>
      </c>
      <c r="I305" s="1" t="s">
        <v>2763</v>
      </c>
      <c r="J305" s="1" t="s">
        <v>26</v>
      </c>
      <c r="K305" s="1">
        <v>37796571</v>
      </c>
      <c r="L305" s="1">
        <v>0</v>
      </c>
      <c r="M305" s="1">
        <v>0</v>
      </c>
      <c r="N305" s="1">
        <v>4157622.81</v>
      </c>
      <c r="O305" s="1">
        <v>0</v>
      </c>
      <c r="P305" s="1">
        <v>0</v>
      </c>
      <c r="Q305" s="1">
        <v>0</v>
      </c>
      <c r="R305" s="1">
        <v>41954193.810000002</v>
      </c>
      <c r="S305" s="1">
        <v>1100871</v>
      </c>
      <c r="T305" s="1">
        <v>2.9126213592233001</v>
      </c>
      <c r="U305" t="str">
        <f t="shared" si="4"/>
        <v>Week 3</v>
      </c>
    </row>
    <row r="306" spans="1:21" x14ac:dyDescent="0.25">
      <c r="A306" s="1">
        <v>305</v>
      </c>
      <c r="B306" s="1" t="s">
        <v>2764</v>
      </c>
      <c r="C306" s="2">
        <v>46128</v>
      </c>
      <c r="D306" s="1" t="s">
        <v>21</v>
      </c>
      <c r="E306" s="1" t="s">
        <v>38</v>
      </c>
      <c r="F306" s="1" t="s">
        <v>30</v>
      </c>
      <c r="G306" s="1" t="s">
        <v>24</v>
      </c>
      <c r="H306" s="1">
        <v>1</v>
      </c>
      <c r="I306" s="1" t="s">
        <v>2765</v>
      </c>
      <c r="J306" s="1"/>
      <c r="K306" s="1">
        <v>39690000</v>
      </c>
      <c r="L306" s="1">
        <v>0</v>
      </c>
      <c r="M306" s="1">
        <v>0</v>
      </c>
      <c r="N306" s="1">
        <v>4365900</v>
      </c>
      <c r="O306" s="1">
        <v>0</v>
      </c>
      <c r="P306" s="1">
        <v>0</v>
      </c>
      <c r="Q306" s="1">
        <v>0</v>
      </c>
      <c r="R306" s="1">
        <v>44055900</v>
      </c>
      <c r="S306" s="1">
        <v>15514864.864864999</v>
      </c>
      <c r="T306" s="1">
        <v>39.090110518682003</v>
      </c>
      <c r="U306" t="str">
        <f t="shared" si="4"/>
        <v>Week 3</v>
      </c>
    </row>
    <row r="307" spans="1:21" x14ac:dyDescent="0.25">
      <c r="A307" s="1">
        <v>306</v>
      </c>
      <c r="B307" s="1" t="s">
        <v>2766</v>
      </c>
      <c r="C307" s="2">
        <v>46128</v>
      </c>
      <c r="D307" s="1" t="s">
        <v>33</v>
      </c>
      <c r="E307" s="1" t="s">
        <v>34</v>
      </c>
      <c r="F307" s="1" t="s">
        <v>23</v>
      </c>
      <c r="G307" s="1" t="s">
        <v>24</v>
      </c>
      <c r="H307" s="1">
        <v>1</v>
      </c>
      <c r="I307" s="1" t="s">
        <v>661</v>
      </c>
      <c r="J307" s="1"/>
      <c r="K307" s="1">
        <v>38830000</v>
      </c>
      <c r="L307" s="1">
        <v>0</v>
      </c>
      <c r="M307" s="1">
        <v>0</v>
      </c>
      <c r="N307" s="1">
        <v>4271300</v>
      </c>
      <c r="O307" s="1">
        <v>0</v>
      </c>
      <c r="P307" s="1">
        <v>0</v>
      </c>
      <c r="Q307" s="1">
        <v>0</v>
      </c>
      <c r="R307" s="1">
        <v>43101300</v>
      </c>
      <c r="S307" s="1">
        <v>17618500</v>
      </c>
      <c r="T307" s="1">
        <v>45.373422611382999</v>
      </c>
      <c r="U307" t="str">
        <f t="shared" si="4"/>
        <v>Week 3</v>
      </c>
    </row>
    <row r="308" spans="1:21" x14ac:dyDescent="0.25">
      <c r="A308" s="1">
        <v>307</v>
      </c>
      <c r="B308" s="1" t="s">
        <v>2767</v>
      </c>
      <c r="C308" s="2">
        <v>46128</v>
      </c>
      <c r="D308" s="1" t="s">
        <v>202</v>
      </c>
      <c r="E308" s="1" t="s">
        <v>203</v>
      </c>
      <c r="F308" s="1" t="s">
        <v>23</v>
      </c>
      <c r="G308" s="1" t="s">
        <v>24</v>
      </c>
      <c r="H308" s="1">
        <v>1</v>
      </c>
      <c r="I308" s="1" t="s">
        <v>2914</v>
      </c>
      <c r="J308" s="1" t="s">
        <v>26</v>
      </c>
      <c r="K308" s="1">
        <v>32580659.252252001</v>
      </c>
      <c r="L308" s="1">
        <v>0</v>
      </c>
      <c r="M308" s="1">
        <v>0</v>
      </c>
      <c r="N308" s="1">
        <v>3583872.5177477002</v>
      </c>
      <c r="O308" s="1">
        <v>0</v>
      </c>
      <c r="P308" s="1">
        <v>0</v>
      </c>
      <c r="Q308" s="1">
        <v>0</v>
      </c>
      <c r="R308" s="1">
        <v>36164531.770000003</v>
      </c>
      <c r="S308" s="1">
        <v>9227556.4630628005</v>
      </c>
      <c r="T308" s="1">
        <v>28.322190756238001</v>
      </c>
      <c r="U308" t="str">
        <f t="shared" si="4"/>
        <v>Week 3</v>
      </c>
    </row>
    <row r="309" spans="1:21" x14ac:dyDescent="0.25">
      <c r="A309" s="1">
        <v>308</v>
      </c>
      <c r="B309" s="1" t="s">
        <v>2768</v>
      </c>
      <c r="C309" s="2">
        <v>46128</v>
      </c>
      <c r="D309" s="1" t="s">
        <v>33</v>
      </c>
      <c r="E309" s="1" t="s">
        <v>38</v>
      </c>
      <c r="F309" s="1" t="s">
        <v>23</v>
      </c>
      <c r="G309" s="1" t="s">
        <v>24</v>
      </c>
      <c r="H309" s="1">
        <v>1</v>
      </c>
      <c r="I309" s="1" t="s">
        <v>2769</v>
      </c>
      <c r="J309" s="1" t="s">
        <v>26</v>
      </c>
      <c r="K309" s="1">
        <v>496000</v>
      </c>
      <c r="L309" s="1">
        <v>0</v>
      </c>
      <c r="M309" s="1">
        <v>0</v>
      </c>
      <c r="N309" s="1">
        <v>54560</v>
      </c>
      <c r="O309" s="1">
        <v>0</v>
      </c>
      <c r="P309" s="1">
        <v>0</v>
      </c>
      <c r="Q309" s="1">
        <v>0</v>
      </c>
      <c r="R309" s="1">
        <v>550560</v>
      </c>
      <c r="S309" s="1">
        <v>131000</v>
      </c>
      <c r="T309" s="1">
        <v>26.411290322580999</v>
      </c>
      <c r="U309" t="str">
        <f t="shared" si="4"/>
        <v>Week 3</v>
      </c>
    </row>
    <row r="310" spans="1:21" x14ac:dyDescent="0.25">
      <c r="A310" s="1">
        <v>309</v>
      </c>
      <c r="B310" s="1" t="s">
        <v>2770</v>
      </c>
      <c r="C310" s="2">
        <v>46128</v>
      </c>
      <c r="D310" s="1" t="s">
        <v>37</v>
      </c>
      <c r="E310" s="1" t="s">
        <v>38</v>
      </c>
      <c r="F310" s="1" t="s">
        <v>23</v>
      </c>
      <c r="G310" s="1" t="s">
        <v>24</v>
      </c>
      <c r="H310" s="1">
        <v>1</v>
      </c>
      <c r="I310" s="1" t="s">
        <v>2771</v>
      </c>
      <c r="J310" s="1" t="s">
        <v>26</v>
      </c>
      <c r="K310" s="1">
        <v>1175000</v>
      </c>
      <c r="L310" s="1">
        <v>0</v>
      </c>
      <c r="M310" s="1">
        <v>0</v>
      </c>
      <c r="N310" s="1">
        <v>129250</v>
      </c>
      <c r="O310" s="1">
        <v>0</v>
      </c>
      <c r="P310" s="1">
        <v>0</v>
      </c>
      <c r="Q310" s="1">
        <v>0</v>
      </c>
      <c r="R310" s="1">
        <v>1304250</v>
      </c>
      <c r="S310" s="1">
        <v>325000</v>
      </c>
      <c r="T310" s="1">
        <v>27.659574468085001</v>
      </c>
      <c r="U310" t="str">
        <f t="shared" si="4"/>
        <v>Week 3</v>
      </c>
    </row>
    <row r="311" spans="1:21" x14ac:dyDescent="0.25">
      <c r="A311" s="1">
        <v>310</v>
      </c>
      <c r="B311" s="1" t="s">
        <v>2772</v>
      </c>
      <c r="C311" s="2">
        <v>46128</v>
      </c>
      <c r="D311" s="1" t="s">
        <v>53</v>
      </c>
      <c r="E311" s="1" t="s">
        <v>54</v>
      </c>
      <c r="F311" s="1" t="s">
        <v>30</v>
      </c>
      <c r="G311" s="1" t="s">
        <v>24</v>
      </c>
      <c r="H311" s="1">
        <v>1</v>
      </c>
      <c r="I311" s="1" t="s">
        <v>2773</v>
      </c>
      <c r="J311" s="1"/>
      <c r="K311" s="1">
        <v>21702100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  <c r="R311" s="1">
        <v>21702100</v>
      </c>
      <c r="S311" s="1">
        <v>632100</v>
      </c>
      <c r="T311" s="1">
        <v>2.9126213592233001</v>
      </c>
      <c r="U311" t="str">
        <f t="shared" si="4"/>
        <v>Week 3</v>
      </c>
    </row>
    <row r="312" spans="1:21" x14ac:dyDescent="0.25">
      <c r="A312" s="1">
        <v>311</v>
      </c>
      <c r="B312" s="1" t="s">
        <v>2774</v>
      </c>
      <c r="C312" s="2">
        <v>46128</v>
      </c>
      <c r="D312" s="1" t="s">
        <v>33</v>
      </c>
      <c r="E312" s="1" t="s">
        <v>34</v>
      </c>
      <c r="F312" s="1" t="s">
        <v>30</v>
      </c>
      <c r="G312" s="1" t="s">
        <v>24</v>
      </c>
      <c r="H312" s="1">
        <v>1</v>
      </c>
      <c r="I312" s="1" t="s">
        <v>2395</v>
      </c>
      <c r="J312" s="1"/>
      <c r="K312" s="1">
        <v>1169050</v>
      </c>
      <c r="L312" s="1">
        <v>0</v>
      </c>
      <c r="M312" s="1">
        <v>0</v>
      </c>
      <c r="N312" s="1">
        <v>128595.5</v>
      </c>
      <c r="O312" s="1">
        <v>0</v>
      </c>
      <c r="P312" s="1">
        <v>0</v>
      </c>
      <c r="Q312" s="1">
        <v>0</v>
      </c>
      <c r="R312" s="1">
        <v>1297645.5</v>
      </c>
      <c r="S312" s="1">
        <v>1169049</v>
      </c>
      <c r="T312" s="1">
        <v>99.999914460458996</v>
      </c>
      <c r="U312" t="str">
        <f t="shared" si="4"/>
        <v>Week 3</v>
      </c>
    </row>
    <row r="313" spans="1:21" x14ac:dyDescent="0.25">
      <c r="A313" s="1">
        <v>312</v>
      </c>
      <c r="B313" s="1" t="s">
        <v>2775</v>
      </c>
      <c r="C313" s="2">
        <v>46128</v>
      </c>
      <c r="D313" s="1" t="s">
        <v>33</v>
      </c>
      <c r="E313" s="1" t="s">
        <v>34</v>
      </c>
      <c r="F313" s="1" t="s">
        <v>30</v>
      </c>
      <c r="G313" s="1" t="s">
        <v>24</v>
      </c>
      <c r="H313" s="1">
        <v>1</v>
      </c>
      <c r="I313" s="1" t="s">
        <v>2776</v>
      </c>
      <c r="J313" s="1"/>
      <c r="K313" s="1">
        <v>2310736.12</v>
      </c>
      <c r="L313" s="1">
        <v>0</v>
      </c>
      <c r="M313" s="1">
        <v>0</v>
      </c>
      <c r="N313" s="1">
        <v>254180.97320000001</v>
      </c>
      <c r="O313" s="1">
        <v>0</v>
      </c>
      <c r="P313" s="1">
        <v>0</v>
      </c>
      <c r="Q313" s="1">
        <v>0</v>
      </c>
      <c r="R313" s="1">
        <v>2564917.0932</v>
      </c>
      <c r="S313" s="1">
        <v>317943.32720721001</v>
      </c>
      <c r="T313" s="1">
        <v>13.759395737805001</v>
      </c>
      <c r="U313" t="str">
        <f t="shared" si="4"/>
        <v>Week 3</v>
      </c>
    </row>
    <row r="314" spans="1:21" x14ac:dyDescent="0.25">
      <c r="A314" s="1">
        <v>313</v>
      </c>
      <c r="B314" s="1" t="s">
        <v>2777</v>
      </c>
      <c r="C314" s="2">
        <v>46128</v>
      </c>
      <c r="D314" s="1" t="s">
        <v>169</v>
      </c>
      <c r="E314" s="1" t="s">
        <v>99</v>
      </c>
      <c r="F314" s="1" t="s">
        <v>30</v>
      </c>
      <c r="G314" s="1" t="s">
        <v>24</v>
      </c>
      <c r="H314" s="1">
        <v>1</v>
      </c>
      <c r="I314" s="1" t="s">
        <v>2778</v>
      </c>
      <c r="J314" s="1" t="s">
        <v>56</v>
      </c>
      <c r="K314" s="1">
        <v>121397600</v>
      </c>
      <c r="L314" s="1">
        <v>0</v>
      </c>
      <c r="M314" s="1">
        <v>0</v>
      </c>
      <c r="N314" s="1">
        <v>13353736</v>
      </c>
      <c r="O314" s="1">
        <v>0</v>
      </c>
      <c r="P314" s="1">
        <v>0</v>
      </c>
      <c r="Q314" s="1">
        <v>0</v>
      </c>
      <c r="R314" s="1">
        <v>134751336</v>
      </c>
      <c r="S314" s="1">
        <v>11125490</v>
      </c>
      <c r="T314" s="1">
        <v>9.1645057233420992</v>
      </c>
      <c r="U314" t="str">
        <f t="shared" si="4"/>
        <v>Week 3</v>
      </c>
    </row>
    <row r="315" spans="1:21" x14ac:dyDescent="0.25">
      <c r="A315" s="1">
        <v>314</v>
      </c>
      <c r="B315" s="1" t="s">
        <v>2779</v>
      </c>
      <c r="C315" s="2">
        <v>46128</v>
      </c>
      <c r="D315" s="1" t="s">
        <v>33</v>
      </c>
      <c r="E315" s="1" t="s">
        <v>34</v>
      </c>
      <c r="F315" s="1" t="s">
        <v>30</v>
      </c>
      <c r="G315" s="1" t="s">
        <v>24</v>
      </c>
      <c r="H315" s="1">
        <v>1</v>
      </c>
      <c r="I315" s="1" t="s">
        <v>2780</v>
      </c>
      <c r="J315" s="1"/>
      <c r="K315" s="1">
        <v>137200</v>
      </c>
      <c r="L315" s="1">
        <v>0</v>
      </c>
      <c r="M315" s="1">
        <v>0</v>
      </c>
      <c r="N315" s="1">
        <v>15092</v>
      </c>
      <c r="O315" s="1">
        <v>0</v>
      </c>
      <c r="P315" s="1">
        <v>0</v>
      </c>
      <c r="Q315" s="1">
        <v>0</v>
      </c>
      <c r="R315" s="1">
        <v>152292</v>
      </c>
      <c r="S315" s="1">
        <v>137198</v>
      </c>
      <c r="T315" s="1">
        <v>99.998542274051999</v>
      </c>
      <c r="U315" t="str">
        <f t="shared" si="4"/>
        <v>Week 3</v>
      </c>
    </row>
    <row r="316" spans="1:21" x14ac:dyDescent="0.25">
      <c r="A316" s="1">
        <v>315</v>
      </c>
      <c r="B316" s="1" t="s">
        <v>2781</v>
      </c>
      <c r="C316" s="2">
        <v>46128</v>
      </c>
      <c r="D316" s="1" t="s">
        <v>33</v>
      </c>
      <c r="E316" s="1" t="s">
        <v>34</v>
      </c>
      <c r="F316" s="1" t="s">
        <v>23</v>
      </c>
      <c r="G316" s="1" t="s">
        <v>24</v>
      </c>
      <c r="H316" s="1">
        <v>1</v>
      </c>
      <c r="I316" s="1" t="s">
        <v>2782</v>
      </c>
      <c r="J316" s="1"/>
      <c r="K316" s="1">
        <v>13548000</v>
      </c>
      <c r="L316" s="1">
        <v>0</v>
      </c>
      <c r="M316" s="1">
        <v>0</v>
      </c>
      <c r="N316" s="1">
        <v>1490280</v>
      </c>
      <c r="O316" s="1">
        <v>0</v>
      </c>
      <c r="P316" s="1">
        <v>0</v>
      </c>
      <c r="Q316" s="1">
        <v>0</v>
      </c>
      <c r="R316" s="1">
        <v>15038280</v>
      </c>
      <c r="S316" s="1">
        <v>5916387.416402</v>
      </c>
      <c r="T316" s="1">
        <v>43.669821496914999</v>
      </c>
      <c r="U316" t="str">
        <f t="shared" si="4"/>
        <v>Week 3</v>
      </c>
    </row>
    <row r="317" spans="1:21" x14ac:dyDescent="0.25">
      <c r="A317" s="1">
        <v>316</v>
      </c>
      <c r="B317" s="1" t="s">
        <v>2783</v>
      </c>
      <c r="C317" s="2">
        <v>46128</v>
      </c>
      <c r="D317" s="1" t="s">
        <v>33</v>
      </c>
      <c r="E317" s="1" t="s">
        <v>34</v>
      </c>
      <c r="F317" s="1" t="s">
        <v>30</v>
      </c>
      <c r="G317" s="1" t="s">
        <v>24</v>
      </c>
      <c r="H317" s="1">
        <v>1</v>
      </c>
      <c r="I317" s="1" t="s">
        <v>2784</v>
      </c>
      <c r="J317" s="1"/>
      <c r="K317" s="1">
        <v>8134000</v>
      </c>
      <c r="L317" s="1">
        <v>0</v>
      </c>
      <c r="M317" s="1">
        <v>0</v>
      </c>
      <c r="N317" s="1">
        <v>894740</v>
      </c>
      <c r="O317" s="1">
        <v>0</v>
      </c>
      <c r="P317" s="1">
        <v>0</v>
      </c>
      <c r="Q317" s="1">
        <v>0</v>
      </c>
      <c r="R317" s="1">
        <v>9028740</v>
      </c>
      <c r="S317" s="1">
        <v>1734000</v>
      </c>
      <c r="T317" s="1">
        <v>21.317924760265999</v>
      </c>
      <c r="U317" t="str">
        <f t="shared" si="4"/>
        <v>Week 3</v>
      </c>
    </row>
    <row r="318" spans="1:21" x14ac:dyDescent="0.25">
      <c r="A318" s="1">
        <v>317</v>
      </c>
      <c r="B318" s="1" t="s">
        <v>2785</v>
      </c>
      <c r="C318" s="2">
        <v>46128</v>
      </c>
      <c r="D318" s="1" t="s">
        <v>33</v>
      </c>
      <c r="E318" s="1" t="s">
        <v>34</v>
      </c>
      <c r="F318" s="1" t="s">
        <v>30</v>
      </c>
      <c r="G318" s="1" t="s">
        <v>24</v>
      </c>
      <c r="H318" s="1">
        <v>1</v>
      </c>
      <c r="I318" s="1" t="s">
        <v>2786</v>
      </c>
      <c r="J318" s="1"/>
      <c r="K318" s="1">
        <v>15060950.880000001</v>
      </c>
      <c r="L318" s="1">
        <v>0</v>
      </c>
      <c r="M318" s="1">
        <v>0</v>
      </c>
      <c r="N318" s="1">
        <v>1656704.5967999999</v>
      </c>
      <c r="O318" s="1">
        <v>0</v>
      </c>
      <c r="P318" s="1">
        <v>0</v>
      </c>
      <c r="Q318" s="1">
        <v>0</v>
      </c>
      <c r="R318" s="1">
        <v>16717655.4768</v>
      </c>
      <c r="S318" s="1">
        <v>1911464.4430631001</v>
      </c>
      <c r="T318" s="1">
        <v>12.69152564332</v>
      </c>
      <c r="U318" t="str">
        <f t="shared" si="4"/>
        <v>Week 3</v>
      </c>
    </row>
    <row r="319" spans="1:21" x14ac:dyDescent="0.25">
      <c r="A319" s="1">
        <v>318</v>
      </c>
      <c r="B319" s="1" t="s">
        <v>2787</v>
      </c>
      <c r="C319" s="2">
        <v>46128</v>
      </c>
      <c r="D319" s="1" t="s">
        <v>98</v>
      </c>
      <c r="E319" s="1" t="s">
        <v>99</v>
      </c>
      <c r="F319" s="1" t="s">
        <v>30</v>
      </c>
      <c r="G319" s="1" t="s">
        <v>24</v>
      </c>
      <c r="H319" s="1">
        <v>1</v>
      </c>
      <c r="I319" s="1" t="s">
        <v>2915</v>
      </c>
      <c r="J319" s="1" t="s">
        <v>26</v>
      </c>
      <c r="K319" s="1">
        <v>5047000</v>
      </c>
      <c r="L319" s="1">
        <v>0</v>
      </c>
      <c r="M319" s="1">
        <v>0</v>
      </c>
      <c r="N319" s="1">
        <v>555170</v>
      </c>
      <c r="O319" s="1">
        <v>0</v>
      </c>
      <c r="P319" s="1">
        <v>0</v>
      </c>
      <c r="Q319" s="1">
        <v>0</v>
      </c>
      <c r="R319" s="1">
        <v>5602170</v>
      </c>
      <c r="S319" s="1">
        <v>147000</v>
      </c>
      <c r="T319" s="1">
        <v>2.9126213592233001</v>
      </c>
      <c r="U319" t="str">
        <f t="shared" si="4"/>
        <v>Week 3</v>
      </c>
    </row>
    <row r="320" spans="1:21" x14ac:dyDescent="0.25">
      <c r="A320" s="1">
        <v>319</v>
      </c>
      <c r="B320" s="1" t="s">
        <v>1096</v>
      </c>
      <c r="C320" s="2">
        <v>46128</v>
      </c>
      <c r="D320" s="1" t="s">
        <v>184</v>
      </c>
      <c r="E320" s="1" t="s">
        <v>116</v>
      </c>
      <c r="F320" s="1" t="s">
        <v>23</v>
      </c>
      <c r="G320" s="1" t="s">
        <v>24</v>
      </c>
      <c r="H320" s="1">
        <v>1</v>
      </c>
      <c r="I320" s="1" t="s">
        <v>1097</v>
      </c>
      <c r="J320" s="1" t="s">
        <v>26</v>
      </c>
      <c r="K320" s="1">
        <v>26040000</v>
      </c>
      <c r="L320" s="1">
        <v>0</v>
      </c>
      <c r="M320" s="1">
        <v>0</v>
      </c>
      <c r="N320" s="1">
        <v>0</v>
      </c>
      <c r="O320" s="1">
        <v>0</v>
      </c>
      <c r="P320" s="1">
        <v>0</v>
      </c>
      <c r="Q320" s="1">
        <v>0</v>
      </c>
      <c r="R320" s="1">
        <v>26040000</v>
      </c>
      <c r="S320" s="1">
        <v>10290000</v>
      </c>
      <c r="T320" s="1">
        <v>39.516129032258</v>
      </c>
      <c r="U320" t="str">
        <f t="shared" si="4"/>
        <v>Week 3</v>
      </c>
    </row>
    <row r="321" spans="1:21" x14ac:dyDescent="0.25">
      <c r="A321" s="1">
        <v>320</v>
      </c>
      <c r="B321" s="1" t="s">
        <v>2788</v>
      </c>
      <c r="C321" s="2">
        <v>46127</v>
      </c>
      <c r="D321" s="1" t="s">
        <v>202</v>
      </c>
      <c r="E321" s="1" t="s">
        <v>203</v>
      </c>
      <c r="F321" s="1" t="s">
        <v>30</v>
      </c>
      <c r="G321" s="1" t="s">
        <v>24</v>
      </c>
      <c r="H321" s="1">
        <v>1</v>
      </c>
      <c r="I321" s="1" t="s">
        <v>3370</v>
      </c>
      <c r="J321" s="1" t="s">
        <v>26</v>
      </c>
      <c r="K321" s="1">
        <v>19198240</v>
      </c>
      <c r="L321" s="1">
        <v>0</v>
      </c>
      <c r="M321" s="1">
        <v>0</v>
      </c>
      <c r="N321" s="1">
        <v>2111806.4</v>
      </c>
      <c r="O321" s="1">
        <v>0</v>
      </c>
      <c r="P321" s="1">
        <v>0</v>
      </c>
      <c r="Q321" s="1">
        <v>0</v>
      </c>
      <c r="R321" s="1">
        <v>21310046.399999999</v>
      </c>
      <c r="S321" s="1">
        <v>628240</v>
      </c>
      <c r="T321" s="1">
        <v>3.2723833018027002</v>
      </c>
      <c r="U321" t="str">
        <f t="shared" si="4"/>
        <v>Week 3</v>
      </c>
    </row>
    <row r="322" spans="1:21" x14ac:dyDescent="0.25">
      <c r="A322" s="1">
        <v>321</v>
      </c>
      <c r="B322" s="1" t="s">
        <v>2789</v>
      </c>
      <c r="C322" s="2">
        <v>46127</v>
      </c>
      <c r="D322" s="1" t="s">
        <v>248</v>
      </c>
      <c r="E322" s="1" t="s">
        <v>116</v>
      </c>
      <c r="F322" s="1" t="s">
        <v>30</v>
      </c>
      <c r="G322" s="1" t="s">
        <v>24</v>
      </c>
      <c r="H322" s="1">
        <v>1</v>
      </c>
      <c r="I322" s="1" t="s">
        <v>2790</v>
      </c>
      <c r="J322" s="1" t="s">
        <v>56</v>
      </c>
      <c r="K322" s="1">
        <v>142881000</v>
      </c>
      <c r="L322" s="1">
        <v>0</v>
      </c>
      <c r="M322" s="1">
        <v>0</v>
      </c>
      <c r="N322" s="1">
        <v>15716910</v>
      </c>
      <c r="O322" s="1">
        <v>0</v>
      </c>
      <c r="P322" s="1">
        <v>0</v>
      </c>
      <c r="Q322" s="1">
        <v>0</v>
      </c>
      <c r="R322" s="1">
        <v>158597910</v>
      </c>
      <c r="S322" s="1">
        <v>21031198.199000001</v>
      </c>
      <c r="T322" s="1">
        <v>14.719380602738999</v>
      </c>
      <c r="U322" t="str">
        <f t="shared" si="4"/>
        <v>Week 3</v>
      </c>
    </row>
    <row r="323" spans="1:21" x14ac:dyDescent="0.25">
      <c r="A323" s="1">
        <v>322</v>
      </c>
      <c r="B323" s="1" t="s">
        <v>2791</v>
      </c>
      <c r="C323" s="2">
        <v>46127</v>
      </c>
      <c r="D323" s="1" t="s">
        <v>53</v>
      </c>
      <c r="E323" s="1" t="s">
        <v>54</v>
      </c>
      <c r="F323" s="1" t="s">
        <v>30</v>
      </c>
      <c r="G323" s="1" t="s">
        <v>24</v>
      </c>
      <c r="H323" s="1">
        <v>1</v>
      </c>
      <c r="I323" s="1" t="s">
        <v>2792</v>
      </c>
      <c r="J323" s="1"/>
      <c r="K323" s="1">
        <v>1553890</v>
      </c>
      <c r="L323" s="1">
        <v>0</v>
      </c>
      <c r="M323" s="1">
        <v>0</v>
      </c>
      <c r="N323" s="1">
        <v>170927.9</v>
      </c>
      <c r="O323" s="1">
        <v>0</v>
      </c>
      <c r="P323" s="1">
        <v>0</v>
      </c>
      <c r="Q323" s="1">
        <v>0</v>
      </c>
      <c r="R323" s="1">
        <v>1724817.9</v>
      </c>
      <c r="S323" s="1">
        <v>708820.96648648998</v>
      </c>
      <c r="T323" s="1">
        <v>45.615903731054999</v>
      </c>
      <c r="U323" t="str">
        <f t="shared" ref="U323:U386" si="5">"Week "&amp;IF(DAY(C323)&gt;=24,4,INT((DAY(C323)-1)/7)+1)</f>
        <v>Week 3</v>
      </c>
    </row>
    <row r="324" spans="1:21" x14ac:dyDescent="0.25">
      <c r="A324" s="1">
        <v>323</v>
      </c>
      <c r="B324" s="1" t="s">
        <v>2793</v>
      </c>
      <c r="C324" s="2">
        <v>46127</v>
      </c>
      <c r="D324" s="1" t="s">
        <v>169</v>
      </c>
      <c r="E324" s="1" t="s">
        <v>99</v>
      </c>
      <c r="F324" s="1" t="s">
        <v>30</v>
      </c>
      <c r="G324" s="1" t="s">
        <v>24</v>
      </c>
      <c r="H324" s="1">
        <v>1</v>
      </c>
      <c r="I324" s="1" t="s">
        <v>2794</v>
      </c>
      <c r="J324" s="1" t="s">
        <v>26</v>
      </c>
      <c r="K324" s="1">
        <v>33868800</v>
      </c>
      <c r="L324" s="1">
        <v>0</v>
      </c>
      <c r="M324" s="1">
        <v>0</v>
      </c>
      <c r="N324" s="1">
        <v>3725568</v>
      </c>
      <c r="O324" s="1">
        <v>0</v>
      </c>
      <c r="P324" s="1">
        <v>0</v>
      </c>
      <c r="Q324" s="1">
        <v>0</v>
      </c>
      <c r="R324" s="1">
        <v>37594368</v>
      </c>
      <c r="S324" s="1">
        <v>8452583.7837838009</v>
      </c>
      <c r="T324" s="1">
        <v>24.956844599701999</v>
      </c>
      <c r="U324" t="str">
        <f t="shared" si="5"/>
        <v>Week 3</v>
      </c>
    </row>
    <row r="325" spans="1:21" x14ac:dyDescent="0.25">
      <c r="A325" s="1">
        <v>324</v>
      </c>
      <c r="B325" s="1" t="s">
        <v>2795</v>
      </c>
      <c r="C325" s="2">
        <v>46127</v>
      </c>
      <c r="D325" s="1" t="s">
        <v>98</v>
      </c>
      <c r="E325" s="1" t="s">
        <v>99</v>
      </c>
      <c r="F325" s="1" t="s">
        <v>30</v>
      </c>
      <c r="G325" s="1" t="s">
        <v>24</v>
      </c>
      <c r="H325" s="1">
        <v>1</v>
      </c>
      <c r="I325" s="1" t="s">
        <v>2796</v>
      </c>
      <c r="J325" s="1"/>
      <c r="K325" s="1">
        <v>22397968</v>
      </c>
      <c r="L325" s="1">
        <v>0</v>
      </c>
      <c r="M325" s="1">
        <v>0</v>
      </c>
      <c r="N325" s="1">
        <v>2463776.48</v>
      </c>
      <c r="O325" s="1">
        <v>0</v>
      </c>
      <c r="P325" s="1">
        <v>0</v>
      </c>
      <c r="Q325" s="1">
        <v>0</v>
      </c>
      <c r="R325" s="1">
        <v>24861744.48</v>
      </c>
      <c r="S325" s="1">
        <v>652368</v>
      </c>
      <c r="T325" s="1">
        <v>2.9126213592233001</v>
      </c>
      <c r="U325" t="str">
        <f t="shared" si="5"/>
        <v>Week 3</v>
      </c>
    </row>
    <row r="326" spans="1:21" x14ac:dyDescent="0.25">
      <c r="A326" s="1">
        <v>325</v>
      </c>
      <c r="B326" s="1" t="s">
        <v>2797</v>
      </c>
      <c r="C326" s="2">
        <v>46127</v>
      </c>
      <c r="D326" s="1" t="s">
        <v>202</v>
      </c>
      <c r="E326" s="1" t="s">
        <v>203</v>
      </c>
      <c r="F326" s="1" t="s">
        <v>30</v>
      </c>
      <c r="G326" s="1" t="s">
        <v>24</v>
      </c>
      <c r="H326" s="1">
        <v>1</v>
      </c>
      <c r="I326" s="1" t="s">
        <v>2798</v>
      </c>
      <c r="J326" s="1" t="s">
        <v>26</v>
      </c>
      <c r="K326" s="1">
        <v>2401000</v>
      </c>
      <c r="L326" s="1">
        <v>0</v>
      </c>
      <c r="M326" s="1">
        <v>0</v>
      </c>
      <c r="N326" s="1">
        <v>264110</v>
      </c>
      <c r="O326" s="1">
        <v>0</v>
      </c>
      <c r="P326" s="1">
        <v>0</v>
      </c>
      <c r="Q326" s="1">
        <v>0</v>
      </c>
      <c r="R326" s="1">
        <v>2665110</v>
      </c>
      <c r="S326" s="1">
        <v>86000</v>
      </c>
      <c r="T326" s="1">
        <v>3.5818408996251998</v>
      </c>
      <c r="U326" t="str">
        <f t="shared" si="5"/>
        <v>Week 3</v>
      </c>
    </row>
    <row r="327" spans="1:21" x14ac:dyDescent="0.25">
      <c r="A327" s="1">
        <v>326</v>
      </c>
      <c r="B327" s="1" t="s">
        <v>2799</v>
      </c>
      <c r="C327" s="2">
        <v>46127</v>
      </c>
      <c r="D327" s="1" t="s">
        <v>98</v>
      </c>
      <c r="E327" s="1" t="s">
        <v>99</v>
      </c>
      <c r="F327" s="1" t="s">
        <v>30</v>
      </c>
      <c r="G327" s="1" t="s">
        <v>24</v>
      </c>
      <c r="H327" s="1">
        <v>1</v>
      </c>
      <c r="I327" s="1" t="s">
        <v>2800</v>
      </c>
      <c r="J327" s="1"/>
      <c r="K327" s="1">
        <v>9291630</v>
      </c>
      <c r="L327" s="1">
        <v>0</v>
      </c>
      <c r="M327" s="1">
        <v>0</v>
      </c>
      <c r="N327" s="1">
        <v>1022079.3</v>
      </c>
      <c r="O327" s="1">
        <v>0</v>
      </c>
      <c r="P327" s="1">
        <v>0</v>
      </c>
      <c r="Q327" s="1">
        <v>0</v>
      </c>
      <c r="R327" s="1">
        <v>10313709.300000001</v>
      </c>
      <c r="S327" s="1">
        <v>-8370</v>
      </c>
      <c r="T327" s="1">
        <v>-9.0081072965669001E-2</v>
      </c>
      <c r="U327" t="str">
        <f t="shared" si="5"/>
        <v>Week 3</v>
      </c>
    </row>
    <row r="328" spans="1:21" x14ac:dyDescent="0.25">
      <c r="A328" s="1">
        <v>327</v>
      </c>
      <c r="B328" s="1" t="s">
        <v>2801</v>
      </c>
      <c r="C328" s="2">
        <v>46127</v>
      </c>
      <c r="D328" s="1" t="s">
        <v>112</v>
      </c>
      <c r="E328" s="1" t="s">
        <v>38</v>
      </c>
      <c r="F328" s="1" t="s">
        <v>30</v>
      </c>
      <c r="G328" s="1" t="s">
        <v>24</v>
      </c>
      <c r="H328" s="1">
        <v>1</v>
      </c>
      <c r="I328" s="1" t="s">
        <v>2802</v>
      </c>
      <c r="J328" s="1"/>
      <c r="K328" s="1">
        <v>735000</v>
      </c>
      <c r="L328" s="1">
        <v>0</v>
      </c>
      <c r="M328" s="1">
        <v>0</v>
      </c>
      <c r="N328" s="1">
        <v>80850</v>
      </c>
      <c r="O328" s="1">
        <v>0</v>
      </c>
      <c r="P328" s="1">
        <v>0</v>
      </c>
      <c r="Q328" s="1">
        <v>0</v>
      </c>
      <c r="R328" s="1">
        <v>815850</v>
      </c>
      <c r="S328" s="1">
        <v>442207</v>
      </c>
      <c r="T328" s="1">
        <v>60.164217687075002</v>
      </c>
      <c r="U328" t="str">
        <f t="shared" si="5"/>
        <v>Week 3</v>
      </c>
    </row>
    <row r="329" spans="1:21" x14ac:dyDescent="0.25">
      <c r="A329" s="1">
        <v>328</v>
      </c>
      <c r="B329" s="1" t="s">
        <v>2803</v>
      </c>
      <c r="C329" s="2">
        <v>46127</v>
      </c>
      <c r="D329" s="1" t="s">
        <v>248</v>
      </c>
      <c r="E329" s="1" t="s">
        <v>116</v>
      </c>
      <c r="F329" s="1" t="s">
        <v>23</v>
      </c>
      <c r="G329" s="1" t="s">
        <v>24</v>
      </c>
      <c r="H329" s="1">
        <v>1</v>
      </c>
      <c r="I329" s="1" t="s">
        <v>1076</v>
      </c>
      <c r="J329" s="1" t="s">
        <v>26</v>
      </c>
      <c r="K329" s="1">
        <v>34194951</v>
      </c>
      <c r="L329" s="1">
        <v>0</v>
      </c>
      <c r="M329" s="1">
        <v>0</v>
      </c>
      <c r="N329" s="1">
        <v>3761444.61</v>
      </c>
      <c r="O329" s="1">
        <v>0</v>
      </c>
      <c r="P329" s="1">
        <v>0</v>
      </c>
      <c r="Q329" s="1">
        <v>0</v>
      </c>
      <c r="R329" s="1">
        <v>37956395.609999999</v>
      </c>
      <c r="S329" s="1">
        <v>6355141</v>
      </c>
      <c r="T329" s="1">
        <v>18.585027362664999</v>
      </c>
      <c r="U329" t="str">
        <f t="shared" si="5"/>
        <v>Week 3</v>
      </c>
    </row>
    <row r="330" spans="1:21" x14ac:dyDescent="0.25">
      <c r="A330" s="1">
        <v>329</v>
      </c>
      <c r="B330" s="1" t="s">
        <v>2804</v>
      </c>
      <c r="C330" s="2">
        <v>46127</v>
      </c>
      <c r="D330" s="1" t="s">
        <v>53</v>
      </c>
      <c r="E330" s="1" t="s">
        <v>54</v>
      </c>
      <c r="F330" s="1" t="s">
        <v>30</v>
      </c>
      <c r="G330" s="1" t="s">
        <v>24</v>
      </c>
      <c r="H330" s="1">
        <v>1</v>
      </c>
      <c r="I330" s="1" t="s">
        <v>2805</v>
      </c>
      <c r="J330" s="1"/>
      <c r="K330" s="1">
        <v>16195628.960000001</v>
      </c>
      <c r="L330" s="1">
        <v>0</v>
      </c>
      <c r="M330" s="1">
        <v>0</v>
      </c>
      <c r="N330" s="1">
        <v>1781519.1856</v>
      </c>
      <c r="O330" s="1">
        <v>0</v>
      </c>
      <c r="P330" s="1">
        <v>0</v>
      </c>
      <c r="Q330" s="1">
        <v>0</v>
      </c>
      <c r="R330" s="1">
        <v>17977148.145599999</v>
      </c>
      <c r="S330" s="1">
        <v>5457724.0770269996</v>
      </c>
      <c r="T330" s="1">
        <v>33.698747300931998</v>
      </c>
      <c r="U330" t="str">
        <f t="shared" si="5"/>
        <v>Week 3</v>
      </c>
    </row>
    <row r="331" spans="1:21" x14ac:dyDescent="0.25">
      <c r="A331" s="1">
        <v>330</v>
      </c>
      <c r="B331" s="1" t="s">
        <v>2806</v>
      </c>
      <c r="C331" s="2">
        <v>46127</v>
      </c>
      <c r="D331" s="1" t="s">
        <v>202</v>
      </c>
      <c r="E331" s="1" t="s">
        <v>203</v>
      </c>
      <c r="F331" s="1" t="s">
        <v>30</v>
      </c>
      <c r="G331" s="1" t="s">
        <v>24</v>
      </c>
      <c r="H331" s="1">
        <v>1</v>
      </c>
      <c r="I331" s="1" t="s">
        <v>2807</v>
      </c>
      <c r="J331" s="1" t="s">
        <v>26</v>
      </c>
      <c r="K331" s="1">
        <v>9374800</v>
      </c>
      <c r="L331" s="1">
        <v>0</v>
      </c>
      <c r="M331" s="1">
        <v>0</v>
      </c>
      <c r="N331" s="1">
        <v>1031228</v>
      </c>
      <c r="O331" s="1">
        <v>0</v>
      </c>
      <c r="P331" s="1">
        <v>0</v>
      </c>
      <c r="Q331" s="1">
        <v>0</v>
      </c>
      <c r="R331" s="1">
        <v>10406028</v>
      </c>
      <c r="S331" s="1">
        <v>1159770</v>
      </c>
      <c r="T331" s="1">
        <v>12.371143917736999</v>
      </c>
      <c r="U331" t="str">
        <f t="shared" si="5"/>
        <v>Week 3</v>
      </c>
    </row>
    <row r="332" spans="1:21" x14ac:dyDescent="0.25">
      <c r="A332" s="1">
        <v>331</v>
      </c>
      <c r="B332" s="1" t="s">
        <v>2808</v>
      </c>
      <c r="C332" s="2">
        <v>46127</v>
      </c>
      <c r="D332" s="1" t="s">
        <v>33</v>
      </c>
      <c r="E332" s="1" t="s">
        <v>34</v>
      </c>
      <c r="F332" s="1" t="s">
        <v>30</v>
      </c>
      <c r="G332" s="1" t="s">
        <v>24</v>
      </c>
      <c r="H332" s="1">
        <v>1</v>
      </c>
      <c r="I332" s="1" t="s">
        <v>2809</v>
      </c>
      <c r="J332" s="1" t="s">
        <v>56</v>
      </c>
      <c r="K332" s="1">
        <v>144060000</v>
      </c>
      <c r="L332" s="1">
        <v>0</v>
      </c>
      <c r="M332" s="1">
        <v>0</v>
      </c>
      <c r="N332" s="1">
        <v>15846600</v>
      </c>
      <c r="O332" s="1">
        <v>0</v>
      </c>
      <c r="P332" s="1">
        <v>0</v>
      </c>
      <c r="Q332" s="1">
        <v>0</v>
      </c>
      <c r="R332" s="1">
        <v>159906600</v>
      </c>
      <c r="S332" s="1">
        <v>12060000</v>
      </c>
      <c r="T332" s="1">
        <v>8.3715118700540998</v>
      </c>
      <c r="U332" t="str">
        <f t="shared" si="5"/>
        <v>Week 3</v>
      </c>
    </row>
    <row r="333" spans="1:21" x14ac:dyDescent="0.25">
      <c r="A333" s="1">
        <v>332</v>
      </c>
      <c r="B333" s="1" t="s">
        <v>2810</v>
      </c>
      <c r="C333" s="2">
        <v>46127</v>
      </c>
      <c r="D333" s="1" t="s">
        <v>37</v>
      </c>
      <c r="E333" s="1" t="s">
        <v>38</v>
      </c>
      <c r="F333" s="1" t="s">
        <v>30</v>
      </c>
      <c r="G333" s="1" t="s">
        <v>24</v>
      </c>
      <c r="H333" s="1">
        <v>1</v>
      </c>
      <c r="I333" s="1" t="s">
        <v>2811</v>
      </c>
      <c r="J333" s="1"/>
      <c r="K333" s="1">
        <v>3430000</v>
      </c>
      <c r="L333" s="1">
        <v>0</v>
      </c>
      <c r="M333" s="1">
        <v>0</v>
      </c>
      <c r="N333" s="1">
        <v>377300</v>
      </c>
      <c r="O333" s="1">
        <v>0</v>
      </c>
      <c r="P333" s="1">
        <v>0</v>
      </c>
      <c r="Q333" s="1">
        <v>0</v>
      </c>
      <c r="R333" s="1">
        <v>3807300</v>
      </c>
      <c r="S333" s="1">
        <v>730000</v>
      </c>
      <c r="T333" s="1">
        <v>21.282798833819001</v>
      </c>
      <c r="U333" t="str">
        <f t="shared" si="5"/>
        <v>Week 3</v>
      </c>
    </row>
    <row r="334" spans="1:21" x14ac:dyDescent="0.25">
      <c r="A334" s="1">
        <v>333</v>
      </c>
      <c r="B334" s="1" t="s">
        <v>2487</v>
      </c>
      <c r="C334" s="2">
        <v>46127</v>
      </c>
      <c r="D334" s="1" t="s">
        <v>202</v>
      </c>
      <c r="E334" s="1" t="s">
        <v>2414</v>
      </c>
      <c r="F334" s="1" t="s">
        <v>23</v>
      </c>
      <c r="G334" s="1" t="s">
        <v>24</v>
      </c>
      <c r="H334" s="1">
        <v>1</v>
      </c>
      <c r="I334" s="1" t="s">
        <v>2488</v>
      </c>
      <c r="J334" s="1" t="s">
        <v>26</v>
      </c>
      <c r="K334" s="1">
        <v>4800000</v>
      </c>
      <c r="L334" s="1">
        <v>0</v>
      </c>
      <c r="M334" s="1">
        <v>0</v>
      </c>
      <c r="N334" s="1">
        <v>528000</v>
      </c>
      <c r="O334" s="1">
        <v>0</v>
      </c>
      <c r="P334" s="1">
        <v>0</v>
      </c>
      <c r="Q334" s="1">
        <v>0</v>
      </c>
      <c r="R334" s="1">
        <v>5328000</v>
      </c>
      <c r="S334" s="1">
        <v>1942500</v>
      </c>
      <c r="T334" s="1">
        <v>40.46875</v>
      </c>
      <c r="U334" t="str">
        <f t="shared" si="5"/>
        <v>Week 3</v>
      </c>
    </row>
    <row r="335" spans="1:21" x14ac:dyDescent="0.25">
      <c r="A335" s="1">
        <v>334</v>
      </c>
      <c r="B335" s="1" t="s">
        <v>2489</v>
      </c>
      <c r="C335" s="2">
        <v>46127</v>
      </c>
      <c r="D335" s="1" t="s">
        <v>37</v>
      </c>
      <c r="E335" s="1" t="s">
        <v>38</v>
      </c>
      <c r="F335" s="1" t="s">
        <v>30</v>
      </c>
      <c r="G335" s="1" t="s">
        <v>24</v>
      </c>
      <c r="H335" s="1">
        <v>1</v>
      </c>
      <c r="I335" s="1" t="s">
        <v>2490</v>
      </c>
      <c r="J335" s="1"/>
      <c r="K335" s="1">
        <v>25678506.84</v>
      </c>
      <c r="L335" s="1">
        <v>0</v>
      </c>
      <c r="M335" s="1">
        <v>0</v>
      </c>
      <c r="N335" s="1">
        <v>2824635.7524000001</v>
      </c>
      <c r="O335" s="1">
        <v>0</v>
      </c>
      <c r="P335" s="1">
        <v>0</v>
      </c>
      <c r="Q335" s="1">
        <v>0</v>
      </c>
      <c r="R335" s="1">
        <v>28503142.592399999</v>
      </c>
      <c r="S335" s="1">
        <v>5448725.75</v>
      </c>
      <c r="T335" s="1">
        <v>21.219013176857999</v>
      </c>
      <c r="U335" t="str">
        <f t="shared" si="5"/>
        <v>Week 3</v>
      </c>
    </row>
    <row r="336" spans="1:21" x14ac:dyDescent="0.25">
      <c r="A336" s="1">
        <v>335</v>
      </c>
      <c r="B336" s="1" t="s">
        <v>2491</v>
      </c>
      <c r="C336" s="2">
        <v>46127</v>
      </c>
      <c r="D336" s="1" t="s">
        <v>33</v>
      </c>
      <c r="E336" s="1" t="s">
        <v>34</v>
      </c>
      <c r="F336" s="1" t="s">
        <v>30</v>
      </c>
      <c r="G336" s="1" t="s">
        <v>24</v>
      </c>
      <c r="H336" s="1">
        <v>1</v>
      </c>
      <c r="I336" s="1" t="s">
        <v>2492</v>
      </c>
      <c r="J336" s="1"/>
      <c r="K336" s="1">
        <v>147000</v>
      </c>
      <c r="L336" s="1">
        <v>0</v>
      </c>
      <c r="M336" s="1">
        <v>0</v>
      </c>
      <c r="N336" s="1">
        <v>16170</v>
      </c>
      <c r="O336" s="1">
        <v>0</v>
      </c>
      <c r="P336" s="1">
        <v>0</v>
      </c>
      <c r="Q336" s="1">
        <v>0</v>
      </c>
      <c r="R336" s="1">
        <v>163170</v>
      </c>
      <c r="S336" s="1">
        <v>-33000</v>
      </c>
      <c r="T336" s="1">
        <v>-22.448979591836999</v>
      </c>
      <c r="U336" t="str">
        <f t="shared" si="5"/>
        <v>Week 3</v>
      </c>
    </row>
    <row r="337" spans="1:21" x14ac:dyDescent="0.25">
      <c r="A337" s="1">
        <v>336</v>
      </c>
      <c r="B337" s="1" t="s">
        <v>2493</v>
      </c>
      <c r="C337" s="2">
        <v>46127</v>
      </c>
      <c r="D337" s="1" t="s">
        <v>33</v>
      </c>
      <c r="E337" s="1" t="s">
        <v>34</v>
      </c>
      <c r="F337" s="1" t="s">
        <v>30</v>
      </c>
      <c r="G337" s="1" t="s">
        <v>24</v>
      </c>
      <c r="H337" s="1">
        <v>1</v>
      </c>
      <c r="I337" s="1" t="s">
        <v>2494</v>
      </c>
      <c r="J337" s="1"/>
      <c r="K337" s="1">
        <v>147000</v>
      </c>
      <c r="L337" s="1">
        <v>0</v>
      </c>
      <c r="M337" s="1">
        <v>0</v>
      </c>
      <c r="N337" s="1">
        <v>16170</v>
      </c>
      <c r="O337" s="1">
        <v>0</v>
      </c>
      <c r="P337" s="1">
        <v>0</v>
      </c>
      <c r="Q337" s="1">
        <v>0</v>
      </c>
      <c r="R337" s="1">
        <v>163170</v>
      </c>
      <c r="S337" s="1">
        <v>44040</v>
      </c>
      <c r="T337" s="1">
        <v>29.959183673468999</v>
      </c>
      <c r="U337" t="str">
        <f t="shared" si="5"/>
        <v>Week 3</v>
      </c>
    </row>
    <row r="338" spans="1:21" x14ac:dyDescent="0.25">
      <c r="A338" s="1">
        <v>337</v>
      </c>
      <c r="B338" s="1" t="s">
        <v>2495</v>
      </c>
      <c r="C338" s="2">
        <v>46127</v>
      </c>
      <c r="D338" s="1" t="s">
        <v>33</v>
      </c>
      <c r="E338" s="1" t="s">
        <v>34</v>
      </c>
      <c r="F338" s="1" t="s">
        <v>30</v>
      </c>
      <c r="G338" s="1" t="s">
        <v>24</v>
      </c>
      <c r="H338" s="1">
        <v>1</v>
      </c>
      <c r="I338" s="1" t="s">
        <v>2496</v>
      </c>
      <c r="J338" s="1"/>
      <c r="K338" s="1">
        <v>1225000</v>
      </c>
      <c r="L338" s="1">
        <v>0</v>
      </c>
      <c r="M338" s="1">
        <v>0</v>
      </c>
      <c r="N338" s="1">
        <v>134750</v>
      </c>
      <c r="O338" s="1">
        <v>0</v>
      </c>
      <c r="P338" s="1">
        <v>0</v>
      </c>
      <c r="Q338" s="1">
        <v>0</v>
      </c>
      <c r="R338" s="1">
        <v>1359750</v>
      </c>
      <c r="S338" s="1">
        <v>324099.09909909999</v>
      </c>
      <c r="T338" s="1">
        <v>26.457069314211999</v>
      </c>
      <c r="U338" t="str">
        <f t="shared" si="5"/>
        <v>Week 3</v>
      </c>
    </row>
    <row r="339" spans="1:21" x14ac:dyDescent="0.25">
      <c r="A339" s="1">
        <v>338</v>
      </c>
      <c r="B339" s="1" t="s">
        <v>2497</v>
      </c>
      <c r="C339" s="2">
        <v>46127</v>
      </c>
      <c r="D339" s="1" t="s">
        <v>37</v>
      </c>
      <c r="E339" s="1" t="s">
        <v>38</v>
      </c>
      <c r="F339" s="1" t="s">
        <v>30</v>
      </c>
      <c r="G339" s="1" t="s">
        <v>24</v>
      </c>
      <c r="H339" s="1">
        <v>1</v>
      </c>
      <c r="I339" s="1" t="s">
        <v>2498</v>
      </c>
      <c r="J339" s="1"/>
      <c r="K339" s="1">
        <v>5351045</v>
      </c>
      <c r="L339" s="1">
        <v>0</v>
      </c>
      <c r="M339" s="1">
        <v>0</v>
      </c>
      <c r="N339" s="1">
        <v>588614.94999999995</v>
      </c>
      <c r="O339" s="1">
        <v>0</v>
      </c>
      <c r="P339" s="1">
        <v>0</v>
      </c>
      <c r="Q339" s="1">
        <v>0</v>
      </c>
      <c r="R339" s="1">
        <v>5939659.9500000002</v>
      </c>
      <c r="S339" s="1">
        <v>1677045</v>
      </c>
      <c r="T339" s="1">
        <v>31.340513862245999</v>
      </c>
      <c r="U339" t="str">
        <f t="shared" si="5"/>
        <v>Week 3</v>
      </c>
    </row>
    <row r="340" spans="1:21" x14ac:dyDescent="0.25">
      <c r="A340" s="1">
        <v>339</v>
      </c>
      <c r="B340" s="1" t="s">
        <v>2499</v>
      </c>
      <c r="C340" s="2">
        <v>46127</v>
      </c>
      <c r="D340" s="1" t="s">
        <v>33</v>
      </c>
      <c r="E340" s="1" t="s">
        <v>34</v>
      </c>
      <c r="F340" s="1" t="s">
        <v>30</v>
      </c>
      <c r="G340" s="1" t="s">
        <v>24</v>
      </c>
      <c r="H340" s="1">
        <v>1</v>
      </c>
      <c r="I340" s="1" t="s">
        <v>2500</v>
      </c>
      <c r="J340" s="1"/>
      <c r="K340" s="1">
        <v>4802000</v>
      </c>
      <c r="L340" s="1">
        <v>0</v>
      </c>
      <c r="M340" s="1">
        <v>0</v>
      </c>
      <c r="N340" s="1">
        <v>528220</v>
      </c>
      <c r="O340" s="1">
        <v>0</v>
      </c>
      <c r="P340" s="1">
        <v>0</v>
      </c>
      <c r="Q340" s="1">
        <v>0</v>
      </c>
      <c r="R340" s="1">
        <v>5330220</v>
      </c>
      <c r="S340" s="1">
        <v>-134800</v>
      </c>
      <c r="T340" s="1">
        <v>-2.8071636817993002</v>
      </c>
      <c r="U340" t="str">
        <f t="shared" si="5"/>
        <v>Week 3</v>
      </c>
    </row>
    <row r="341" spans="1:21" x14ac:dyDescent="0.25">
      <c r="A341" s="1">
        <v>340</v>
      </c>
      <c r="B341" s="1" t="s">
        <v>2501</v>
      </c>
      <c r="C341" s="2">
        <v>46127</v>
      </c>
      <c r="D341" s="1" t="s">
        <v>33</v>
      </c>
      <c r="E341" s="1" t="s">
        <v>34</v>
      </c>
      <c r="F341" s="1" t="s">
        <v>30</v>
      </c>
      <c r="G341" s="1" t="s">
        <v>24</v>
      </c>
      <c r="H341" s="1">
        <v>1</v>
      </c>
      <c r="I341" s="1" t="s">
        <v>2502</v>
      </c>
      <c r="J341" s="1"/>
      <c r="K341" s="1">
        <v>2450000</v>
      </c>
      <c r="L341" s="1">
        <v>0</v>
      </c>
      <c r="M341" s="1">
        <v>0</v>
      </c>
      <c r="N341" s="1">
        <v>269500</v>
      </c>
      <c r="O341" s="1">
        <v>0</v>
      </c>
      <c r="P341" s="1">
        <v>0</v>
      </c>
      <c r="Q341" s="1">
        <v>0</v>
      </c>
      <c r="R341" s="1">
        <v>2719500</v>
      </c>
      <c r="S341" s="1">
        <v>-18400</v>
      </c>
      <c r="T341" s="1">
        <v>-0.75102040816326998</v>
      </c>
      <c r="U341" t="str">
        <f t="shared" si="5"/>
        <v>Week 3</v>
      </c>
    </row>
    <row r="342" spans="1:21" x14ac:dyDescent="0.25">
      <c r="A342" s="1">
        <v>341</v>
      </c>
      <c r="B342" s="1" t="s">
        <v>2503</v>
      </c>
      <c r="C342" s="2">
        <v>46127</v>
      </c>
      <c r="D342" s="1" t="s">
        <v>21</v>
      </c>
      <c r="E342" s="1" t="s">
        <v>203</v>
      </c>
      <c r="F342" s="1" t="s">
        <v>23</v>
      </c>
      <c r="G342" s="1" t="s">
        <v>24</v>
      </c>
      <c r="H342" s="1">
        <v>1</v>
      </c>
      <c r="I342" s="1" t="s">
        <v>2504</v>
      </c>
      <c r="J342" s="1" t="s">
        <v>26</v>
      </c>
      <c r="K342" s="1">
        <v>34352000</v>
      </c>
      <c r="L342" s="1">
        <v>0</v>
      </c>
      <c r="M342" s="1">
        <v>0</v>
      </c>
      <c r="N342" s="1">
        <v>3778720</v>
      </c>
      <c r="O342" s="1">
        <v>0</v>
      </c>
      <c r="P342" s="1">
        <v>0</v>
      </c>
      <c r="Q342" s="1">
        <v>0</v>
      </c>
      <c r="R342" s="1">
        <v>38130720</v>
      </c>
      <c r="S342" s="1">
        <v>10928576.576577</v>
      </c>
      <c r="T342" s="1">
        <v>31.813508897813001</v>
      </c>
      <c r="U342" t="str">
        <f t="shared" si="5"/>
        <v>Week 3</v>
      </c>
    </row>
    <row r="343" spans="1:21" x14ac:dyDescent="0.25">
      <c r="A343" s="1">
        <v>342</v>
      </c>
      <c r="B343" s="1" t="s">
        <v>2505</v>
      </c>
      <c r="C343" s="2">
        <v>46127</v>
      </c>
      <c r="D343" s="1" t="s">
        <v>33</v>
      </c>
      <c r="E343" s="1" t="s">
        <v>34</v>
      </c>
      <c r="F343" s="1" t="s">
        <v>30</v>
      </c>
      <c r="G343" s="1" t="s">
        <v>24</v>
      </c>
      <c r="H343" s="1">
        <v>1</v>
      </c>
      <c r="I343" s="1" t="s">
        <v>2506</v>
      </c>
      <c r="J343" s="1"/>
      <c r="K343" s="1">
        <v>5017600</v>
      </c>
      <c r="L343" s="1">
        <v>0</v>
      </c>
      <c r="M343" s="1">
        <v>0</v>
      </c>
      <c r="N343" s="1">
        <v>551936</v>
      </c>
      <c r="O343" s="1">
        <v>0</v>
      </c>
      <c r="P343" s="1">
        <v>0</v>
      </c>
      <c r="Q343" s="1">
        <v>0</v>
      </c>
      <c r="R343" s="1">
        <v>5569536</v>
      </c>
      <c r="S343" s="1">
        <v>3007600</v>
      </c>
      <c r="T343" s="1">
        <v>59.941007653061</v>
      </c>
      <c r="U343" t="str">
        <f t="shared" si="5"/>
        <v>Week 3</v>
      </c>
    </row>
    <row r="344" spans="1:21" x14ac:dyDescent="0.25">
      <c r="A344" s="1">
        <v>343</v>
      </c>
      <c r="B344" s="1" t="s">
        <v>2507</v>
      </c>
      <c r="C344" s="2">
        <v>46127</v>
      </c>
      <c r="D344" s="1" t="s">
        <v>33</v>
      </c>
      <c r="E344" s="1" t="s">
        <v>34</v>
      </c>
      <c r="F344" s="1" t="s">
        <v>30</v>
      </c>
      <c r="G344" s="1" t="s">
        <v>24</v>
      </c>
      <c r="H344" s="1">
        <v>1</v>
      </c>
      <c r="I344" s="1" t="s">
        <v>2508</v>
      </c>
      <c r="J344" s="1"/>
      <c r="K344" s="1">
        <v>21070000</v>
      </c>
      <c r="L344" s="1">
        <v>0</v>
      </c>
      <c r="M344" s="1">
        <v>0</v>
      </c>
      <c r="N344" s="1">
        <v>2317700</v>
      </c>
      <c r="O344" s="1">
        <v>0</v>
      </c>
      <c r="P344" s="1">
        <v>0</v>
      </c>
      <c r="Q344" s="1">
        <v>0</v>
      </c>
      <c r="R344" s="1">
        <v>23387700</v>
      </c>
      <c r="S344" s="1">
        <v>4812970</v>
      </c>
      <c r="T344" s="1">
        <v>22.842762221168002</v>
      </c>
      <c r="U344" t="str">
        <f t="shared" si="5"/>
        <v>Week 3</v>
      </c>
    </row>
    <row r="345" spans="1:21" x14ac:dyDescent="0.25">
      <c r="A345" s="1">
        <v>344</v>
      </c>
      <c r="B345" s="1" t="s">
        <v>2509</v>
      </c>
      <c r="C345" s="2">
        <v>46127</v>
      </c>
      <c r="D345" s="1" t="s">
        <v>53</v>
      </c>
      <c r="E345" s="1" t="s">
        <v>54</v>
      </c>
      <c r="F345" s="1" t="s">
        <v>30</v>
      </c>
      <c r="G345" s="1" t="s">
        <v>24</v>
      </c>
      <c r="H345" s="1">
        <v>1</v>
      </c>
      <c r="I345" s="1" t="s">
        <v>2510</v>
      </c>
      <c r="J345" s="1"/>
      <c r="K345" s="1">
        <v>32575200</v>
      </c>
      <c r="L345" s="1">
        <v>0</v>
      </c>
      <c r="M345" s="1">
        <v>0</v>
      </c>
      <c r="N345" s="1">
        <v>3583272</v>
      </c>
      <c r="O345" s="1">
        <v>0</v>
      </c>
      <c r="P345" s="1">
        <v>0</v>
      </c>
      <c r="Q345" s="1">
        <v>0</v>
      </c>
      <c r="R345" s="1">
        <v>36158472</v>
      </c>
      <c r="S345" s="1">
        <v>8557368</v>
      </c>
      <c r="T345" s="1">
        <v>26.269579311868998</v>
      </c>
      <c r="U345" t="str">
        <f t="shared" si="5"/>
        <v>Week 3</v>
      </c>
    </row>
    <row r="346" spans="1:21" x14ac:dyDescent="0.25">
      <c r="A346" s="1">
        <v>345</v>
      </c>
      <c r="B346" s="1" t="s">
        <v>2511</v>
      </c>
      <c r="C346" s="2">
        <v>46127</v>
      </c>
      <c r="D346" s="1" t="s">
        <v>98</v>
      </c>
      <c r="E346" s="1" t="s">
        <v>99</v>
      </c>
      <c r="F346" s="1" t="s">
        <v>23</v>
      </c>
      <c r="G346" s="1" t="s">
        <v>24</v>
      </c>
      <c r="H346" s="1">
        <v>1</v>
      </c>
      <c r="I346" s="1" t="s">
        <v>2512</v>
      </c>
      <c r="J346" s="1"/>
      <c r="K346" s="1">
        <v>5982900</v>
      </c>
      <c r="L346" s="1">
        <v>0</v>
      </c>
      <c r="M346" s="1">
        <v>0</v>
      </c>
      <c r="N346" s="1">
        <v>658119</v>
      </c>
      <c r="O346" s="1">
        <v>0</v>
      </c>
      <c r="P346" s="1">
        <v>0</v>
      </c>
      <c r="Q346" s="1">
        <v>0</v>
      </c>
      <c r="R346" s="1">
        <v>6641019</v>
      </c>
      <c r="S346" s="1">
        <v>496400</v>
      </c>
      <c r="T346" s="1">
        <v>8.2969797255511999</v>
      </c>
      <c r="U346" t="str">
        <f t="shared" si="5"/>
        <v>Week 3</v>
      </c>
    </row>
    <row r="347" spans="1:21" x14ac:dyDescent="0.25">
      <c r="A347" s="1">
        <v>346</v>
      </c>
      <c r="B347" s="1" t="s">
        <v>2513</v>
      </c>
      <c r="C347" s="2">
        <v>46127</v>
      </c>
      <c r="D347" s="1" t="s">
        <v>33</v>
      </c>
      <c r="E347" s="1" t="s">
        <v>34</v>
      </c>
      <c r="F347" s="1" t="s">
        <v>30</v>
      </c>
      <c r="G347" s="1" t="s">
        <v>24</v>
      </c>
      <c r="H347" s="1">
        <v>1</v>
      </c>
      <c r="I347" s="1" t="s">
        <v>2514</v>
      </c>
      <c r="J347" s="1"/>
      <c r="K347" s="1">
        <v>1391600</v>
      </c>
      <c r="L347" s="1">
        <v>0</v>
      </c>
      <c r="M347" s="1">
        <v>0</v>
      </c>
      <c r="N347" s="1">
        <v>153076</v>
      </c>
      <c r="O347" s="1">
        <v>0</v>
      </c>
      <c r="P347" s="1">
        <v>0</v>
      </c>
      <c r="Q347" s="1">
        <v>0</v>
      </c>
      <c r="R347" s="1">
        <v>1544676</v>
      </c>
      <c r="S347" s="1">
        <v>200680</v>
      </c>
      <c r="T347" s="1">
        <v>14.420810577752</v>
      </c>
      <c r="U347" t="str">
        <f t="shared" si="5"/>
        <v>Week 3</v>
      </c>
    </row>
    <row r="348" spans="1:21" x14ac:dyDescent="0.25">
      <c r="A348" s="1">
        <v>347</v>
      </c>
      <c r="B348" s="1" t="s">
        <v>2515</v>
      </c>
      <c r="C348" s="2">
        <v>46127</v>
      </c>
      <c r="D348" s="1" t="s">
        <v>98</v>
      </c>
      <c r="E348" s="1" t="s">
        <v>99</v>
      </c>
      <c r="F348" s="1" t="s">
        <v>30</v>
      </c>
      <c r="G348" s="1" t="s">
        <v>24</v>
      </c>
      <c r="H348" s="1">
        <v>1</v>
      </c>
      <c r="I348" s="1" t="s">
        <v>3371</v>
      </c>
      <c r="J348" s="1"/>
      <c r="K348" s="1">
        <v>16975000</v>
      </c>
      <c r="L348" s="1">
        <v>0</v>
      </c>
      <c r="M348" s="1">
        <v>0</v>
      </c>
      <c r="N348" s="1">
        <v>1867250</v>
      </c>
      <c r="O348" s="1">
        <v>0</v>
      </c>
      <c r="P348" s="1">
        <v>0</v>
      </c>
      <c r="Q348" s="1">
        <v>0</v>
      </c>
      <c r="R348" s="1">
        <v>18842250</v>
      </c>
      <c r="S348" s="1">
        <v>4375000</v>
      </c>
      <c r="T348" s="1">
        <v>25.773195876289002</v>
      </c>
      <c r="U348" t="str">
        <f t="shared" si="5"/>
        <v>Week 3</v>
      </c>
    </row>
    <row r="349" spans="1:21" x14ac:dyDescent="0.25">
      <c r="A349" s="1">
        <v>348</v>
      </c>
      <c r="B349" s="1" t="s">
        <v>2516</v>
      </c>
      <c r="C349" s="2">
        <v>46127</v>
      </c>
      <c r="D349" s="1" t="s">
        <v>248</v>
      </c>
      <c r="E349" s="1" t="s">
        <v>116</v>
      </c>
      <c r="F349" s="1" t="s">
        <v>23</v>
      </c>
      <c r="G349" s="1" t="s">
        <v>24</v>
      </c>
      <c r="H349" s="1">
        <v>1</v>
      </c>
      <c r="I349" s="1" t="s">
        <v>2517</v>
      </c>
      <c r="J349" s="1" t="s">
        <v>26</v>
      </c>
      <c r="K349" s="1">
        <v>62449940</v>
      </c>
      <c r="L349" s="1">
        <v>0</v>
      </c>
      <c r="M349" s="1">
        <v>0</v>
      </c>
      <c r="N349" s="1">
        <v>6869493.4000000004</v>
      </c>
      <c r="O349" s="1">
        <v>0</v>
      </c>
      <c r="P349" s="1">
        <v>0</v>
      </c>
      <c r="Q349" s="1">
        <v>0</v>
      </c>
      <c r="R349" s="1">
        <v>69319433.400000006</v>
      </c>
      <c r="S349" s="1">
        <v>10205540</v>
      </c>
      <c r="T349" s="1">
        <v>16.341953250875999</v>
      </c>
      <c r="U349" t="str">
        <f t="shared" si="5"/>
        <v>Week 3</v>
      </c>
    </row>
    <row r="350" spans="1:21" x14ac:dyDescent="0.25">
      <c r="A350" s="1">
        <v>349</v>
      </c>
      <c r="B350" s="1" t="s">
        <v>771</v>
      </c>
      <c r="C350" s="2">
        <v>46127</v>
      </c>
      <c r="D350" s="1" t="s">
        <v>98</v>
      </c>
      <c r="E350" s="1" t="s">
        <v>99</v>
      </c>
      <c r="F350" s="1" t="s">
        <v>30</v>
      </c>
      <c r="G350" s="1" t="s">
        <v>24</v>
      </c>
      <c r="H350" s="1">
        <v>1</v>
      </c>
      <c r="I350" s="1" t="s">
        <v>3372</v>
      </c>
      <c r="J350" s="1"/>
      <c r="K350" s="1">
        <v>1071200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  <c r="Q350" s="1">
        <v>0</v>
      </c>
      <c r="R350" s="1">
        <v>1071200</v>
      </c>
      <c r="S350" s="1">
        <v>177506.24</v>
      </c>
      <c r="T350" s="1">
        <v>16.570784167288998</v>
      </c>
      <c r="U350" t="str">
        <f t="shared" si="5"/>
        <v>Week 3</v>
      </c>
    </row>
    <row r="351" spans="1:21" x14ac:dyDescent="0.25">
      <c r="A351" s="1">
        <v>350</v>
      </c>
      <c r="B351" s="1" t="s">
        <v>794</v>
      </c>
      <c r="C351" s="2">
        <v>46127</v>
      </c>
      <c r="D351" s="1" t="s">
        <v>98</v>
      </c>
      <c r="E351" s="1" t="s">
        <v>99</v>
      </c>
      <c r="F351" s="1" t="s">
        <v>30</v>
      </c>
      <c r="G351" s="1" t="s">
        <v>24</v>
      </c>
      <c r="H351" s="1">
        <v>1</v>
      </c>
      <c r="I351" s="1" t="s">
        <v>3372</v>
      </c>
      <c r="J351" s="1"/>
      <c r="K351" s="1">
        <v>46094322</v>
      </c>
      <c r="L351" s="1">
        <v>0</v>
      </c>
      <c r="M351" s="1">
        <v>0</v>
      </c>
      <c r="N351" s="1">
        <v>5070375.42</v>
      </c>
      <c r="O351" s="1">
        <v>0</v>
      </c>
      <c r="P351" s="1">
        <v>0</v>
      </c>
      <c r="Q351" s="1">
        <v>0</v>
      </c>
      <c r="R351" s="1">
        <v>51164697.420000002</v>
      </c>
      <c r="S351" s="1">
        <v>4684617.8198197996</v>
      </c>
      <c r="T351" s="1">
        <v>10.163112540888999</v>
      </c>
      <c r="U351" t="str">
        <f t="shared" si="5"/>
        <v>Week 3</v>
      </c>
    </row>
    <row r="352" spans="1:21" x14ac:dyDescent="0.25">
      <c r="A352" s="1">
        <v>351</v>
      </c>
      <c r="B352" s="1" t="s">
        <v>2518</v>
      </c>
      <c r="C352" s="2">
        <v>46126</v>
      </c>
      <c r="D352" s="1" t="s">
        <v>21</v>
      </c>
      <c r="E352" s="1" t="s">
        <v>38</v>
      </c>
      <c r="F352" s="1" t="s">
        <v>30</v>
      </c>
      <c r="G352" s="1" t="s">
        <v>24</v>
      </c>
      <c r="H352" s="1">
        <v>1</v>
      </c>
      <c r="I352" s="1" t="s">
        <v>2519</v>
      </c>
      <c r="J352" s="1"/>
      <c r="K352" s="1">
        <v>749700</v>
      </c>
      <c r="L352" s="1">
        <v>0</v>
      </c>
      <c r="M352" s="1">
        <v>0</v>
      </c>
      <c r="N352" s="1">
        <v>82467</v>
      </c>
      <c r="O352" s="1">
        <v>0</v>
      </c>
      <c r="P352" s="1">
        <v>0</v>
      </c>
      <c r="Q352" s="1">
        <v>0</v>
      </c>
      <c r="R352" s="1">
        <v>832167</v>
      </c>
      <c r="S352" s="1">
        <v>324700</v>
      </c>
      <c r="T352" s="1">
        <v>43.310657596372003</v>
      </c>
      <c r="U352" t="str">
        <f t="shared" si="5"/>
        <v>Week 2</v>
      </c>
    </row>
    <row r="353" spans="1:21" x14ac:dyDescent="0.25">
      <c r="A353" s="1">
        <v>352</v>
      </c>
      <c r="B353" s="1" t="s">
        <v>2520</v>
      </c>
      <c r="C353" s="2">
        <v>46126</v>
      </c>
      <c r="D353" s="1" t="s">
        <v>53</v>
      </c>
      <c r="E353" s="1" t="s">
        <v>54</v>
      </c>
      <c r="F353" s="1" t="s">
        <v>23</v>
      </c>
      <c r="G353" s="1" t="s">
        <v>24</v>
      </c>
      <c r="H353" s="1">
        <v>1</v>
      </c>
      <c r="I353" s="1" t="s">
        <v>2521</v>
      </c>
      <c r="J353" s="1"/>
      <c r="K353" s="1">
        <v>74737848.9375</v>
      </c>
      <c r="L353" s="1">
        <v>0</v>
      </c>
      <c r="M353" s="1">
        <v>0</v>
      </c>
      <c r="N353" s="1">
        <v>8221163.3831249997</v>
      </c>
      <c r="O353" s="1">
        <v>0</v>
      </c>
      <c r="P353" s="1">
        <v>0</v>
      </c>
      <c r="Q353" s="1">
        <v>0</v>
      </c>
      <c r="R353" s="1">
        <v>82959012.320625007</v>
      </c>
      <c r="S353" s="1">
        <v>18695092.6875</v>
      </c>
      <c r="T353" s="1">
        <v>25.014223654114002</v>
      </c>
      <c r="U353" t="str">
        <f t="shared" si="5"/>
        <v>Week 2</v>
      </c>
    </row>
    <row r="354" spans="1:21" x14ac:dyDescent="0.25">
      <c r="A354" s="1">
        <v>353</v>
      </c>
      <c r="B354" s="1" t="s">
        <v>2522</v>
      </c>
      <c r="C354" s="2">
        <v>46126</v>
      </c>
      <c r="D354" s="1" t="s">
        <v>21</v>
      </c>
      <c r="E354" s="1" t="s">
        <v>22</v>
      </c>
      <c r="F354" s="1" t="s">
        <v>30</v>
      </c>
      <c r="G354" s="1" t="s">
        <v>24</v>
      </c>
      <c r="H354" s="1">
        <v>1</v>
      </c>
      <c r="I354" s="1" t="s">
        <v>3373</v>
      </c>
      <c r="J354" s="1" t="s">
        <v>26</v>
      </c>
      <c r="K354" s="1">
        <v>2744000</v>
      </c>
      <c r="L354" s="1">
        <v>0</v>
      </c>
      <c r="M354" s="1">
        <v>0</v>
      </c>
      <c r="N354" s="1">
        <v>301840</v>
      </c>
      <c r="O354" s="1">
        <v>0</v>
      </c>
      <c r="P354" s="1">
        <v>0</v>
      </c>
      <c r="Q354" s="1">
        <v>0</v>
      </c>
      <c r="R354" s="1">
        <v>3045840</v>
      </c>
      <c r="S354" s="1">
        <v>300000</v>
      </c>
      <c r="T354" s="1">
        <v>10.932944606414001</v>
      </c>
      <c r="U354" t="str">
        <f t="shared" si="5"/>
        <v>Week 2</v>
      </c>
    </row>
    <row r="355" spans="1:21" x14ac:dyDescent="0.25">
      <c r="A355" s="1">
        <v>354</v>
      </c>
      <c r="B355" s="1" t="s">
        <v>2523</v>
      </c>
      <c r="C355" s="2">
        <v>46126</v>
      </c>
      <c r="D355" s="1" t="s">
        <v>33</v>
      </c>
      <c r="E355" s="1" t="s">
        <v>34</v>
      </c>
      <c r="F355" s="1" t="s">
        <v>30</v>
      </c>
      <c r="G355" s="1" t="s">
        <v>24</v>
      </c>
      <c r="H355" s="1">
        <v>1</v>
      </c>
      <c r="I355" s="1" t="s">
        <v>2339</v>
      </c>
      <c r="J355" s="1"/>
      <c r="K355" s="1">
        <v>47369338.799999997</v>
      </c>
      <c r="L355" s="1">
        <v>0</v>
      </c>
      <c r="M355" s="1">
        <v>0</v>
      </c>
      <c r="N355" s="1">
        <v>5210627.2680000002</v>
      </c>
      <c r="O355" s="1">
        <v>0</v>
      </c>
      <c r="P355" s="1">
        <v>0</v>
      </c>
      <c r="Q355" s="1">
        <v>0</v>
      </c>
      <c r="R355" s="1">
        <v>52579966.068000004</v>
      </c>
      <c r="S355" s="1">
        <v>17906338.800000001</v>
      </c>
      <c r="T355" s="1">
        <v>37.801538407793998</v>
      </c>
      <c r="U355" t="str">
        <f t="shared" si="5"/>
        <v>Week 2</v>
      </c>
    </row>
    <row r="356" spans="1:21" x14ac:dyDescent="0.25">
      <c r="A356" s="1">
        <v>355</v>
      </c>
      <c r="B356" s="1" t="s">
        <v>2524</v>
      </c>
      <c r="C356" s="2">
        <v>46126</v>
      </c>
      <c r="D356" s="1" t="s">
        <v>53</v>
      </c>
      <c r="E356" s="1" t="s">
        <v>54</v>
      </c>
      <c r="F356" s="1" t="s">
        <v>30</v>
      </c>
      <c r="G356" s="1" t="s">
        <v>24</v>
      </c>
      <c r="H356" s="1">
        <v>1</v>
      </c>
      <c r="I356" s="1" t="s">
        <v>2525</v>
      </c>
      <c r="J356" s="1"/>
      <c r="K356" s="1">
        <v>2144850</v>
      </c>
      <c r="L356" s="1">
        <v>0</v>
      </c>
      <c r="M356" s="1">
        <v>0</v>
      </c>
      <c r="N356" s="1">
        <v>235933.5</v>
      </c>
      <c r="O356" s="1">
        <v>0</v>
      </c>
      <c r="P356" s="1">
        <v>0</v>
      </c>
      <c r="Q356" s="1">
        <v>0</v>
      </c>
      <c r="R356" s="1">
        <v>2380783.5</v>
      </c>
      <c r="S356" s="1">
        <v>143445.94594594001</v>
      </c>
      <c r="T356" s="1">
        <v>6.6879243744757</v>
      </c>
      <c r="U356" t="str">
        <f t="shared" si="5"/>
        <v>Week 2</v>
      </c>
    </row>
    <row r="357" spans="1:21" x14ac:dyDescent="0.25">
      <c r="A357" s="1">
        <v>356</v>
      </c>
      <c r="B357" s="1" t="s">
        <v>2526</v>
      </c>
      <c r="C357" s="2">
        <v>46126</v>
      </c>
      <c r="D357" s="1" t="s">
        <v>21</v>
      </c>
      <c r="E357" s="1" t="s">
        <v>22</v>
      </c>
      <c r="F357" s="1" t="s">
        <v>23</v>
      </c>
      <c r="G357" s="1" t="s">
        <v>24</v>
      </c>
      <c r="H357" s="1">
        <v>1</v>
      </c>
      <c r="I357" s="1" t="s">
        <v>2527</v>
      </c>
      <c r="J357" s="1"/>
      <c r="K357" s="1">
        <v>11178500</v>
      </c>
      <c r="L357" s="1">
        <v>0</v>
      </c>
      <c r="M357" s="1">
        <v>0</v>
      </c>
      <c r="N357" s="1">
        <v>1229635</v>
      </c>
      <c r="O357" s="1">
        <v>0</v>
      </c>
      <c r="P357" s="1">
        <v>0</v>
      </c>
      <c r="Q357" s="1">
        <v>0</v>
      </c>
      <c r="R357" s="1">
        <v>12408135</v>
      </c>
      <c r="S357" s="1">
        <v>4309331.5603604</v>
      </c>
      <c r="T357" s="1">
        <v>38.550177218413999</v>
      </c>
      <c r="U357" t="str">
        <f t="shared" si="5"/>
        <v>Week 2</v>
      </c>
    </row>
    <row r="358" spans="1:21" x14ac:dyDescent="0.25">
      <c r="A358" s="1">
        <v>357</v>
      </c>
      <c r="B358" s="1" t="s">
        <v>2528</v>
      </c>
      <c r="C358" s="2">
        <v>46126</v>
      </c>
      <c r="D358" s="1" t="s">
        <v>21</v>
      </c>
      <c r="E358" s="1" t="s">
        <v>38</v>
      </c>
      <c r="F358" s="1" t="s">
        <v>30</v>
      </c>
      <c r="G358" s="1" t="s">
        <v>24</v>
      </c>
      <c r="H358" s="1">
        <v>1</v>
      </c>
      <c r="I358" s="1" t="s">
        <v>2529</v>
      </c>
      <c r="J358" s="1"/>
      <c r="K358" s="1">
        <v>12491840000</v>
      </c>
      <c r="L358" s="1">
        <v>0</v>
      </c>
      <c r="M358" s="1">
        <v>0</v>
      </c>
      <c r="N358" s="1">
        <v>1374102400</v>
      </c>
      <c r="O358" s="1">
        <v>0</v>
      </c>
      <c r="P358" s="1">
        <v>0</v>
      </c>
      <c r="Q358" s="1">
        <v>0</v>
      </c>
      <c r="R358" s="1">
        <v>13865942400</v>
      </c>
      <c r="S358" s="1">
        <v>363840000</v>
      </c>
      <c r="T358" s="1">
        <v>2.9126213592233001</v>
      </c>
      <c r="U358" t="str">
        <f t="shared" si="5"/>
        <v>Week 2</v>
      </c>
    </row>
    <row r="359" spans="1:21" x14ac:dyDescent="0.25">
      <c r="A359" s="1">
        <v>358</v>
      </c>
      <c r="B359" s="1" t="s">
        <v>2530</v>
      </c>
      <c r="C359" s="2">
        <v>46126</v>
      </c>
      <c r="D359" s="1" t="s">
        <v>21</v>
      </c>
      <c r="E359" s="1" t="s">
        <v>38</v>
      </c>
      <c r="F359" s="1" t="s">
        <v>30</v>
      </c>
      <c r="G359" s="1" t="s">
        <v>24</v>
      </c>
      <c r="H359" s="1">
        <v>1</v>
      </c>
      <c r="I359" s="1" t="s">
        <v>2531</v>
      </c>
      <c r="J359" s="1"/>
      <c r="K359" s="1">
        <v>6245920000</v>
      </c>
      <c r="L359" s="1">
        <v>0</v>
      </c>
      <c r="M359" s="1">
        <v>0</v>
      </c>
      <c r="N359" s="1">
        <v>687051200</v>
      </c>
      <c r="O359" s="1">
        <v>0</v>
      </c>
      <c r="P359" s="1">
        <v>0</v>
      </c>
      <c r="Q359" s="1">
        <v>0</v>
      </c>
      <c r="R359" s="1">
        <v>6932971200</v>
      </c>
      <c r="S359" s="1">
        <v>181920000</v>
      </c>
      <c r="T359" s="1">
        <v>2.9126213592233001</v>
      </c>
      <c r="U359" t="str">
        <f t="shared" si="5"/>
        <v>Week 2</v>
      </c>
    </row>
    <row r="360" spans="1:21" x14ac:dyDescent="0.25">
      <c r="A360" s="1">
        <v>359</v>
      </c>
      <c r="B360" s="1" t="s">
        <v>2532</v>
      </c>
      <c r="C360" s="2">
        <v>46126</v>
      </c>
      <c r="D360" s="1" t="s">
        <v>33</v>
      </c>
      <c r="E360" s="1" t="s">
        <v>38</v>
      </c>
      <c r="F360" s="1" t="s">
        <v>23</v>
      </c>
      <c r="G360" s="1" t="s">
        <v>24</v>
      </c>
      <c r="H360" s="1">
        <v>1</v>
      </c>
      <c r="I360" s="1" t="s">
        <v>2533</v>
      </c>
      <c r="J360" s="1"/>
      <c r="K360" s="1">
        <v>316210</v>
      </c>
      <c r="L360" s="1">
        <v>0</v>
      </c>
      <c r="M360" s="1">
        <v>0</v>
      </c>
      <c r="N360" s="1">
        <v>34783.1</v>
      </c>
      <c r="O360" s="1">
        <v>0</v>
      </c>
      <c r="P360" s="1">
        <v>0</v>
      </c>
      <c r="Q360" s="1">
        <v>0</v>
      </c>
      <c r="R360" s="1">
        <v>350993.1</v>
      </c>
      <c r="S360" s="1">
        <v>-28140</v>
      </c>
      <c r="T360" s="1">
        <v>-8.8991492995161003</v>
      </c>
      <c r="U360" t="str">
        <f t="shared" si="5"/>
        <v>Week 2</v>
      </c>
    </row>
    <row r="361" spans="1:21" x14ac:dyDescent="0.25">
      <c r="A361" s="1">
        <v>360</v>
      </c>
      <c r="B361" s="1" t="s">
        <v>2534</v>
      </c>
      <c r="C361" s="2">
        <v>46126</v>
      </c>
      <c r="D361" s="1" t="s">
        <v>184</v>
      </c>
      <c r="E361" s="1" t="s">
        <v>116</v>
      </c>
      <c r="F361" s="1" t="s">
        <v>23</v>
      </c>
      <c r="G361" s="1" t="s">
        <v>24</v>
      </c>
      <c r="H361" s="1">
        <v>1</v>
      </c>
      <c r="I361" s="1" t="s">
        <v>2535</v>
      </c>
      <c r="J361" s="1" t="s">
        <v>26</v>
      </c>
      <c r="K361" s="1">
        <v>4737150</v>
      </c>
      <c r="L361" s="1">
        <v>0</v>
      </c>
      <c r="M361" s="1">
        <v>0</v>
      </c>
      <c r="N361" s="1">
        <v>521086.5</v>
      </c>
      <c r="O361" s="1">
        <v>0</v>
      </c>
      <c r="P361" s="1">
        <v>0</v>
      </c>
      <c r="Q361" s="1">
        <v>0</v>
      </c>
      <c r="R361" s="1">
        <v>5258236.5</v>
      </c>
      <c r="S361" s="1">
        <v>687150</v>
      </c>
      <c r="T361" s="1">
        <v>14.505557138785999</v>
      </c>
      <c r="U361" t="str">
        <f t="shared" si="5"/>
        <v>Week 2</v>
      </c>
    </row>
    <row r="362" spans="1:21" x14ac:dyDescent="0.25">
      <c r="A362" s="1">
        <v>361</v>
      </c>
      <c r="B362" s="1" t="s">
        <v>2536</v>
      </c>
      <c r="C362" s="2">
        <v>46126</v>
      </c>
      <c r="D362" s="1" t="s">
        <v>53</v>
      </c>
      <c r="E362" s="1" t="s">
        <v>54</v>
      </c>
      <c r="F362" s="1" t="s">
        <v>30</v>
      </c>
      <c r="G362" s="1" t="s">
        <v>24</v>
      </c>
      <c r="H362" s="1">
        <v>1</v>
      </c>
      <c r="I362" s="1" t="s">
        <v>2537</v>
      </c>
      <c r="J362" s="1"/>
      <c r="K362" s="1">
        <v>7105000</v>
      </c>
      <c r="L362" s="1">
        <v>0</v>
      </c>
      <c r="M362" s="1">
        <v>0</v>
      </c>
      <c r="N362" s="1">
        <v>781550</v>
      </c>
      <c r="O362" s="1">
        <v>0</v>
      </c>
      <c r="P362" s="1">
        <v>0</v>
      </c>
      <c r="Q362" s="1">
        <v>0</v>
      </c>
      <c r="R362" s="1">
        <v>7886550</v>
      </c>
      <c r="S362" s="1">
        <v>2209594.5945946001</v>
      </c>
      <c r="T362" s="1">
        <v>31.099149818362001</v>
      </c>
      <c r="U362" t="str">
        <f t="shared" si="5"/>
        <v>Week 2</v>
      </c>
    </row>
    <row r="363" spans="1:21" x14ac:dyDescent="0.25">
      <c r="A363" s="1">
        <v>362</v>
      </c>
      <c r="B363" s="1" t="s">
        <v>2538</v>
      </c>
      <c r="C363" s="2">
        <v>46126</v>
      </c>
      <c r="D363" s="1" t="s">
        <v>306</v>
      </c>
      <c r="E363" s="1" t="s">
        <v>99</v>
      </c>
      <c r="F363" s="1" t="s">
        <v>30</v>
      </c>
      <c r="G363" s="1" t="s">
        <v>24</v>
      </c>
      <c r="H363" s="1">
        <v>1</v>
      </c>
      <c r="I363" s="1" t="s">
        <v>2539</v>
      </c>
      <c r="J363" s="1"/>
      <c r="K363" s="1">
        <v>4995500</v>
      </c>
      <c r="L363" s="1">
        <v>0</v>
      </c>
      <c r="M363" s="1">
        <v>0</v>
      </c>
      <c r="N363" s="1">
        <v>549505</v>
      </c>
      <c r="O363" s="1">
        <v>0</v>
      </c>
      <c r="P363" s="1">
        <v>0</v>
      </c>
      <c r="Q363" s="1">
        <v>0</v>
      </c>
      <c r="R363" s="1">
        <v>5545005</v>
      </c>
      <c r="S363" s="1">
        <v>-1004500</v>
      </c>
      <c r="T363" s="1">
        <v>-20.108097287559001</v>
      </c>
      <c r="U363" t="str">
        <f t="shared" si="5"/>
        <v>Week 2</v>
      </c>
    </row>
    <row r="364" spans="1:21" x14ac:dyDescent="0.25">
      <c r="A364" s="1">
        <v>363</v>
      </c>
      <c r="B364" s="1" t="s">
        <v>2540</v>
      </c>
      <c r="C364" s="2">
        <v>46126</v>
      </c>
      <c r="D364" s="1" t="s">
        <v>21</v>
      </c>
      <c r="E364" s="1" t="s">
        <v>22</v>
      </c>
      <c r="F364" s="1" t="s">
        <v>30</v>
      </c>
      <c r="G364" s="1" t="s">
        <v>24</v>
      </c>
      <c r="H364" s="1">
        <v>1</v>
      </c>
      <c r="I364" s="1" t="s">
        <v>2541</v>
      </c>
      <c r="J364" s="1"/>
      <c r="K364" s="1">
        <v>54305514</v>
      </c>
      <c r="L364" s="1">
        <v>0</v>
      </c>
      <c r="M364" s="1">
        <v>0</v>
      </c>
      <c r="N364" s="1">
        <v>5973606.54</v>
      </c>
      <c r="O364" s="1">
        <v>0</v>
      </c>
      <c r="P364" s="1">
        <v>0</v>
      </c>
      <c r="Q364" s="1">
        <v>0</v>
      </c>
      <c r="R364" s="1">
        <v>60279120.539999999</v>
      </c>
      <c r="S364" s="1">
        <v>2823623.46</v>
      </c>
      <c r="T364" s="1">
        <v>5.1995152094500003</v>
      </c>
      <c r="U364" t="str">
        <f t="shared" si="5"/>
        <v>Week 2</v>
      </c>
    </row>
    <row r="365" spans="1:21" x14ac:dyDescent="0.25">
      <c r="A365" s="1">
        <v>364</v>
      </c>
      <c r="B365" s="1" t="s">
        <v>2542</v>
      </c>
      <c r="C365" s="2">
        <v>46126</v>
      </c>
      <c r="D365" s="1" t="s">
        <v>28</v>
      </c>
      <c r="E365" s="1" t="s">
        <v>29</v>
      </c>
      <c r="F365" s="1" t="s">
        <v>30</v>
      </c>
      <c r="G365" s="1" t="s">
        <v>24</v>
      </c>
      <c r="H365" s="1">
        <v>1</v>
      </c>
      <c r="I365" s="1" t="s">
        <v>2812</v>
      </c>
      <c r="J365" s="1"/>
      <c r="K365" s="1">
        <v>2147613.16</v>
      </c>
      <c r="L365" s="1">
        <v>0</v>
      </c>
      <c r="M365" s="1">
        <v>0</v>
      </c>
      <c r="N365" s="1">
        <v>236237.44760000001</v>
      </c>
      <c r="O365" s="1">
        <v>0</v>
      </c>
      <c r="P365" s="1">
        <v>0</v>
      </c>
      <c r="Q365" s="1">
        <v>0</v>
      </c>
      <c r="R365" s="1">
        <v>2383850.6076000002</v>
      </c>
      <c r="S365" s="1">
        <v>-15514.76</v>
      </c>
      <c r="T365" s="1">
        <v>-0.72241874323400002</v>
      </c>
      <c r="U365" t="str">
        <f t="shared" si="5"/>
        <v>Week 2</v>
      </c>
    </row>
    <row r="366" spans="1:21" x14ac:dyDescent="0.25">
      <c r="A366" s="1">
        <v>365</v>
      </c>
      <c r="B366" s="1" t="s">
        <v>2543</v>
      </c>
      <c r="C366" s="2">
        <v>46126</v>
      </c>
      <c r="D366" s="1" t="s">
        <v>202</v>
      </c>
      <c r="E366" s="1" t="s">
        <v>2414</v>
      </c>
      <c r="F366" s="1" t="s">
        <v>23</v>
      </c>
      <c r="G366" s="1" t="s">
        <v>24</v>
      </c>
      <c r="H366" s="1">
        <v>1</v>
      </c>
      <c r="I366" s="1" t="s">
        <v>2544</v>
      </c>
      <c r="J366" s="1" t="s">
        <v>26</v>
      </c>
      <c r="K366" s="1">
        <v>8854050</v>
      </c>
      <c r="L366" s="1">
        <v>0</v>
      </c>
      <c r="M366" s="1">
        <v>0</v>
      </c>
      <c r="N366" s="1">
        <v>973945.5</v>
      </c>
      <c r="O366" s="1">
        <v>0</v>
      </c>
      <c r="P366" s="1">
        <v>0</v>
      </c>
      <c r="Q366" s="1">
        <v>0</v>
      </c>
      <c r="R366" s="1">
        <v>9827995.5</v>
      </c>
      <c r="S366" s="1">
        <v>2200800</v>
      </c>
      <c r="T366" s="1">
        <v>24.856421637556</v>
      </c>
      <c r="U366" t="str">
        <f t="shared" si="5"/>
        <v>Week 2</v>
      </c>
    </row>
    <row r="367" spans="1:21" x14ac:dyDescent="0.25">
      <c r="A367" s="1">
        <v>366</v>
      </c>
      <c r="B367" s="1" t="s">
        <v>2545</v>
      </c>
      <c r="C367" s="2">
        <v>46126</v>
      </c>
      <c r="D367" s="1" t="s">
        <v>21</v>
      </c>
      <c r="E367" s="1" t="s">
        <v>22</v>
      </c>
      <c r="F367" s="1" t="s">
        <v>30</v>
      </c>
      <c r="G367" s="1" t="s">
        <v>24</v>
      </c>
      <c r="H367" s="1">
        <v>1</v>
      </c>
      <c r="I367" s="1" t="s">
        <v>2546</v>
      </c>
      <c r="J367" s="1"/>
      <c r="K367" s="1">
        <v>2984120.4</v>
      </c>
      <c r="L367" s="1">
        <v>0</v>
      </c>
      <c r="M367" s="1">
        <v>0</v>
      </c>
      <c r="N367" s="1">
        <v>328253.24400000001</v>
      </c>
      <c r="O367" s="1">
        <v>0</v>
      </c>
      <c r="P367" s="1">
        <v>0</v>
      </c>
      <c r="Q367" s="1">
        <v>0</v>
      </c>
      <c r="R367" s="1">
        <v>3312373.6439999999</v>
      </c>
      <c r="S367" s="1">
        <v>73368.147747750001</v>
      </c>
      <c r="T367" s="1">
        <v>2.4586188864145999</v>
      </c>
      <c r="U367" t="str">
        <f t="shared" si="5"/>
        <v>Week 2</v>
      </c>
    </row>
    <row r="368" spans="1:21" x14ac:dyDescent="0.25">
      <c r="A368" s="1">
        <v>367</v>
      </c>
      <c r="B368" s="1" t="s">
        <v>2547</v>
      </c>
      <c r="C368" s="2">
        <v>46126</v>
      </c>
      <c r="D368" s="1" t="s">
        <v>28</v>
      </c>
      <c r="E368" s="1" t="s">
        <v>29</v>
      </c>
      <c r="F368" s="1" t="s">
        <v>30</v>
      </c>
      <c r="G368" s="1" t="s">
        <v>24</v>
      </c>
      <c r="H368" s="1">
        <v>1</v>
      </c>
      <c r="I368" s="1" t="s">
        <v>2548</v>
      </c>
      <c r="J368" s="1"/>
      <c r="K368" s="1">
        <v>19865580</v>
      </c>
      <c r="L368" s="1">
        <v>0</v>
      </c>
      <c r="M368" s="1">
        <v>0</v>
      </c>
      <c r="N368" s="1">
        <v>2185213.7999999998</v>
      </c>
      <c r="O368" s="1">
        <v>0</v>
      </c>
      <c r="P368" s="1">
        <v>0</v>
      </c>
      <c r="Q368" s="1">
        <v>0</v>
      </c>
      <c r="R368" s="1">
        <v>22050793.800000001</v>
      </c>
      <c r="S368" s="1">
        <v>5451170</v>
      </c>
      <c r="T368" s="1">
        <v>27.440276095639</v>
      </c>
      <c r="U368" t="str">
        <f t="shared" si="5"/>
        <v>Week 2</v>
      </c>
    </row>
    <row r="369" spans="1:21" x14ac:dyDescent="0.25">
      <c r="A369" s="1">
        <v>368</v>
      </c>
      <c r="B369" s="1" t="s">
        <v>2549</v>
      </c>
      <c r="C369" s="2">
        <v>46126</v>
      </c>
      <c r="D369" s="1" t="s">
        <v>53</v>
      </c>
      <c r="E369" s="1" t="s">
        <v>54</v>
      </c>
      <c r="F369" s="1" t="s">
        <v>30</v>
      </c>
      <c r="G369" s="1" t="s">
        <v>24</v>
      </c>
      <c r="H369" s="1">
        <v>1</v>
      </c>
      <c r="I369" s="1" t="s">
        <v>2550</v>
      </c>
      <c r="J369" s="1"/>
      <c r="K369" s="1">
        <v>35850000</v>
      </c>
      <c r="L369" s="1">
        <v>0</v>
      </c>
      <c r="M369" s="1">
        <v>0</v>
      </c>
      <c r="N369" s="1">
        <v>3943500</v>
      </c>
      <c r="O369" s="1">
        <v>0</v>
      </c>
      <c r="P369" s="1">
        <v>0</v>
      </c>
      <c r="Q369" s="1">
        <v>0</v>
      </c>
      <c r="R369" s="1">
        <v>39793500</v>
      </c>
      <c r="S369" s="1">
        <v>14295945.946049999</v>
      </c>
      <c r="T369" s="1">
        <v>39.877115609622997</v>
      </c>
      <c r="U369" t="str">
        <f t="shared" si="5"/>
        <v>Week 2</v>
      </c>
    </row>
    <row r="370" spans="1:21" x14ac:dyDescent="0.25">
      <c r="A370" s="1">
        <v>369</v>
      </c>
      <c r="B370" s="1" t="s">
        <v>2551</v>
      </c>
      <c r="C370" s="2">
        <v>46126</v>
      </c>
      <c r="D370" s="1" t="s">
        <v>33</v>
      </c>
      <c r="E370" s="1" t="s">
        <v>34</v>
      </c>
      <c r="F370" s="1" t="s">
        <v>23</v>
      </c>
      <c r="G370" s="1" t="s">
        <v>24</v>
      </c>
      <c r="H370" s="1">
        <v>1</v>
      </c>
      <c r="I370" s="1" t="s">
        <v>2552</v>
      </c>
      <c r="J370" s="1"/>
      <c r="K370" s="1">
        <v>63712500</v>
      </c>
      <c r="L370" s="1">
        <v>0</v>
      </c>
      <c r="M370" s="1">
        <v>0</v>
      </c>
      <c r="N370" s="1">
        <v>7008375</v>
      </c>
      <c r="O370" s="1">
        <v>0</v>
      </c>
      <c r="P370" s="1">
        <v>0</v>
      </c>
      <c r="Q370" s="1">
        <v>0</v>
      </c>
      <c r="R370" s="1">
        <v>70720875</v>
      </c>
      <c r="S370" s="1">
        <v>20502500</v>
      </c>
      <c r="T370" s="1">
        <v>32.179713556994002</v>
      </c>
      <c r="U370" t="str">
        <f t="shared" si="5"/>
        <v>Week 2</v>
      </c>
    </row>
    <row r="371" spans="1:21" x14ac:dyDescent="0.25">
      <c r="A371" s="1">
        <v>370</v>
      </c>
      <c r="B371" s="1" t="s">
        <v>2553</v>
      </c>
      <c r="C371" s="2">
        <v>46126</v>
      </c>
      <c r="D371" s="1" t="s">
        <v>33</v>
      </c>
      <c r="E371" s="1" t="s">
        <v>38</v>
      </c>
      <c r="F371" s="1" t="s">
        <v>30</v>
      </c>
      <c r="G371" s="1" t="s">
        <v>24</v>
      </c>
      <c r="H371" s="1">
        <v>1</v>
      </c>
      <c r="I371" s="1" t="s">
        <v>2554</v>
      </c>
      <c r="J371" s="1"/>
      <c r="K371" s="1">
        <v>1210300</v>
      </c>
      <c r="L371" s="1">
        <v>0</v>
      </c>
      <c r="M371" s="1">
        <v>0</v>
      </c>
      <c r="N371" s="1">
        <v>133133</v>
      </c>
      <c r="O371" s="1">
        <v>0</v>
      </c>
      <c r="P371" s="1">
        <v>0</v>
      </c>
      <c r="Q371" s="1">
        <v>0</v>
      </c>
      <c r="R371" s="1">
        <v>1343433</v>
      </c>
      <c r="S371" s="1">
        <v>939547</v>
      </c>
      <c r="T371" s="1">
        <v>77.629265471370999</v>
      </c>
      <c r="U371" t="str">
        <f t="shared" si="5"/>
        <v>Week 2</v>
      </c>
    </row>
    <row r="372" spans="1:21" x14ac:dyDescent="0.25">
      <c r="A372" s="1">
        <v>371</v>
      </c>
      <c r="B372" s="1" t="s">
        <v>2555</v>
      </c>
      <c r="C372" s="2">
        <v>46126</v>
      </c>
      <c r="D372" s="1" t="s">
        <v>112</v>
      </c>
      <c r="E372" s="1" t="s">
        <v>38</v>
      </c>
      <c r="F372" s="1" t="s">
        <v>30</v>
      </c>
      <c r="G372" s="1" t="s">
        <v>24</v>
      </c>
      <c r="H372" s="1">
        <v>1</v>
      </c>
      <c r="I372" s="1" t="s">
        <v>2556</v>
      </c>
      <c r="J372" s="1"/>
      <c r="K372" s="1">
        <v>836238.9</v>
      </c>
      <c r="L372" s="1">
        <v>0</v>
      </c>
      <c r="M372" s="1">
        <v>0</v>
      </c>
      <c r="N372" s="1">
        <v>91986.278999999995</v>
      </c>
      <c r="O372" s="1">
        <v>0</v>
      </c>
      <c r="P372" s="1">
        <v>0</v>
      </c>
      <c r="Q372" s="1">
        <v>0</v>
      </c>
      <c r="R372" s="1">
        <v>928225.179</v>
      </c>
      <c r="S372" s="1">
        <v>341238.9</v>
      </c>
      <c r="T372" s="1">
        <v>40.806389178977</v>
      </c>
      <c r="U372" t="str">
        <f t="shared" si="5"/>
        <v>Week 2</v>
      </c>
    </row>
    <row r="373" spans="1:21" x14ac:dyDescent="0.25">
      <c r="A373" s="1">
        <v>372</v>
      </c>
      <c r="B373" s="1" t="s">
        <v>2557</v>
      </c>
      <c r="C373" s="2">
        <v>46126</v>
      </c>
      <c r="D373" s="1" t="s">
        <v>112</v>
      </c>
      <c r="E373" s="1" t="s">
        <v>38</v>
      </c>
      <c r="F373" s="1" t="s">
        <v>30</v>
      </c>
      <c r="G373" s="1" t="s">
        <v>24</v>
      </c>
      <c r="H373" s="1">
        <v>1</v>
      </c>
      <c r="I373" s="1" t="s">
        <v>2558</v>
      </c>
      <c r="J373" s="1"/>
      <c r="K373" s="1">
        <v>842800</v>
      </c>
      <c r="L373" s="1">
        <v>0</v>
      </c>
      <c r="M373" s="1">
        <v>0</v>
      </c>
      <c r="N373" s="1">
        <v>92708</v>
      </c>
      <c r="O373" s="1">
        <v>0</v>
      </c>
      <c r="P373" s="1">
        <v>0</v>
      </c>
      <c r="Q373" s="1">
        <v>0</v>
      </c>
      <c r="R373" s="1">
        <v>935508</v>
      </c>
      <c r="S373" s="1">
        <v>608564.6</v>
      </c>
      <c r="T373" s="1">
        <v>72.207475083055996</v>
      </c>
      <c r="U373" t="str">
        <f t="shared" si="5"/>
        <v>Week 2</v>
      </c>
    </row>
    <row r="374" spans="1:21" x14ac:dyDescent="0.25">
      <c r="A374" s="1">
        <v>373</v>
      </c>
      <c r="B374" s="1" t="s">
        <v>2559</v>
      </c>
      <c r="C374" s="2">
        <v>46126</v>
      </c>
      <c r="D374" s="1" t="s">
        <v>53</v>
      </c>
      <c r="E374" s="1" t="s">
        <v>54</v>
      </c>
      <c r="F374" s="1" t="s">
        <v>30</v>
      </c>
      <c r="G374" s="1" t="s">
        <v>24</v>
      </c>
      <c r="H374" s="1">
        <v>1</v>
      </c>
      <c r="I374" s="1" t="s">
        <v>2560</v>
      </c>
      <c r="J374" s="1"/>
      <c r="K374" s="1">
        <v>164611800</v>
      </c>
      <c r="L374" s="1">
        <v>0</v>
      </c>
      <c r="M374" s="1">
        <v>0</v>
      </c>
      <c r="N374" s="1">
        <v>18107298</v>
      </c>
      <c r="O374" s="1">
        <v>0</v>
      </c>
      <c r="P374" s="1">
        <v>0</v>
      </c>
      <c r="Q374" s="1">
        <v>0</v>
      </c>
      <c r="R374" s="1">
        <v>182719098</v>
      </c>
      <c r="S374" s="1">
        <v>-148200</v>
      </c>
      <c r="T374" s="1">
        <v>-9.0029997849485996E-2</v>
      </c>
      <c r="U374" t="str">
        <f t="shared" si="5"/>
        <v>Week 2</v>
      </c>
    </row>
    <row r="375" spans="1:21" x14ac:dyDescent="0.25">
      <c r="A375" s="1">
        <v>374</v>
      </c>
      <c r="B375" s="1" t="s">
        <v>2561</v>
      </c>
      <c r="C375" s="2">
        <v>46126</v>
      </c>
      <c r="D375" s="1" t="s">
        <v>53</v>
      </c>
      <c r="E375" s="1" t="s">
        <v>54</v>
      </c>
      <c r="F375" s="1" t="s">
        <v>30</v>
      </c>
      <c r="G375" s="1" t="s">
        <v>24</v>
      </c>
      <c r="H375" s="1">
        <v>1</v>
      </c>
      <c r="I375" s="1" t="s">
        <v>2562</v>
      </c>
      <c r="J375" s="1" t="s">
        <v>56</v>
      </c>
      <c r="K375" s="1">
        <v>164611800</v>
      </c>
      <c r="L375" s="1">
        <v>0</v>
      </c>
      <c r="M375" s="1">
        <v>0</v>
      </c>
      <c r="N375" s="1">
        <v>18107298</v>
      </c>
      <c r="O375" s="1">
        <v>0</v>
      </c>
      <c r="P375" s="1">
        <v>0</v>
      </c>
      <c r="Q375" s="1">
        <v>0</v>
      </c>
      <c r="R375" s="1">
        <v>182719098</v>
      </c>
      <c r="S375" s="1">
        <v>-148200</v>
      </c>
      <c r="T375" s="1">
        <v>-9.0029997849485996E-2</v>
      </c>
      <c r="U375" t="str">
        <f t="shared" si="5"/>
        <v>Week 2</v>
      </c>
    </row>
    <row r="376" spans="1:21" x14ac:dyDescent="0.25">
      <c r="A376" s="1">
        <v>375</v>
      </c>
      <c r="B376" s="1" t="s">
        <v>2563</v>
      </c>
      <c r="C376" s="2">
        <v>46126</v>
      </c>
      <c r="D376" s="1" t="s">
        <v>33</v>
      </c>
      <c r="E376" s="1" t="s">
        <v>34</v>
      </c>
      <c r="F376" s="1" t="s">
        <v>30</v>
      </c>
      <c r="G376" s="1" t="s">
        <v>24</v>
      </c>
      <c r="H376" s="1">
        <v>1</v>
      </c>
      <c r="I376" s="1" t="s">
        <v>2564</v>
      </c>
      <c r="J376" s="1"/>
      <c r="K376" s="1">
        <v>78280</v>
      </c>
      <c r="L376" s="1">
        <v>0</v>
      </c>
      <c r="M376" s="1">
        <v>0</v>
      </c>
      <c r="N376" s="1">
        <v>8610.7999999999993</v>
      </c>
      <c r="O376" s="1">
        <v>0</v>
      </c>
      <c r="P376" s="1">
        <v>0</v>
      </c>
      <c r="Q376" s="1">
        <v>0</v>
      </c>
      <c r="R376" s="1">
        <v>86890.8</v>
      </c>
      <c r="S376" s="1">
        <v>38392.61</v>
      </c>
      <c r="T376" s="1">
        <v>49.045235053653997</v>
      </c>
      <c r="U376" t="str">
        <f t="shared" si="5"/>
        <v>Week 2</v>
      </c>
    </row>
    <row r="377" spans="1:21" x14ac:dyDescent="0.25">
      <c r="A377" s="1">
        <v>376</v>
      </c>
      <c r="B377" s="1" t="s">
        <v>2566</v>
      </c>
      <c r="C377" s="2">
        <v>46126</v>
      </c>
      <c r="D377" s="1" t="s">
        <v>21</v>
      </c>
      <c r="E377" s="1" t="s">
        <v>22</v>
      </c>
      <c r="F377" s="1" t="s">
        <v>30</v>
      </c>
      <c r="G377" s="1" t="s">
        <v>24</v>
      </c>
      <c r="H377" s="1">
        <v>1</v>
      </c>
      <c r="I377" s="1" t="s">
        <v>2567</v>
      </c>
      <c r="J377" s="1"/>
      <c r="K377" s="1">
        <v>184543918.19999999</v>
      </c>
      <c r="L377" s="1">
        <v>0</v>
      </c>
      <c r="M377" s="1">
        <v>0</v>
      </c>
      <c r="N377" s="1">
        <v>20299831.002</v>
      </c>
      <c r="O377" s="1">
        <v>0</v>
      </c>
      <c r="P377" s="1">
        <v>0</v>
      </c>
      <c r="Q377" s="1">
        <v>0</v>
      </c>
      <c r="R377" s="1">
        <v>204843749.20199999</v>
      </c>
      <c r="S377" s="1">
        <v>29138512.794594999</v>
      </c>
      <c r="T377" s="1">
        <v>15.789473356156</v>
      </c>
      <c r="U377" t="str">
        <f t="shared" si="5"/>
        <v>Week 2</v>
      </c>
    </row>
    <row r="378" spans="1:21" x14ac:dyDescent="0.25">
      <c r="A378" s="1">
        <v>377</v>
      </c>
      <c r="B378" s="1" t="s">
        <v>2568</v>
      </c>
      <c r="C378" s="2">
        <v>46126</v>
      </c>
      <c r="D378" s="1" t="s">
        <v>511</v>
      </c>
      <c r="E378" s="1" t="s">
        <v>2414</v>
      </c>
      <c r="F378" s="1" t="s">
        <v>23</v>
      </c>
      <c r="G378" s="1" t="s">
        <v>24</v>
      </c>
      <c r="H378" s="1">
        <v>1</v>
      </c>
      <c r="I378" s="1" t="s">
        <v>2569</v>
      </c>
      <c r="J378" s="1" t="s">
        <v>26</v>
      </c>
      <c r="K378" s="1">
        <v>6600000</v>
      </c>
      <c r="L378" s="1">
        <v>0</v>
      </c>
      <c r="M378" s="1">
        <v>0</v>
      </c>
      <c r="N378" s="1">
        <v>726000</v>
      </c>
      <c r="O378" s="1">
        <v>0</v>
      </c>
      <c r="P378" s="1">
        <v>0</v>
      </c>
      <c r="Q378" s="1">
        <v>0</v>
      </c>
      <c r="R378" s="1">
        <v>7326000</v>
      </c>
      <c r="S378" s="1">
        <v>1350000</v>
      </c>
      <c r="T378" s="1">
        <v>20.454545454544999</v>
      </c>
      <c r="U378" t="str">
        <f t="shared" si="5"/>
        <v>Week 2</v>
      </c>
    </row>
    <row r="379" spans="1:21" x14ac:dyDescent="0.25">
      <c r="A379" s="1">
        <v>378</v>
      </c>
      <c r="B379" s="1" t="s">
        <v>2570</v>
      </c>
      <c r="C379" s="2">
        <v>46126</v>
      </c>
      <c r="D379" s="1" t="s">
        <v>98</v>
      </c>
      <c r="E379" s="1" t="s">
        <v>99</v>
      </c>
      <c r="F379" s="1" t="s">
        <v>30</v>
      </c>
      <c r="G379" s="1" t="s">
        <v>24</v>
      </c>
      <c r="H379" s="1">
        <v>1</v>
      </c>
      <c r="I379" s="1" t="s">
        <v>3374</v>
      </c>
      <c r="J379" s="1"/>
      <c r="K379" s="1">
        <v>441000</v>
      </c>
      <c r="L379" s="1">
        <v>0</v>
      </c>
      <c r="M379" s="1">
        <v>0</v>
      </c>
      <c r="N379" s="1">
        <v>48510</v>
      </c>
      <c r="O379" s="1">
        <v>0</v>
      </c>
      <c r="P379" s="1">
        <v>0</v>
      </c>
      <c r="Q379" s="1">
        <v>0</v>
      </c>
      <c r="R379" s="1">
        <v>489510</v>
      </c>
      <c r="S379" s="1">
        <v>146000</v>
      </c>
      <c r="T379" s="1">
        <v>33.106575963719003</v>
      </c>
      <c r="U379" t="str">
        <f t="shared" si="5"/>
        <v>Week 2</v>
      </c>
    </row>
    <row r="380" spans="1:21" x14ac:dyDescent="0.25">
      <c r="A380" s="1">
        <v>379</v>
      </c>
      <c r="B380" s="1" t="s">
        <v>2571</v>
      </c>
      <c r="C380" s="2">
        <v>46126</v>
      </c>
      <c r="D380" s="1" t="s">
        <v>98</v>
      </c>
      <c r="E380" s="1" t="s">
        <v>99</v>
      </c>
      <c r="F380" s="1" t="s">
        <v>23</v>
      </c>
      <c r="G380" s="1" t="s">
        <v>24</v>
      </c>
      <c r="H380" s="1">
        <v>1</v>
      </c>
      <c r="I380" s="1" t="s">
        <v>2572</v>
      </c>
      <c r="J380" s="1"/>
      <c r="K380" s="1">
        <v>109885000</v>
      </c>
      <c r="L380" s="1">
        <v>0</v>
      </c>
      <c r="M380" s="1">
        <v>0</v>
      </c>
      <c r="N380" s="1">
        <v>12087350</v>
      </c>
      <c r="O380" s="1">
        <v>0</v>
      </c>
      <c r="P380" s="1">
        <v>0</v>
      </c>
      <c r="Q380" s="1">
        <v>0</v>
      </c>
      <c r="R380" s="1">
        <v>121972350</v>
      </c>
      <c r="S380" s="1">
        <v>48994622</v>
      </c>
      <c r="T380" s="1">
        <v>44.587179323839003</v>
      </c>
      <c r="U380" t="str">
        <f t="shared" si="5"/>
        <v>Week 2</v>
      </c>
    </row>
    <row r="381" spans="1:21" x14ac:dyDescent="0.25">
      <c r="A381" s="1">
        <v>380</v>
      </c>
      <c r="B381" s="1" t="s">
        <v>2573</v>
      </c>
      <c r="C381" s="2">
        <v>46126</v>
      </c>
      <c r="D381" s="1" t="s">
        <v>33</v>
      </c>
      <c r="E381" s="1" t="s">
        <v>34</v>
      </c>
      <c r="F381" s="1" t="s">
        <v>30</v>
      </c>
      <c r="G381" s="1" t="s">
        <v>24</v>
      </c>
      <c r="H381" s="1">
        <v>1</v>
      </c>
      <c r="I381" s="1" t="s">
        <v>2574</v>
      </c>
      <c r="J381" s="1"/>
      <c r="K381" s="1">
        <v>3897460</v>
      </c>
      <c r="L381" s="1">
        <v>0</v>
      </c>
      <c r="M381" s="1">
        <v>0</v>
      </c>
      <c r="N381" s="1">
        <v>428720.6</v>
      </c>
      <c r="O381" s="1">
        <v>0</v>
      </c>
      <c r="P381" s="1">
        <v>0</v>
      </c>
      <c r="Q381" s="1">
        <v>0</v>
      </c>
      <c r="R381" s="1">
        <v>4326180.5999999996</v>
      </c>
      <c r="S381" s="1">
        <v>1367063.6025225001</v>
      </c>
      <c r="T381" s="1">
        <v>35.075757096224997</v>
      </c>
      <c r="U381" t="str">
        <f t="shared" si="5"/>
        <v>Week 2</v>
      </c>
    </row>
    <row r="382" spans="1:21" x14ac:dyDescent="0.25">
      <c r="A382" s="1">
        <v>381</v>
      </c>
      <c r="B382" s="1" t="s">
        <v>2575</v>
      </c>
      <c r="C382" s="2">
        <v>46126</v>
      </c>
      <c r="D382" s="1" t="s">
        <v>53</v>
      </c>
      <c r="E382" s="1" t="s">
        <v>54</v>
      </c>
      <c r="F382" s="1" t="s">
        <v>30</v>
      </c>
      <c r="G382" s="1" t="s">
        <v>24</v>
      </c>
      <c r="H382" s="1">
        <v>1</v>
      </c>
      <c r="I382" s="1" t="s">
        <v>2576</v>
      </c>
      <c r="J382" s="1" t="s">
        <v>56</v>
      </c>
      <c r="K382" s="1">
        <v>403707683.68000001</v>
      </c>
      <c r="L382" s="1">
        <v>0</v>
      </c>
      <c r="M382" s="1">
        <v>0</v>
      </c>
      <c r="N382" s="1">
        <v>0</v>
      </c>
      <c r="O382" s="1">
        <v>0</v>
      </c>
      <c r="P382" s="1">
        <v>0</v>
      </c>
      <c r="Q382" s="1">
        <v>0</v>
      </c>
      <c r="R382" s="1">
        <v>403707683.68000001</v>
      </c>
      <c r="S382" s="1">
        <v>47727275.752071999</v>
      </c>
      <c r="T382" s="1">
        <v>11.822236157859001</v>
      </c>
      <c r="U382" t="str">
        <f t="shared" si="5"/>
        <v>Week 2</v>
      </c>
    </row>
    <row r="383" spans="1:21" x14ac:dyDescent="0.25">
      <c r="A383" s="1">
        <v>382</v>
      </c>
      <c r="B383" s="1" t="s">
        <v>2577</v>
      </c>
      <c r="C383" s="2">
        <v>46126</v>
      </c>
      <c r="D383" s="1" t="s">
        <v>511</v>
      </c>
      <c r="E383" s="1" t="s">
        <v>2414</v>
      </c>
      <c r="F383" s="1" t="s">
        <v>30</v>
      </c>
      <c r="G383" s="1" t="s">
        <v>24</v>
      </c>
      <c r="H383" s="1">
        <v>1</v>
      </c>
      <c r="I383" s="1" t="s">
        <v>3375</v>
      </c>
      <c r="J383" s="1" t="s">
        <v>26</v>
      </c>
      <c r="K383" s="1">
        <v>4287500</v>
      </c>
      <c r="L383" s="1">
        <v>0</v>
      </c>
      <c r="M383" s="1">
        <v>0</v>
      </c>
      <c r="N383" s="1">
        <v>471625</v>
      </c>
      <c r="O383" s="1">
        <v>0</v>
      </c>
      <c r="P383" s="1">
        <v>0</v>
      </c>
      <c r="Q383" s="1">
        <v>0</v>
      </c>
      <c r="R383" s="1">
        <v>4759125</v>
      </c>
      <c r="S383" s="1">
        <v>1007500</v>
      </c>
      <c r="T383" s="1">
        <v>23.498542274051999</v>
      </c>
      <c r="U383" t="str">
        <f t="shared" si="5"/>
        <v>Week 2</v>
      </c>
    </row>
    <row r="384" spans="1:21" x14ac:dyDescent="0.25">
      <c r="A384" s="1">
        <v>383</v>
      </c>
      <c r="B384" s="1" t="s">
        <v>2578</v>
      </c>
      <c r="C384" s="2">
        <v>46126</v>
      </c>
      <c r="D384" s="1" t="s">
        <v>53</v>
      </c>
      <c r="E384" s="1" t="s">
        <v>54</v>
      </c>
      <c r="F384" s="1" t="s">
        <v>30</v>
      </c>
      <c r="G384" s="1" t="s">
        <v>24</v>
      </c>
      <c r="H384" s="1">
        <v>1</v>
      </c>
      <c r="I384" s="1" t="s">
        <v>2579</v>
      </c>
      <c r="J384" s="1"/>
      <c r="K384" s="1">
        <v>25769550</v>
      </c>
      <c r="L384" s="1">
        <v>0</v>
      </c>
      <c r="M384" s="1">
        <v>0</v>
      </c>
      <c r="N384" s="1">
        <v>2834650.5</v>
      </c>
      <c r="O384" s="1">
        <v>0</v>
      </c>
      <c r="P384" s="1">
        <v>0</v>
      </c>
      <c r="Q384" s="1">
        <v>0</v>
      </c>
      <c r="R384" s="1">
        <v>28604200.5</v>
      </c>
      <c r="S384" s="1">
        <v>-1972950</v>
      </c>
      <c r="T384" s="1">
        <v>-7.6561290360134002</v>
      </c>
      <c r="U384" t="str">
        <f t="shared" si="5"/>
        <v>Week 2</v>
      </c>
    </row>
    <row r="385" spans="1:21" x14ac:dyDescent="0.25">
      <c r="A385" s="1">
        <v>384</v>
      </c>
      <c r="B385" s="1" t="s">
        <v>2580</v>
      </c>
      <c r="C385" s="2">
        <v>46126</v>
      </c>
      <c r="D385" s="1" t="s">
        <v>21</v>
      </c>
      <c r="E385" s="1" t="s">
        <v>38</v>
      </c>
      <c r="F385" s="1" t="s">
        <v>23</v>
      </c>
      <c r="G385" s="1" t="s">
        <v>24</v>
      </c>
      <c r="H385" s="1">
        <v>1</v>
      </c>
      <c r="I385" s="1" t="s">
        <v>2581</v>
      </c>
      <c r="J385" s="1" t="s">
        <v>26</v>
      </c>
      <c r="K385" s="1">
        <v>50153</v>
      </c>
      <c r="L385" s="1">
        <v>0</v>
      </c>
      <c r="M385" s="1">
        <v>0</v>
      </c>
      <c r="N385" s="1">
        <v>5516.83</v>
      </c>
      <c r="O385" s="1">
        <v>0</v>
      </c>
      <c r="P385" s="1">
        <v>0</v>
      </c>
      <c r="Q385" s="1">
        <v>0</v>
      </c>
      <c r="R385" s="1">
        <v>55669.83</v>
      </c>
      <c r="S385" s="1">
        <v>1505</v>
      </c>
      <c r="T385" s="1">
        <v>3.0008174984546998</v>
      </c>
      <c r="U385" t="str">
        <f t="shared" si="5"/>
        <v>Week 2</v>
      </c>
    </row>
    <row r="386" spans="1:21" x14ac:dyDescent="0.25">
      <c r="A386" s="1">
        <v>385</v>
      </c>
      <c r="B386" s="1" t="s">
        <v>2582</v>
      </c>
      <c r="C386" s="2">
        <v>46125</v>
      </c>
      <c r="D386" s="1" t="s">
        <v>53</v>
      </c>
      <c r="E386" s="1" t="s">
        <v>54</v>
      </c>
      <c r="F386" s="1" t="s">
        <v>30</v>
      </c>
      <c r="G386" s="1" t="s">
        <v>24</v>
      </c>
      <c r="H386" s="1">
        <v>1</v>
      </c>
      <c r="I386" s="1" t="s">
        <v>2583</v>
      </c>
      <c r="J386" s="1"/>
      <c r="K386" s="1">
        <v>3676765</v>
      </c>
      <c r="L386" s="1">
        <v>0</v>
      </c>
      <c r="M386" s="1">
        <v>0</v>
      </c>
      <c r="N386" s="1">
        <v>404444.15</v>
      </c>
      <c r="O386" s="1">
        <v>0</v>
      </c>
      <c r="P386" s="1">
        <v>0</v>
      </c>
      <c r="Q386" s="1">
        <v>0</v>
      </c>
      <c r="R386" s="1">
        <v>4081209.15</v>
      </c>
      <c r="S386" s="1">
        <v>1326672.21</v>
      </c>
      <c r="T386" s="1">
        <v>36.082594617822998</v>
      </c>
      <c r="U386" t="str">
        <f t="shared" si="5"/>
        <v>Week 2</v>
      </c>
    </row>
    <row r="387" spans="1:21" x14ac:dyDescent="0.25">
      <c r="A387" s="1">
        <v>386</v>
      </c>
      <c r="B387" s="1" t="s">
        <v>2584</v>
      </c>
      <c r="C387" s="2">
        <v>46125</v>
      </c>
      <c r="D387" s="1" t="s">
        <v>53</v>
      </c>
      <c r="E387" s="1" t="s">
        <v>54</v>
      </c>
      <c r="F387" s="1" t="s">
        <v>30</v>
      </c>
      <c r="G387" s="1" t="s">
        <v>24</v>
      </c>
      <c r="H387" s="1">
        <v>1</v>
      </c>
      <c r="I387" s="1" t="s">
        <v>2585</v>
      </c>
      <c r="J387" s="1"/>
      <c r="K387" s="1">
        <v>1236012</v>
      </c>
      <c r="L387" s="1">
        <v>0</v>
      </c>
      <c r="M387" s="1">
        <v>0</v>
      </c>
      <c r="N387" s="1">
        <v>0</v>
      </c>
      <c r="O387" s="1">
        <v>0</v>
      </c>
      <c r="P387" s="1">
        <v>0</v>
      </c>
      <c r="Q387" s="1">
        <v>0</v>
      </c>
      <c r="R387" s="1">
        <v>1236012</v>
      </c>
      <c r="S387" s="1">
        <v>24025</v>
      </c>
      <c r="T387" s="1">
        <v>1.9437513551648</v>
      </c>
      <c r="U387" t="str">
        <f t="shared" ref="U387:U450" si="6">"Week "&amp;IF(DAY(C387)&gt;=24,4,INT((DAY(C387)-1)/7)+1)</f>
        <v>Week 2</v>
      </c>
    </row>
    <row r="388" spans="1:21" x14ac:dyDescent="0.25">
      <c r="A388" s="1">
        <v>387</v>
      </c>
      <c r="B388" s="1" t="s">
        <v>2586</v>
      </c>
      <c r="C388" s="2">
        <v>46125</v>
      </c>
      <c r="D388" s="1" t="s">
        <v>2210</v>
      </c>
      <c r="E388" s="1" t="s">
        <v>192</v>
      </c>
      <c r="F388" s="1" t="s">
        <v>23</v>
      </c>
      <c r="G388" s="1" t="s">
        <v>24</v>
      </c>
      <c r="H388" s="1">
        <v>1</v>
      </c>
      <c r="I388" s="1" t="s">
        <v>2587</v>
      </c>
      <c r="J388" s="1" t="s">
        <v>56</v>
      </c>
      <c r="K388" s="1">
        <v>580442419.79800999</v>
      </c>
      <c r="L388" s="1">
        <v>0</v>
      </c>
      <c r="M388" s="1">
        <v>0</v>
      </c>
      <c r="N388" s="1">
        <v>63848666.177781001</v>
      </c>
      <c r="O388" s="1">
        <v>0</v>
      </c>
      <c r="P388" s="1">
        <v>0</v>
      </c>
      <c r="Q388" s="1">
        <v>0</v>
      </c>
      <c r="R388" s="1">
        <v>644291085.97579002</v>
      </c>
      <c r="S388" s="1">
        <v>41011121.464676999</v>
      </c>
      <c r="T388" s="1">
        <v>7.0654935038945004</v>
      </c>
      <c r="U388" t="str">
        <f t="shared" si="6"/>
        <v>Week 2</v>
      </c>
    </row>
    <row r="389" spans="1:21" x14ac:dyDescent="0.25">
      <c r="A389" s="1">
        <v>388</v>
      </c>
      <c r="B389" s="1" t="s">
        <v>2588</v>
      </c>
      <c r="C389" s="2">
        <v>46125</v>
      </c>
      <c r="D389" s="1" t="s">
        <v>2210</v>
      </c>
      <c r="E389" s="1" t="s">
        <v>192</v>
      </c>
      <c r="F389" s="1" t="s">
        <v>23</v>
      </c>
      <c r="G389" s="1" t="s">
        <v>24</v>
      </c>
      <c r="H389" s="1">
        <v>1</v>
      </c>
      <c r="I389" s="1" t="s">
        <v>2589</v>
      </c>
      <c r="J389" s="1" t="s">
        <v>56</v>
      </c>
      <c r="K389" s="1">
        <v>599443265.35099995</v>
      </c>
      <c r="L389" s="1">
        <v>0</v>
      </c>
      <c r="M389" s="1">
        <v>0</v>
      </c>
      <c r="N389" s="1">
        <v>65938759.188610002</v>
      </c>
      <c r="O389" s="1">
        <v>0</v>
      </c>
      <c r="P389" s="1">
        <v>0</v>
      </c>
      <c r="Q389" s="1">
        <v>0</v>
      </c>
      <c r="R389" s="1">
        <v>665382024.53961003</v>
      </c>
      <c r="S389" s="1">
        <v>60011967.017667003</v>
      </c>
      <c r="T389" s="1">
        <v>10.011283883976001</v>
      </c>
      <c r="U389" t="str">
        <f t="shared" si="6"/>
        <v>Week 2</v>
      </c>
    </row>
    <row r="390" spans="1:21" x14ac:dyDescent="0.25">
      <c r="A390" s="1">
        <v>389</v>
      </c>
      <c r="B390" s="1" t="s">
        <v>2590</v>
      </c>
      <c r="C390" s="2">
        <v>46125</v>
      </c>
      <c r="D390" s="1" t="s">
        <v>2210</v>
      </c>
      <c r="E390" s="1" t="s">
        <v>192</v>
      </c>
      <c r="F390" s="1" t="s">
        <v>23</v>
      </c>
      <c r="G390" s="1" t="s">
        <v>24</v>
      </c>
      <c r="H390" s="1">
        <v>1</v>
      </c>
      <c r="I390" s="1" t="s">
        <v>2591</v>
      </c>
      <c r="J390" s="1" t="s">
        <v>56</v>
      </c>
      <c r="K390" s="1">
        <v>609443458.95000005</v>
      </c>
      <c r="L390" s="1">
        <v>0</v>
      </c>
      <c r="M390" s="1">
        <v>0</v>
      </c>
      <c r="N390" s="1">
        <v>67038780.484499998</v>
      </c>
      <c r="O390" s="1">
        <v>0</v>
      </c>
      <c r="P390" s="1">
        <v>0</v>
      </c>
      <c r="Q390" s="1">
        <v>0</v>
      </c>
      <c r="R390" s="1">
        <v>676482239.43449998</v>
      </c>
      <c r="S390" s="1">
        <v>70012160.616667002</v>
      </c>
      <c r="T390" s="1">
        <v>11.487884493385</v>
      </c>
      <c r="U390" t="str">
        <f t="shared" si="6"/>
        <v>Week 2</v>
      </c>
    </row>
    <row r="391" spans="1:21" x14ac:dyDescent="0.25">
      <c r="A391" s="1">
        <v>390</v>
      </c>
      <c r="B391" s="1" t="s">
        <v>2592</v>
      </c>
      <c r="C391" s="2">
        <v>46125</v>
      </c>
      <c r="D391" s="1" t="s">
        <v>98</v>
      </c>
      <c r="E391" s="1" t="s">
        <v>99</v>
      </c>
      <c r="F391" s="1" t="s">
        <v>30</v>
      </c>
      <c r="G391" s="1" t="s">
        <v>24</v>
      </c>
      <c r="H391" s="1">
        <v>1</v>
      </c>
      <c r="I391" s="1" t="s">
        <v>2813</v>
      </c>
      <c r="J391" s="1" t="s">
        <v>26</v>
      </c>
      <c r="K391" s="1">
        <v>24492500</v>
      </c>
      <c r="L391" s="1">
        <v>0</v>
      </c>
      <c r="M391" s="1">
        <v>0</v>
      </c>
      <c r="N391" s="1">
        <v>2694175</v>
      </c>
      <c r="O391" s="1">
        <v>0</v>
      </c>
      <c r="P391" s="1">
        <v>0</v>
      </c>
      <c r="Q391" s="1">
        <v>0</v>
      </c>
      <c r="R391" s="1">
        <v>27186675</v>
      </c>
      <c r="S391" s="1">
        <v>4672680.18</v>
      </c>
      <c r="T391" s="1">
        <v>19.078004205369002</v>
      </c>
      <c r="U391" t="str">
        <f t="shared" si="6"/>
        <v>Week 2</v>
      </c>
    </row>
    <row r="392" spans="1:21" x14ac:dyDescent="0.25">
      <c r="A392" s="1">
        <v>391</v>
      </c>
      <c r="B392" s="1" t="s">
        <v>2593</v>
      </c>
      <c r="C392" s="2">
        <v>46125</v>
      </c>
      <c r="D392" s="1" t="s">
        <v>2210</v>
      </c>
      <c r="E392" s="1" t="s">
        <v>192</v>
      </c>
      <c r="F392" s="1" t="s">
        <v>23</v>
      </c>
      <c r="G392" s="1" t="s">
        <v>24</v>
      </c>
      <c r="H392" s="1">
        <v>1</v>
      </c>
      <c r="I392" s="1" t="s">
        <v>2594</v>
      </c>
      <c r="J392" s="1" t="s">
        <v>56</v>
      </c>
      <c r="K392" s="1">
        <v>616442420.60000002</v>
      </c>
      <c r="L392" s="1">
        <v>0</v>
      </c>
      <c r="M392" s="1">
        <v>0</v>
      </c>
      <c r="N392" s="1">
        <v>67808666.266000003</v>
      </c>
      <c r="O392" s="1">
        <v>0</v>
      </c>
      <c r="P392" s="1">
        <v>0</v>
      </c>
      <c r="Q392" s="1">
        <v>0</v>
      </c>
      <c r="R392" s="1">
        <v>684251086.86600006</v>
      </c>
      <c r="S392" s="1">
        <v>77011122.266666993</v>
      </c>
      <c r="T392" s="1">
        <v>12.492833019459001</v>
      </c>
      <c r="U392" t="str">
        <f t="shared" si="6"/>
        <v>Week 2</v>
      </c>
    </row>
    <row r="393" spans="1:21" x14ac:dyDescent="0.25">
      <c r="A393" s="1">
        <v>392</v>
      </c>
      <c r="B393" s="1" t="s">
        <v>2595</v>
      </c>
      <c r="C393" s="2">
        <v>46125</v>
      </c>
      <c r="D393" s="1" t="s">
        <v>2210</v>
      </c>
      <c r="E393" s="1" t="s">
        <v>192</v>
      </c>
      <c r="F393" s="1" t="s">
        <v>23</v>
      </c>
      <c r="G393" s="1" t="s">
        <v>24</v>
      </c>
      <c r="H393" s="1">
        <v>1</v>
      </c>
      <c r="I393" s="1" t="s">
        <v>2596</v>
      </c>
      <c r="J393" s="1" t="s">
        <v>56</v>
      </c>
      <c r="K393" s="1">
        <v>614942594.63999999</v>
      </c>
      <c r="L393" s="1">
        <v>0</v>
      </c>
      <c r="M393" s="1">
        <v>0</v>
      </c>
      <c r="N393" s="1">
        <v>67643685.410400003</v>
      </c>
      <c r="O393" s="1">
        <v>0</v>
      </c>
      <c r="P393" s="1">
        <v>0</v>
      </c>
      <c r="Q393" s="1">
        <v>0</v>
      </c>
      <c r="R393" s="1">
        <v>682586280.05040002</v>
      </c>
      <c r="S393" s="1">
        <v>75511296.306667</v>
      </c>
      <c r="T393" s="1">
        <v>12.279405746949999</v>
      </c>
      <c r="U393" t="str">
        <f t="shared" si="6"/>
        <v>Week 2</v>
      </c>
    </row>
    <row r="394" spans="1:21" x14ac:dyDescent="0.25">
      <c r="A394" s="1">
        <v>393</v>
      </c>
      <c r="B394" s="1" t="s">
        <v>2597</v>
      </c>
      <c r="C394" s="2">
        <v>46125</v>
      </c>
      <c r="D394" s="1" t="s">
        <v>21</v>
      </c>
      <c r="E394" s="1" t="s">
        <v>22</v>
      </c>
      <c r="F394" s="1" t="s">
        <v>30</v>
      </c>
      <c r="G394" s="1" t="s">
        <v>24</v>
      </c>
      <c r="H394" s="1">
        <v>1</v>
      </c>
      <c r="I394" s="1" t="s">
        <v>2598</v>
      </c>
      <c r="J394" s="1"/>
      <c r="K394" s="1">
        <v>16190678</v>
      </c>
      <c r="L394" s="1">
        <v>0</v>
      </c>
      <c r="M394" s="1">
        <v>0</v>
      </c>
      <c r="N394" s="1">
        <v>1780974.58</v>
      </c>
      <c r="O394" s="1">
        <v>0</v>
      </c>
      <c r="P394" s="1">
        <v>0</v>
      </c>
      <c r="Q394" s="1">
        <v>0</v>
      </c>
      <c r="R394" s="1">
        <v>17971652.579999998</v>
      </c>
      <c r="S394" s="1">
        <v>3087812</v>
      </c>
      <c r="T394" s="1">
        <v>19.071542278835</v>
      </c>
      <c r="U394" t="str">
        <f t="shared" si="6"/>
        <v>Week 2</v>
      </c>
    </row>
    <row r="395" spans="1:21" x14ac:dyDescent="0.25">
      <c r="A395" s="1">
        <v>394</v>
      </c>
      <c r="B395" s="1" t="s">
        <v>2599</v>
      </c>
      <c r="C395" s="2">
        <v>46125</v>
      </c>
      <c r="D395" s="1" t="s">
        <v>2210</v>
      </c>
      <c r="E395" s="1" t="s">
        <v>192</v>
      </c>
      <c r="F395" s="1" t="s">
        <v>23</v>
      </c>
      <c r="G395" s="1" t="s">
        <v>24</v>
      </c>
      <c r="H395" s="1">
        <v>1</v>
      </c>
      <c r="I395" s="1" t="s">
        <v>2600</v>
      </c>
      <c r="J395" s="1" t="s">
        <v>56</v>
      </c>
      <c r="K395" s="1">
        <v>618442488.37</v>
      </c>
      <c r="L395" s="1">
        <v>0</v>
      </c>
      <c r="M395" s="1">
        <v>0</v>
      </c>
      <c r="N395" s="1">
        <v>68028673.720699996</v>
      </c>
      <c r="O395" s="1">
        <v>0</v>
      </c>
      <c r="P395" s="1">
        <v>0</v>
      </c>
      <c r="Q395" s="1">
        <v>0</v>
      </c>
      <c r="R395" s="1">
        <v>686471162.09070003</v>
      </c>
      <c r="S395" s="1">
        <v>79011190.036667004</v>
      </c>
      <c r="T395" s="1">
        <v>12.775834701285</v>
      </c>
      <c r="U395" t="str">
        <f t="shared" si="6"/>
        <v>Week 2</v>
      </c>
    </row>
    <row r="396" spans="1:21" x14ac:dyDescent="0.25">
      <c r="A396" s="1">
        <v>395</v>
      </c>
      <c r="B396" s="1" t="s">
        <v>2601</v>
      </c>
      <c r="C396" s="2">
        <v>46125</v>
      </c>
      <c r="D396" s="1" t="s">
        <v>98</v>
      </c>
      <c r="E396" s="1" t="s">
        <v>99</v>
      </c>
      <c r="F396" s="1" t="s">
        <v>30</v>
      </c>
      <c r="G396" s="1" t="s">
        <v>24</v>
      </c>
      <c r="H396" s="1">
        <v>1</v>
      </c>
      <c r="I396" s="1" t="s">
        <v>3376</v>
      </c>
      <c r="J396" s="1"/>
      <c r="K396" s="1">
        <v>3498600</v>
      </c>
      <c r="L396" s="1">
        <v>0</v>
      </c>
      <c r="M396" s="1">
        <v>0</v>
      </c>
      <c r="N396" s="1">
        <v>384846</v>
      </c>
      <c r="O396" s="1">
        <v>0</v>
      </c>
      <c r="P396" s="1">
        <v>0</v>
      </c>
      <c r="Q396" s="1">
        <v>0</v>
      </c>
      <c r="R396" s="1">
        <v>3883446</v>
      </c>
      <c r="S396" s="1">
        <v>1611010</v>
      </c>
      <c r="T396" s="1">
        <v>46.047276053277997</v>
      </c>
      <c r="U396" t="str">
        <f t="shared" si="6"/>
        <v>Week 2</v>
      </c>
    </row>
    <row r="397" spans="1:21" x14ac:dyDescent="0.25">
      <c r="A397" s="1">
        <v>396</v>
      </c>
      <c r="B397" s="1" t="s">
        <v>2603</v>
      </c>
      <c r="C397" s="2">
        <v>46125</v>
      </c>
      <c r="D397" s="1" t="s">
        <v>53</v>
      </c>
      <c r="E397" s="1" t="s">
        <v>54</v>
      </c>
      <c r="F397" s="1" t="s">
        <v>30</v>
      </c>
      <c r="G397" s="1" t="s">
        <v>24</v>
      </c>
      <c r="H397" s="1">
        <v>1</v>
      </c>
      <c r="I397" s="1" t="s">
        <v>2604</v>
      </c>
      <c r="J397" s="1"/>
      <c r="K397" s="1">
        <v>2944860</v>
      </c>
      <c r="L397" s="1">
        <v>0</v>
      </c>
      <c r="M397" s="1">
        <v>0</v>
      </c>
      <c r="N397" s="1">
        <v>323934.59999999998</v>
      </c>
      <c r="O397" s="1">
        <v>0</v>
      </c>
      <c r="P397" s="1">
        <v>0</v>
      </c>
      <c r="Q397" s="1">
        <v>0</v>
      </c>
      <c r="R397" s="1">
        <v>3268794.6</v>
      </c>
      <c r="S397" s="1">
        <v>1414860</v>
      </c>
      <c r="T397" s="1">
        <v>48.045068356389997</v>
      </c>
      <c r="U397" t="str">
        <f t="shared" si="6"/>
        <v>Week 2</v>
      </c>
    </row>
    <row r="398" spans="1:21" x14ac:dyDescent="0.25">
      <c r="A398" s="1">
        <v>397</v>
      </c>
      <c r="B398" s="1" t="s">
        <v>2605</v>
      </c>
      <c r="C398" s="2">
        <v>46125</v>
      </c>
      <c r="D398" s="1" t="s">
        <v>2210</v>
      </c>
      <c r="E398" s="1" t="s">
        <v>192</v>
      </c>
      <c r="F398" s="1" t="s">
        <v>23</v>
      </c>
      <c r="G398" s="1" t="s">
        <v>24</v>
      </c>
      <c r="H398" s="1">
        <v>1</v>
      </c>
      <c r="I398" s="1" t="s">
        <v>2606</v>
      </c>
      <c r="J398" s="1" t="s">
        <v>56</v>
      </c>
      <c r="K398" s="1">
        <v>616442424.66600001</v>
      </c>
      <c r="L398" s="1">
        <v>0</v>
      </c>
      <c r="M398" s="1">
        <v>0</v>
      </c>
      <c r="N398" s="1">
        <v>67808666.713259995</v>
      </c>
      <c r="O398" s="1">
        <v>0</v>
      </c>
      <c r="P398" s="1">
        <v>0</v>
      </c>
      <c r="Q398" s="1">
        <v>0</v>
      </c>
      <c r="R398" s="1">
        <v>684251091.37925994</v>
      </c>
      <c r="S398" s="1">
        <v>77011126.332666993</v>
      </c>
      <c r="T398" s="1">
        <v>12.492833596648</v>
      </c>
      <c r="U398" t="str">
        <f t="shared" si="6"/>
        <v>Week 2</v>
      </c>
    </row>
    <row r="399" spans="1:21" x14ac:dyDescent="0.25">
      <c r="A399" s="1">
        <v>398</v>
      </c>
      <c r="B399" s="1" t="s">
        <v>2607</v>
      </c>
      <c r="C399" s="2">
        <v>46125</v>
      </c>
      <c r="D399" s="1" t="s">
        <v>432</v>
      </c>
      <c r="E399" s="1" t="s">
        <v>116</v>
      </c>
      <c r="F399" s="1" t="s">
        <v>23</v>
      </c>
      <c r="G399" s="1" t="s">
        <v>24</v>
      </c>
      <c r="H399" s="1">
        <v>1</v>
      </c>
      <c r="I399" s="1" t="s">
        <v>2608</v>
      </c>
      <c r="J399" s="1" t="s">
        <v>26</v>
      </c>
      <c r="K399" s="1">
        <v>14107500</v>
      </c>
      <c r="L399" s="1">
        <v>0</v>
      </c>
      <c r="M399" s="1">
        <v>0</v>
      </c>
      <c r="N399" s="1">
        <v>1551825</v>
      </c>
      <c r="O399" s="1">
        <v>0</v>
      </c>
      <c r="P399" s="1">
        <v>0</v>
      </c>
      <c r="Q399" s="1">
        <v>0</v>
      </c>
      <c r="R399" s="1">
        <v>15659325</v>
      </c>
      <c r="S399" s="1">
        <v>7546500</v>
      </c>
      <c r="T399" s="1">
        <v>53.492822966506999</v>
      </c>
      <c r="U399" t="str">
        <f t="shared" si="6"/>
        <v>Week 2</v>
      </c>
    </row>
    <row r="400" spans="1:21" x14ac:dyDescent="0.25">
      <c r="A400" s="1">
        <v>399</v>
      </c>
      <c r="B400" s="1" t="s">
        <v>2609</v>
      </c>
      <c r="C400" s="2">
        <v>46125</v>
      </c>
      <c r="D400" s="1" t="s">
        <v>2210</v>
      </c>
      <c r="E400" s="1" t="s">
        <v>192</v>
      </c>
      <c r="F400" s="1" t="s">
        <v>23</v>
      </c>
      <c r="G400" s="1" t="s">
        <v>24</v>
      </c>
      <c r="H400" s="1">
        <v>1</v>
      </c>
      <c r="I400" s="1" t="s">
        <v>2610</v>
      </c>
      <c r="J400" s="1" t="s">
        <v>56</v>
      </c>
      <c r="K400" s="1">
        <v>616442450.89337003</v>
      </c>
      <c r="L400" s="1">
        <v>0</v>
      </c>
      <c r="M400" s="1">
        <v>0</v>
      </c>
      <c r="N400" s="1">
        <v>67808669.598270997</v>
      </c>
      <c r="O400" s="1">
        <v>0</v>
      </c>
      <c r="P400" s="1">
        <v>0</v>
      </c>
      <c r="Q400" s="1">
        <v>0</v>
      </c>
      <c r="R400" s="1">
        <v>684251120.49163997</v>
      </c>
      <c r="S400" s="1">
        <v>77011152.560037002</v>
      </c>
      <c r="T400" s="1">
        <v>12.492837319757999</v>
      </c>
      <c r="U400" t="str">
        <f t="shared" si="6"/>
        <v>Week 2</v>
      </c>
    </row>
    <row r="401" spans="1:21" x14ac:dyDescent="0.25">
      <c r="A401" s="1">
        <v>400</v>
      </c>
      <c r="B401" s="1" t="s">
        <v>2611</v>
      </c>
      <c r="C401" s="2">
        <v>46125</v>
      </c>
      <c r="D401" s="1" t="s">
        <v>2210</v>
      </c>
      <c r="E401" s="1" t="s">
        <v>192</v>
      </c>
      <c r="F401" s="1" t="s">
        <v>23</v>
      </c>
      <c r="G401" s="1" t="s">
        <v>24</v>
      </c>
      <c r="H401" s="1">
        <v>1</v>
      </c>
      <c r="I401" s="1" t="s">
        <v>2612</v>
      </c>
      <c r="J401" s="1" t="s">
        <v>56</v>
      </c>
      <c r="K401" s="1">
        <v>618442420.53828001</v>
      </c>
      <c r="L401" s="1">
        <v>0</v>
      </c>
      <c r="M401" s="1">
        <v>0</v>
      </c>
      <c r="N401" s="1">
        <v>68028666.259211004</v>
      </c>
      <c r="O401" s="1">
        <v>0</v>
      </c>
      <c r="P401" s="1">
        <v>0</v>
      </c>
      <c r="Q401" s="1">
        <v>0</v>
      </c>
      <c r="R401" s="1">
        <v>686471086.79749</v>
      </c>
      <c r="S401" s="1">
        <v>79011122.204946995</v>
      </c>
      <c r="T401" s="1">
        <v>12.775825134404</v>
      </c>
      <c r="U401" t="str">
        <f t="shared" si="6"/>
        <v>Week 2</v>
      </c>
    </row>
    <row r="402" spans="1:21" x14ac:dyDescent="0.25">
      <c r="A402" s="1">
        <v>401</v>
      </c>
      <c r="B402" s="1" t="s">
        <v>2613</v>
      </c>
      <c r="C402" s="2">
        <v>46125</v>
      </c>
      <c r="D402" s="1" t="s">
        <v>2210</v>
      </c>
      <c r="E402" s="1" t="s">
        <v>192</v>
      </c>
      <c r="F402" s="1" t="s">
        <v>23</v>
      </c>
      <c r="G402" s="1" t="s">
        <v>24</v>
      </c>
      <c r="H402" s="1">
        <v>1</v>
      </c>
      <c r="I402" s="1" t="s">
        <v>2614</v>
      </c>
      <c r="J402" s="1" t="s">
        <v>56</v>
      </c>
      <c r="K402" s="1">
        <v>583943214.00899994</v>
      </c>
      <c r="L402" s="1">
        <v>0</v>
      </c>
      <c r="M402" s="1">
        <v>0</v>
      </c>
      <c r="N402" s="1">
        <v>64233753.540990002</v>
      </c>
      <c r="O402" s="1">
        <v>0</v>
      </c>
      <c r="P402" s="1">
        <v>0</v>
      </c>
      <c r="Q402" s="1">
        <v>0</v>
      </c>
      <c r="R402" s="1">
        <v>648176967.54999006</v>
      </c>
      <c r="S402" s="1">
        <v>44511915.675667003</v>
      </c>
      <c r="T402" s="1">
        <v>7.6226445667679004</v>
      </c>
      <c r="U402" t="str">
        <f t="shared" si="6"/>
        <v>Week 2</v>
      </c>
    </row>
    <row r="403" spans="1:21" x14ac:dyDescent="0.25">
      <c r="A403" s="1">
        <v>402</v>
      </c>
      <c r="B403" s="1" t="s">
        <v>2615</v>
      </c>
      <c r="C403" s="2">
        <v>46125</v>
      </c>
      <c r="D403" s="1" t="s">
        <v>21</v>
      </c>
      <c r="E403" s="1" t="s">
        <v>22</v>
      </c>
      <c r="F403" s="1" t="s">
        <v>30</v>
      </c>
      <c r="G403" s="1" t="s">
        <v>24</v>
      </c>
      <c r="H403" s="1">
        <v>1</v>
      </c>
      <c r="I403" s="1" t="s">
        <v>2616</v>
      </c>
      <c r="J403" s="1"/>
      <c r="K403" s="1">
        <v>44739230.479999997</v>
      </c>
      <c r="L403" s="1">
        <v>0</v>
      </c>
      <c r="M403" s="1">
        <v>0</v>
      </c>
      <c r="N403" s="1">
        <v>4921315.3528000005</v>
      </c>
      <c r="O403" s="1">
        <v>0</v>
      </c>
      <c r="P403" s="1">
        <v>0</v>
      </c>
      <c r="Q403" s="1">
        <v>0</v>
      </c>
      <c r="R403" s="1">
        <v>49660545.832800001</v>
      </c>
      <c r="S403" s="1">
        <v>15499778.48</v>
      </c>
      <c r="T403" s="1">
        <v>34.644714076897003</v>
      </c>
      <c r="U403" t="str">
        <f t="shared" si="6"/>
        <v>Week 2</v>
      </c>
    </row>
    <row r="404" spans="1:21" x14ac:dyDescent="0.25">
      <c r="A404" s="1">
        <v>403</v>
      </c>
      <c r="B404" s="1" t="s">
        <v>2617</v>
      </c>
      <c r="C404" s="2">
        <v>46125</v>
      </c>
      <c r="D404" s="1" t="s">
        <v>53</v>
      </c>
      <c r="E404" s="1" t="s">
        <v>54</v>
      </c>
      <c r="F404" s="1" t="s">
        <v>30</v>
      </c>
      <c r="G404" s="1" t="s">
        <v>24</v>
      </c>
      <c r="H404" s="1">
        <v>1</v>
      </c>
      <c r="I404" s="1" t="s">
        <v>2618</v>
      </c>
      <c r="J404" s="1"/>
      <c r="K404" s="1">
        <v>4265446.08</v>
      </c>
      <c r="L404" s="1">
        <v>0</v>
      </c>
      <c r="M404" s="1">
        <v>0</v>
      </c>
      <c r="N404" s="1">
        <v>469199.06880000001</v>
      </c>
      <c r="O404" s="1">
        <v>0</v>
      </c>
      <c r="P404" s="1">
        <v>0</v>
      </c>
      <c r="Q404" s="1">
        <v>0</v>
      </c>
      <c r="R404" s="1">
        <v>4734645.1487999996</v>
      </c>
      <c r="S404" s="1">
        <v>1695417.2511712001</v>
      </c>
      <c r="T404" s="1">
        <v>39.747712651221001</v>
      </c>
      <c r="U404" t="str">
        <f t="shared" si="6"/>
        <v>Week 2</v>
      </c>
    </row>
    <row r="405" spans="1:21" x14ac:dyDescent="0.25">
      <c r="A405" s="1">
        <v>404</v>
      </c>
      <c r="B405" s="1" t="s">
        <v>2619</v>
      </c>
      <c r="C405" s="2">
        <v>46125</v>
      </c>
      <c r="D405" s="1" t="s">
        <v>2210</v>
      </c>
      <c r="E405" s="1" t="s">
        <v>192</v>
      </c>
      <c r="F405" s="1" t="s">
        <v>23</v>
      </c>
      <c r="G405" s="1" t="s">
        <v>24</v>
      </c>
      <c r="H405" s="1">
        <v>1</v>
      </c>
      <c r="I405" s="1" t="s">
        <v>2620</v>
      </c>
      <c r="J405" s="1" t="s">
        <v>56</v>
      </c>
      <c r="K405" s="1">
        <v>596442419.44616997</v>
      </c>
      <c r="L405" s="1">
        <v>0</v>
      </c>
      <c r="M405" s="1">
        <v>0</v>
      </c>
      <c r="N405" s="1">
        <v>65608666.139078997</v>
      </c>
      <c r="O405" s="1">
        <v>0</v>
      </c>
      <c r="P405" s="1">
        <v>0</v>
      </c>
      <c r="Q405" s="1">
        <v>0</v>
      </c>
      <c r="R405" s="1">
        <v>662051085.58525002</v>
      </c>
      <c r="S405" s="1">
        <v>57011121.112837002</v>
      </c>
      <c r="T405" s="1">
        <v>9.5585289131135998</v>
      </c>
      <c r="U405" t="str">
        <f t="shared" si="6"/>
        <v>Week 2</v>
      </c>
    </row>
    <row r="406" spans="1:21" x14ac:dyDescent="0.25">
      <c r="A406" s="1">
        <v>405</v>
      </c>
      <c r="B406" s="1" t="s">
        <v>2621</v>
      </c>
      <c r="C406" s="2">
        <v>46125</v>
      </c>
      <c r="D406" s="1" t="s">
        <v>53</v>
      </c>
      <c r="E406" s="1" t="s">
        <v>54</v>
      </c>
      <c r="F406" s="1" t="s">
        <v>30</v>
      </c>
      <c r="G406" s="1" t="s">
        <v>24</v>
      </c>
      <c r="H406" s="1">
        <v>1</v>
      </c>
      <c r="I406" s="1" t="s">
        <v>2622</v>
      </c>
      <c r="J406" s="1"/>
      <c r="K406" s="1">
        <v>29749865.399999999</v>
      </c>
      <c r="L406" s="1">
        <v>0</v>
      </c>
      <c r="M406" s="1">
        <v>0</v>
      </c>
      <c r="N406" s="1">
        <v>3272485.1940000001</v>
      </c>
      <c r="O406" s="1">
        <v>0</v>
      </c>
      <c r="P406" s="1">
        <v>0</v>
      </c>
      <c r="Q406" s="1">
        <v>0</v>
      </c>
      <c r="R406" s="1">
        <v>33022350.594000001</v>
      </c>
      <c r="S406" s="1">
        <v>6309377.4120119996</v>
      </c>
      <c r="T406" s="1">
        <v>21.208087254109</v>
      </c>
      <c r="U406" t="str">
        <f t="shared" si="6"/>
        <v>Week 2</v>
      </c>
    </row>
    <row r="407" spans="1:21" x14ac:dyDescent="0.25">
      <c r="A407" s="1">
        <v>406</v>
      </c>
      <c r="B407" s="1" t="s">
        <v>2623</v>
      </c>
      <c r="C407" s="2">
        <v>46125</v>
      </c>
      <c r="D407" s="1" t="s">
        <v>316</v>
      </c>
      <c r="E407" s="1" t="s">
        <v>38</v>
      </c>
      <c r="F407" s="1" t="s">
        <v>30</v>
      </c>
      <c r="G407" s="1" t="s">
        <v>24</v>
      </c>
      <c r="H407" s="1">
        <v>1</v>
      </c>
      <c r="I407" s="1" t="s">
        <v>2624</v>
      </c>
      <c r="J407" s="1"/>
      <c r="K407" s="1">
        <v>588000</v>
      </c>
      <c r="L407" s="1">
        <v>0</v>
      </c>
      <c r="M407" s="1">
        <v>0</v>
      </c>
      <c r="N407" s="1">
        <v>64680</v>
      </c>
      <c r="O407" s="1">
        <v>0</v>
      </c>
      <c r="P407" s="1">
        <v>0</v>
      </c>
      <c r="Q407" s="1">
        <v>0</v>
      </c>
      <c r="R407" s="1">
        <v>652680</v>
      </c>
      <c r="S407" s="1">
        <v>18000</v>
      </c>
      <c r="T407" s="1">
        <v>3.0612244897959</v>
      </c>
      <c r="U407" t="str">
        <f t="shared" si="6"/>
        <v>Week 2</v>
      </c>
    </row>
    <row r="408" spans="1:21" x14ac:dyDescent="0.25">
      <c r="A408" s="1">
        <v>407</v>
      </c>
      <c r="B408" s="1" t="s">
        <v>2625</v>
      </c>
      <c r="C408" s="2">
        <v>46125</v>
      </c>
      <c r="D408" s="1" t="s">
        <v>316</v>
      </c>
      <c r="E408" s="1" t="s">
        <v>38</v>
      </c>
      <c r="F408" s="1" t="s">
        <v>30</v>
      </c>
      <c r="G408" s="1" t="s">
        <v>24</v>
      </c>
      <c r="H408" s="1">
        <v>1</v>
      </c>
      <c r="I408" s="1" t="s">
        <v>2626</v>
      </c>
      <c r="J408" s="1"/>
      <c r="K408" s="1">
        <v>2318760.36</v>
      </c>
      <c r="L408" s="1">
        <v>0</v>
      </c>
      <c r="M408" s="1">
        <v>0</v>
      </c>
      <c r="N408" s="1">
        <v>255063.63959999999</v>
      </c>
      <c r="O408" s="1">
        <v>0</v>
      </c>
      <c r="P408" s="1">
        <v>0</v>
      </c>
      <c r="Q408" s="1">
        <v>0</v>
      </c>
      <c r="R408" s="1">
        <v>2573823.9996000002</v>
      </c>
      <c r="S408" s="1">
        <v>998760.36</v>
      </c>
      <c r="T408" s="1">
        <v>43.073030625725998</v>
      </c>
      <c r="U408" t="str">
        <f t="shared" si="6"/>
        <v>Week 2</v>
      </c>
    </row>
    <row r="409" spans="1:21" x14ac:dyDescent="0.25">
      <c r="A409" s="1">
        <v>408</v>
      </c>
      <c r="B409" s="1" t="s">
        <v>2627</v>
      </c>
      <c r="C409" s="2">
        <v>46125</v>
      </c>
      <c r="D409" s="1" t="s">
        <v>21</v>
      </c>
      <c r="E409" s="1" t="s">
        <v>38</v>
      </c>
      <c r="F409" s="1" t="s">
        <v>30</v>
      </c>
      <c r="G409" s="1" t="s">
        <v>24</v>
      </c>
      <c r="H409" s="1">
        <v>1</v>
      </c>
      <c r="I409" s="1" t="s">
        <v>2628</v>
      </c>
      <c r="J409" s="1"/>
      <c r="K409" s="1">
        <v>2119211.7799999998</v>
      </c>
      <c r="L409" s="1">
        <v>0</v>
      </c>
      <c r="M409" s="1">
        <v>0</v>
      </c>
      <c r="N409" s="1">
        <v>233113.29579999999</v>
      </c>
      <c r="O409" s="1">
        <v>0</v>
      </c>
      <c r="P409" s="1">
        <v>0</v>
      </c>
      <c r="Q409" s="1">
        <v>0</v>
      </c>
      <c r="R409" s="1">
        <v>2352325.0758000002</v>
      </c>
      <c r="S409" s="1">
        <v>708400.97</v>
      </c>
      <c r="T409" s="1">
        <v>33.427568527388999</v>
      </c>
      <c r="U409" t="str">
        <f t="shared" si="6"/>
        <v>Week 2</v>
      </c>
    </row>
    <row r="410" spans="1:21" x14ac:dyDescent="0.25">
      <c r="A410" s="1">
        <v>409</v>
      </c>
      <c r="B410" s="1" t="s">
        <v>2629</v>
      </c>
      <c r="C410" s="2">
        <v>46125</v>
      </c>
      <c r="D410" s="1" t="s">
        <v>53</v>
      </c>
      <c r="E410" s="1" t="s">
        <v>54</v>
      </c>
      <c r="F410" s="1" t="s">
        <v>30</v>
      </c>
      <c r="G410" s="1" t="s">
        <v>24</v>
      </c>
      <c r="H410" s="1">
        <v>1</v>
      </c>
      <c r="I410" s="1" t="s">
        <v>2630</v>
      </c>
      <c r="J410" s="1"/>
      <c r="K410" s="1">
        <v>16415625</v>
      </c>
      <c r="L410" s="1">
        <v>0</v>
      </c>
      <c r="M410" s="1">
        <v>0</v>
      </c>
      <c r="N410" s="1">
        <v>1805718.75</v>
      </c>
      <c r="O410" s="1">
        <v>0</v>
      </c>
      <c r="P410" s="1">
        <v>0</v>
      </c>
      <c r="Q410" s="1">
        <v>0</v>
      </c>
      <c r="R410" s="1">
        <v>18221343.75</v>
      </c>
      <c r="S410" s="1">
        <v>-6834375</v>
      </c>
      <c r="T410" s="1">
        <v>-41.633352370074</v>
      </c>
      <c r="U410" t="str">
        <f t="shared" si="6"/>
        <v>Week 2</v>
      </c>
    </row>
    <row r="411" spans="1:21" x14ac:dyDescent="0.25">
      <c r="A411" s="1">
        <v>410</v>
      </c>
      <c r="B411" s="1" t="s">
        <v>2631</v>
      </c>
      <c r="C411" s="2">
        <v>46125</v>
      </c>
      <c r="D411" s="1" t="s">
        <v>21</v>
      </c>
      <c r="E411" s="1" t="s">
        <v>22</v>
      </c>
      <c r="F411" s="1" t="s">
        <v>30</v>
      </c>
      <c r="G411" s="1" t="s">
        <v>24</v>
      </c>
      <c r="H411" s="1">
        <v>1</v>
      </c>
      <c r="I411" s="1" t="s">
        <v>2632</v>
      </c>
      <c r="J411" s="1"/>
      <c r="K411" s="1">
        <v>21059128.859999999</v>
      </c>
      <c r="L411" s="1">
        <v>0</v>
      </c>
      <c r="M411" s="1">
        <v>0</v>
      </c>
      <c r="N411" s="1">
        <v>2316504.1746</v>
      </c>
      <c r="O411" s="1">
        <v>0</v>
      </c>
      <c r="P411" s="1">
        <v>0</v>
      </c>
      <c r="Q411" s="1">
        <v>0</v>
      </c>
      <c r="R411" s="1">
        <v>23375633.034600001</v>
      </c>
      <c r="S411" s="1">
        <v>11552822.550000001</v>
      </c>
      <c r="T411" s="1">
        <v>54.858976488545999</v>
      </c>
      <c r="U411" t="str">
        <f t="shared" si="6"/>
        <v>Week 2</v>
      </c>
    </row>
    <row r="412" spans="1:21" x14ac:dyDescent="0.25">
      <c r="A412" s="1">
        <v>411</v>
      </c>
      <c r="B412" s="1" t="s">
        <v>2633</v>
      </c>
      <c r="C412" s="2">
        <v>46125</v>
      </c>
      <c r="D412" s="1" t="s">
        <v>33</v>
      </c>
      <c r="E412" s="1" t="s">
        <v>34</v>
      </c>
      <c r="F412" s="1" t="s">
        <v>30</v>
      </c>
      <c r="G412" s="1" t="s">
        <v>24</v>
      </c>
      <c r="H412" s="1">
        <v>1</v>
      </c>
      <c r="I412" s="1" t="s">
        <v>2634</v>
      </c>
      <c r="J412" s="1"/>
      <c r="K412" s="1">
        <v>5744760</v>
      </c>
      <c r="L412" s="1">
        <v>0</v>
      </c>
      <c r="M412" s="1">
        <v>0</v>
      </c>
      <c r="N412" s="1">
        <v>631923.6</v>
      </c>
      <c r="O412" s="1">
        <v>0</v>
      </c>
      <c r="P412" s="1">
        <v>0</v>
      </c>
      <c r="Q412" s="1">
        <v>0</v>
      </c>
      <c r="R412" s="1">
        <v>6376683.5999999996</v>
      </c>
      <c r="S412" s="1">
        <v>1839354.5944999999</v>
      </c>
      <c r="T412" s="1">
        <v>32.017953656898001</v>
      </c>
      <c r="U412" t="str">
        <f t="shared" si="6"/>
        <v>Week 2</v>
      </c>
    </row>
    <row r="413" spans="1:21" x14ac:dyDescent="0.25">
      <c r="A413" s="1">
        <v>412</v>
      </c>
      <c r="B413" s="1" t="s">
        <v>2635</v>
      </c>
      <c r="C413" s="2">
        <v>46125</v>
      </c>
      <c r="D413" s="1" t="s">
        <v>21</v>
      </c>
      <c r="E413" s="1" t="s">
        <v>22</v>
      </c>
      <c r="F413" s="1" t="s">
        <v>30</v>
      </c>
      <c r="G413" s="1" t="s">
        <v>24</v>
      </c>
      <c r="H413" s="1">
        <v>1</v>
      </c>
      <c r="I413" s="1" t="s">
        <v>2636</v>
      </c>
      <c r="J413" s="1"/>
      <c r="K413" s="1">
        <v>784000</v>
      </c>
      <c r="L413" s="1">
        <v>0</v>
      </c>
      <c r="M413" s="1">
        <v>0</v>
      </c>
      <c r="N413" s="1">
        <v>86240</v>
      </c>
      <c r="O413" s="1">
        <v>0</v>
      </c>
      <c r="P413" s="1">
        <v>0</v>
      </c>
      <c r="Q413" s="1">
        <v>0</v>
      </c>
      <c r="R413" s="1">
        <v>870240</v>
      </c>
      <c r="S413" s="1">
        <v>144000</v>
      </c>
      <c r="T413" s="1">
        <v>18.367346938775999</v>
      </c>
      <c r="U413" t="str">
        <f t="shared" si="6"/>
        <v>Week 2</v>
      </c>
    </row>
    <row r="414" spans="1:21" x14ac:dyDescent="0.25">
      <c r="A414" s="1">
        <v>413</v>
      </c>
      <c r="B414" s="1" t="s">
        <v>2637</v>
      </c>
      <c r="C414" s="2">
        <v>46125</v>
      </c>
      <c r="D414" s="1" t="s">
        <v>21</v>
      </c>
      <c r="E414" s="1" t="s">
        <v>22</v>
      </c>
      <c r="F414" s="1" t="s">
        <v>30</v>
      </c>
      <c r="G414" s="1" t="s">
        <v>24</v>
      </c>
      <c r="H414" s="1">
        <v>1</v>
      </c>
      <c r="I414" s="1" t="s">
        <v>2638</v>
      </c>
      <c r="J414" s="1"/>
      <c r="K414" s="1">
        <v>201880</v>
      </c>
      <c r="L414" s="1">
        <v>0</v>
      </c>
      <c r="M414" s="1">
        <v>0</v>
      </c>
      <c r="N414" s="1">
        <v>22206.799999999999</v>
      </c>
      <c r="O414" s="1">
        <v>0</v>
      </c>
      <c r="P414" s="1">
        <v>0</v>
      </c>
      <c r="Q414" s="1">
        <v>0</v>
      </c>
      <c r="R414" s="1">
        <v>224086.8</v>
      </c>
      <c r="S414" s="1">
        <v>71880</v>
      </c>
      <c r="T414" s="1">
        <v>35.605310085199001</v>
      </c>
      <c r="U414" t="str">
        <f t="shared" si="6"/>
        <v>Week 2</v>
      </c>
    </row>
    <row r="415" spans="1:21" x14ac:dyDescent="0.25">
      <c r="A415" s="1">
        <v>414</v>
      </c>
      <c r="B415" s="1" t="s">
        <v>2639</v>
      </c>
      <c r="C415" s="2">
        <v>46125</v>
      </c>
      <c r="D415" s="1" t="s">
        <v>21</v>
      </c>
      <c r="E415" s="1" t="s">
        <v>22</v>
      </c>
      <c r="F415" s="1" t="s">
        <v>30</v>
      </c>
      <c r="G415" s="1" t="s">
        <v>24</v>
      </c>
      <c r="H415" s="1">
        <v>1</v>
      </c>
      <c r="I415" s="1" t="s">
        <v>2640</v>
      </c>
      <c r="J415" s="1"/>
      <c r="K415" s="1">
        <v>2306191.1</v>
      </c>
      <c r="L415" s="1">
        <v>0</v>
      </c>
      <c r="M415" s="1">
        <v>0</v>
      </c>
      <c r="N415" s="1">
        <v>253681.02100000001</v>
      </c>
      <c r="O415" s="1">
        <v>0</v>
      </c>
      <c r="P415" s="1">
        <v>0</v>
      </c>
      <c r="Q415" s="1">
        <v>0</v>
      </c>
      <c r="R415" s="1">
        <v>2559872.1209999998</v>
      </c>
      <c r="S415" s="1">
        <v>486218.12702702999</v>
      </c>
      <c r="T415" s="1">
        <v>21.083167263417</v>
      </c>
      <c r="U415" t="str">
        <f t="shared" si="6"/>
        <v>Week 2</v>
      </c>
    </row>
    <row r="416" spans="1:21" x14ac:dyDescent="0.25">
      <c r="A416" s="1">
        <v>415</v>
      </c>
      <c r="B416" s="1" t="s">
        <v>2641</v>
      </c>
      <c r="C416" s="2">
        <v>46125</v>
      </c>
      <c r="D416" s="1" t="s">
        <v>37</v>
      </c>
      <c r="E416" s="1" t="s">
        <v>38</v>
      </c>
      <c r="F416" s="1" t="s">
        <v>30</v>
      </c>
      <c r="G416" s="1" t="s">
        <v>24</v>
      </c>
      <c r="H416" s="1">
        <v>1</v>
      </c>
      <c r="I416" s="1" t="s">
        <v>2642</v>
      </c>
      <c r="J416" s="1"/>
      <c r="K416" s="1">
        <v>539000</v>
      </c>
      <c r="L416" s="1">
        <v>0</v>
      </c>
      <c r="M416" s="1">
        <v>0</v>
      </c>
      <c r="N416" s="1">
        <v>59290</v>
      </c>
      <c r="O416" s="1">
        <v>0</v>
      </c>
      <c r="P416" s="1">
        <v>0</v>
      </c>
      <c r="Q416" s="1">
        <v>0</v>
      </c>
      <c r="R416" s="1">
        <v>598290</v>
      </c>
      <c r="S416" s="1">
        <v>39000</v>
      </c>
      <c r="T416" s="1">
        <v>0</v>
      </c>
      <c r="U416" t="str">
        <f t="shared" si="6"/>
        <v>Week 2</v>
      </c>
    </row>
    <row r="417" spans="1:21" x14ac:dyDescent="0.25">
      <c r="A417" s="1">
        <v>416</v>
      </c>
      <c r="B417" s="1" t="s">
        <v>2643</v>
      </c>
      <c r="C417" s="2">
        <v>46123</v>
      </c>
      <c r="D417" s="1" t="s">
        <v>21</v>
      </c>
      <c r="E417" s="1" t="s">
        <v>22</v>
      </c>
      <c r="F417" s="1" t="s">
        <v>23</v>
      </c>
      <c r="G417" s="1" t="s">
        <v>24</v>
      </c>
      <c r="H417" s="1">
        <v>1</v>
      </c>
      <c r="I417" s="1" t="s">
        <v>2644</v>
      </c>
      <c r="J417" s="1" t="s">
        <v>26</v>
      </c>
      <c r="K417" s="1">
        <v>10503456</v>
      </c>
      <c r="L417" s="1">
        <v>0</v>
      </c>
      <c r="M417" s="1">
        <v>0</v>
      </c>
      <c r="N417" s="1">
        <v>1155380.1599999999</v>
      </c>
      <c r="O417" s="1">
        <v>0</v>
      </c>
      <c r="P417" s="1">
        <v>0</v>
      </c>
      <c r="Q417" s="1">
        <v>0</v>
      </c>
      <c r="R417" s="1">
        <v>11658836.16</v>
      </c>
      <c r="S417" s="1">
        <v>3303456</v>
      </c>
      <c r="T417" s="1">
        <v>31.451133798247</v>
      </c>
      <c r="U417" t="str">
        <f t="shared" si="6"/>
        <v>Week 2</v>
      </c>
    </row>
    <row r="418" spans="1:21" x14ac:dyDescent="0.25">
      <c r="A418" s="1">
        <v>417</v>
      </c>
      <c r="B418" s="1" t="s">
        <v>2645</v>
      </c>
      <c r="C418" s="2">
        <v>46123</v>
      </c>
      <c r="D418" s="1" t="s">
        <v>21</v>
      </c>
      <c r="E418" s="1" t="s">
        <v>22</v>
      </c>
      <c r="F418" s="1" t="s">
        <v>30</v>
      </c>
      <c r="G418" s="1" t="s">
        <v>24</v>
      </c>
      <c r="H418" s="1">
        <v>1</v>
      </c>
      <c r="I418" s="1" t="s">
        <v>2646</v>
      </c>
      <c r="J418" s="1" t="s">
        <v>26</v>
      </c>
      <c r="K418" s="1">
        <v>29400</v>
      </c>
      <c r="L418" s="1">
        <v>0</v>
      </c>
      <c r="M418" s="1">
        <v>0</v>
      </c>
      <c r="N418" s="1">
        <v>3234</v>
      </c>
      <c r="O418" s="1">
        <v>0</v>
      </c>
      <c r="P418" s="1">
        <v>0</v>
      </c>
      <c r="Q418" s="1">
        <v>0</v>
      </c>
      <c r="R418" s="1">
        <v>32634</v>
      </c>
      <c r="S418" s="1">
        <v>11900</v>
      </c>
      <c r="T418" s="1">
        <v>40.476190476189998</v>
      </c>
      <c r="U418" t="str">
        <f t="shared" si="6"/>
        <v>Week 2</v>
      </c>
    </row>
    <row r="419" spans="1:21" x14ac:dyDescent="0.25">
      <c r="A419" s="1">
        <v>418</v>
      </c>
      <c r="B419" s="1" t="s">
        <v>2647</v>
      </c>
      <c r="C419" s="2">
        <v>46123</v>
      </c>
      <c r="D419" s="1" t="s">
        <v>21</v>
      </c>
      <c r="E419" s="1" t="s">
        <v>22</v>
      </c>
      <c r="F419" s="1" t="s">
        <v>30</v>
      </c>
      <c r="G419" s="1" t="s">
        <v>24</v>
      </c>
      <c r="H419" s="1">
        <v>1</v>
      </c>
      <c r="I419" s="1" t="s">
        <v>2648</v>
      </c>
      <c r="J419" s="1" t="s">
        <v>26</v>
      </c>
      <c r="K419" s="1">
        <v>17640</v>
      </c>
      <c r="L419" s="1">
        <v>0</v>
      </c>
      <c r="M419" s="1">
        <v>0</v>
      </c>
      <c r="N419" s="1">
        <v>1940.4</v>
      </c>
      <c r="O419" s="1">
        <v>0</v>
      </c>
      <c r="P419" s="1">
        <v>0</v>
      </c>
      <c r="Q419" s="1">
        <v>0</v>
      </c>
      <c r="R419" s="1">
        <v>19580.400000000001</v>
      </c>
      <c r="S419" s="1">
        <v>7140</v>
      </c>
      <c r="T419" s="1">
        <v>40.476190476189998</v>
      </c>
      <c r="U419" t="str">
        <f t="shared" si="6"/>
        <v>Week 2</v>
      </c>
    </row>
    <row r="420" spans="1:21" x14ac:dyDescent="0.25">
      <c r="A420" s="1">
        <v>419</v>
      </c>
      <c r="B420" s="1" t="s">
        <v>2649</v>
      </c>
      <c r="C420" s="2">
        <v>46123</v>
      </c>
      <c r="D420" s="1" t="s">
        <v>306</v>
      </c>
      <c r="E420" s="1" t="s">
        <v>99</v>
      </c>
      <c r="F420" s="1" t="s">
        <v>30</v>
      </c>
      <c r="G420" s="1" t="s">
        <v>24</v>
      </c>
      <c r="H420" s="1">
        <v>1</v>
      </c>
      <c r="I420" s="1" t="s">
        <v>2650</v>
      </c>
      <c r="J420" s="1"/>
      <c r="K420" s="1">
        <v>2405700</v>
      </c>
      <c r="L420" s="1">
        <v>0</v>
      </c>
      <c r="M420" s="1">
        <v>0</v>
      </c>
      <c r="N420" s="1">
        <v>264627</v>
      </c>
      <c r="O420" s="1">
        <v>0</v>
      </c>
      <c r="P420" s="1">
        <v>0</v>
      </c>
      <c r="Q420" s="1">
        <v>0</v>
      </c>
      <c r="R420" s="1">
        <v>2670327</v>
      </c>
      <c r="S420" s="1">
        <v>90700</v>
      </c>
      <c r="T420" s="1">
        <v>3.7702124121876999</v>
      </c>
      <c r="U420" t="str">
        <f t="shared" si="6"/>
        <v>Week 2</v>
      </c>
    </row>
    <row r="421" spans="1:21" x14ac:dyDescent="0.25">
      <c r="A421" s="1">
        <v>420</v>
      </c>
      <c r="B421" s="1" t="s">
        <v>2651</v>
      </c>
      <c r="C421" s="2">
        <v>46123</v>
      </c>
      <c r="D421" s="1" t="s">
        <v>21</v>
      </c>
      <c r="E421" s="1" t="s">
        <v>22</v>
      </c>
      <c r="F421" s="1" t="s">
        <v>30</v>
      </c>
      <c r="G421" s="1" t="s">
        <v>24</v>
      </c>
      <c r="H421" s="1">
        <v>1</v>
      </c>
      <c r="I421" s="1" t="s">
        <v>2652</v>
      </c>
      <c r="J421" s="1" t="s">
        <v>26</v>
      </c>
      <c r="K421" s="1">
        <v>52920</v>
      </c>
      <c r="L421" s="1">
        <v>0</v>
      </c>
      <c r="M421" s="1">
        <v>0</v>
      </c>
      <c r="N421" s="1">
        <v>5821.2</v>
      </c>
      <c r="O421" s="1">
        <v>0</v>
      </c>
      <c r="P421" s="1">
        <v>0</v>
      </c>
      <c r="Q421" s="1">
        <v>0</v>
      </c>
      <c r="R421" s="1">
        <v>58741.2</v>
      </c>
      <c r="S421" s="1">
        <v>21420</v>
      </c>
      <c r="T421" s="1">
        <v>40.476190476189998</v>
      </c>
      <c r="U421" t="str">
        <f t="shared" si="6"/>
        <v>Week 2</v>
      </c>
    </row>
    <row r="422" spans="1:21" x14ac:dyDescent="0.25">
      <c r="A422" s="1">
        <v>421</v>
      </c>
      <c r="B422" s="1" t="s">
        <v>2653</v>
      </c>
      <c r="C422" s="2">
        <v>46123</v>
      </c>
      <c r="D422" s="1" t="s">
        <v>21</v>
      </c>
      <c r="E422" s="1" t="s">
        <v>22</v>
      </c>
      <c r="F422" s="1" t="s">
        <v>30</v>
      </c>
      <c r="G422" s="1" t="s">
        <v>24</v>
      </c>
      <c r="H422" s="1">
        <v>1</v>
      </c>
      <c r="I422" s="1" t="s">
        <v>2654</v>
      </c>
      <c r="J422" s="1" t="s">
        <v>26</v>
      </c>
      <c r="K422" s="1">
        <v>23520</v>
      </c>
      <c r="L422" s="1">
        <v>0</v>
      </c>
      <c r="M422" s="1">
        <v>0</v>
      </c>
      <c r="N422" s="1">
        <v>2587.1999999999998</v>
      </c>
      <c r="O422" s="1">
        <v>0</v>
      </c>
      <c r="P422" s="1">
        <v>0</v>
      </c>
      <c r="Q422" s="1">
        <v>0</v>
      </c>
      <c r="R422" s="1">
        <v>26107.200000000001</v>
      </c>
      <c r="S422" s="1">
        <v>9520</v>
      </c>
      <c r="T422" s="1">
        <v>40.476190476189998</v>
      </c>
      <c r="U422" t="str">
        <f t="shared" si="6"/>
        <v>Week 2</v>
      </c>
    </row>
    <row r="423" spans="1:21" x14ac:dyDescent="0.25">
      <c r="A423" s="1">
        <v>422</v>
      </c>
      <c r="B423" s="1" t="s">
        <v>2655</v>
      </c>
      <c r="C423" s="2">
        <v>46123</v>
      </c>
      <c r="D423" s="1" t="s">
        <v>21</v>
      </c>
      <c r="E423" s="1" t="s">
        <v>22</v>
      </c>
      <c r="F423" s="1" t="s">
        <v>30</v>
      </c>
      <c r="G423" s="1" t="s">
        <v>24</v>
      </c>
      <c r="H423" s="1">
        <v>1</v>
      </c>
      <c r="I423" s="1" t="s">
        <v>2656</v>
      </c>
      <c r="J423" s="1" t="s">
        <v>26</v>
      </c>
      <c r="K423" s="1">
        <v>17640</v>
      </c>
      <c r="L423" s="1">
        <v>0</v>
      </c>
      <c r="M423" s="1">
        <v>0</v>
      </c>
      <c r="N423" s="1">
        <v>1940.4</v>
      </c>
      <c r="O423" s="1">
        <v>0</v>
      </c>
      <c r="P423" s="1">
        <v>0</v>
      </c>
      <c r="Q423" s="1">
        <v>0</v>
      </c>
      <c r="R423" s="1">
        <v>19580.400000000001</v>
      </c>
      <c r="S423" s="1">
        <v>7140</v>
      </c>
      <c r="T423" s="1">
        <v>40.476190476189998</v>
      </c>
      <c r="U423" t="str">
        <f t="shared" si="6"/>
        <v>Week 2</v>
      </c>
    </row>
    <row r="424" spans="1:21" x14ac:dyDescent="0.25">
      <c r="A424" s="1">
        <v>423</v>
      </c>
      <c r="B424" s="1" t="s">
        <v>2657</v>
      </c>
      <c r="C424" s="2">
        <v>46123</v>
      </c>
      <c r="D424" s="1" t="s">
        <v>21</v>
      </c>
      <c r="E424" s="1" t="s">
        <v>22</v>
      </c>
      <c r="F424" s="1" t="s">
        <v>30</v>
      </c>
      <c r="G424" s="1" t="s">
        <v>24</v>
      </c>
      <c r="H424" s="1">
        <v>1</v>
      </c>
      <c r="I424" s="1" t="s">
        <v>2658</v>
      </c>
      <c r="J424" s="1" t="s">
        <v>26</v>
      </c>
      <c r="K424" s="1">
        <v>12771850</v>
      </c>
      <c r="L424" s="1">
        <v>0</v>
      </c>
      <c r="M424" s="1">
        <v>0</v>
      </c>
      <c r="N424" s="1">
        <v>1404903.5</v>
      </c>
      <c r="O424" s="1">
        <v>0</v>
      </c>
      <c r="P424" s="1">
        <v>0</v>
      </c>
      <c r="Q424" s="1">
        <v>0</v>
      </c>
      <c r="R424" s="1">
        <v>14176753.5</v>
      </c>
      <c r="S424" s="1">
        <v>3312395</v>
      </c>
      <c r="T424" s="1">
        <v>25.935122946166999</v>
      </c>
      <c r="U424" t="str">
        <f t="shared" si="6"/>
        <v>Week 2</v>
      </c>
    </row>
    <row r="425" spans="1:21" x14ac:dyDescent="0.25">
      <c r="A425" s="1">
        <v>424</v>
      </c>
      <c r="B425" s="1" t="s">
        <v>2659</v>
      </c>
      <c r="C425" s="2">
        <v>46123</v>
      </c>
      <c r="D425" s="1" t="s">
        <v>21</v>
      </c>
      <c r="E425" s="1" t="s">
        <v>22</v>
      </c>
      <c r="F425" s="1" t="s">
        <v>30</v>
      </c>
      <c r="G425" s="1" t="s">
        <v>24</v>
      </c>
      <c r="H425" s="1">
        <v>1</v>
      </c>
      <c r="I425" s="1" t="s">
        <v>2660</v>
      </c>
      <c r="J425" s="1" t="s">
        <v>26</v>
      </c>
      <c r="K425" s="1">
        <v>5108740</v>
      </c>
      <c r="L425" s="1">
        <v>0</v>
      </c>
      <c r="M425" s="1">
        <v>0</v>
      </c>
      <c r="N425" s="1">
        <v>561961.4</v>
      </c>
      <c r="O425" s="1">
        <v>0</v>
      </c>
      <c r="P425" s="1">
        <v>0</v>
      </c>
      <c r="Q425" s="1">
        <v>0</v>
      </c>
      <c r="R425" s="1">
        <v>5670701.4000000004</v>
      </c>
      <c r="S425" s="1">
        <v>1324958</v>
      </c>
      <c r="T425" s="1">
        <v>25.935122946166999</v>
      </c>
      <c r="U425" t="str">
        <f t="shared" si="6"/>
        <v>Week 2</v>
      </c>
    </row>
    <row r="426" spans="1:21" x14ac:dyDescent="0.25">
      <c r="A426" s="1">
        <v>425</v>
      </c>
      <c r="B426" s="1" t="s">
        <v>2661</v>
      </c>
      <c r="C426" s="2">
        <v>46123</v>
      </c>
      <c r="D426" s="1" t="s">
        <v>21</v>
      </c>
      <c r="E426" s="1" t="s">
        <v>22</v>
      </c>
      <c r="F426" s="1" t="s">
        <v>30</v>
      </c>
      <c r="G426" s="1" t="s">
        <v>24</v>
      </c>
      <c r="H426" s="1">
        <v>1</v>
      </c>
      <c r="I426" s="1" t="s">
        <v>2662</v>
      </c>
      <c r="J426" s="1" t="s">
        <v>26</v>
      </c>
      <c r="K426" s="1">
        <v>28098070</v>
      </c>
      <c r="L426" s="1">
        <v>0</v>
      </c>
      <c r="M426" s="1">
        <v>0</v>
      </c>
      <c r="N426" s="1">
        <v>3090787.7</v>
      </c>
      <c r="O426" s="1">
        <v>0</v>
      </c>
      <c r="P426" s="1">
        <v>0</v>
      </c>
      <c r="Q426" s="1">
        <v>0</v>
      </c>
      <c r="R426" s="1">
        <v>31188857.699999999</v>
      </c>
      <c r="S426" s="1">
        <v>7287269</v>
      </c>
      <c r="T426" s="1">
        <v>25.935122946166999</v>
      </c>
      <c r="U426" t="str">
        <f t="shared" si="6"/>
        <v>Week 2</v>
      </c>
    </row>
    <row r="427" spans="1:21" x14ac:dyDescent="0.25">
      <c r="A427" s="1">
        <v>426</v>
      </c>
      <c r="B427" s="1" t="s">
        <v>2663</v>
      </c>
      <c r="C427" s="2">
        <v>46123</v>
      </c>
      <c r="D427" s="1" t="s">
        <v>33</v>
      </c>
      <c r="E427" s="1" t="s">
        <v>34</v>
      </c>
      <c r="F427" s="1" t="s">
        <v>30</v>
      </c>
      <c r="G427" s="1" t="s">
        <v>24</v>
      </c>
      <c r="H427" s="1">
        <v>1</v>
      </c>
      <c r="I427" s="1" t="s">
        <v>2492</v>
      </c>
      <c r="J427" s="1"/>
      <c r="K427" s="1">
        <v>21013650</v>
      </c>
      <c r="L427" s="1">
        <v>0</v>
      </c>
      <c r="M427" s="1">
        <v>0</v>
      </c>
      <c r="N427" s="1">
        <v>2311501.5</v>
      </c>
      <c r="O427" s="1">
        <v>0</v>
      </c>
      <c r="P427" s="1">
        <v>0</v>
      </c>
      <c r="Q427" s="1">
        <v>0</v>
      </c>
      <c r="R427" s="1">
        <v>23325151.5</v>
      </c>
      <c r="S427" s="1">
        <v>921369.72972973005</v>
      </c>
      <c r="T427" s="1">
        <v>4.3846248972917001</v>
      </c>
      <c r="U427" t="str">
        <f t="shared" si="6"/>
        <v>Week 2</v>
      </c>
    </row>
    <row r="428" spans="1:21" x14ac:dyDescent="0.25">
      <c r="A428" s="1">
        <v>427</v>
      </c>
      <c r="B428" s="1" t="s">
        <v>2664</v>
      </c>
      <c r="C428" s="2">
        <v>46123</v>
      </c>
      <c r="D428" s="1" t="s">
        <v>33</v>
      </c>
      <c r="E428" s="1" t="s">
        <v>38</v>
      </c>
      <c r="F428" s="1" t="s">
        <v>30</v>
      </c>
      <c r="G428" s="1" t="s">
        <v>24</v>
      </c>
      <c r="H428" s="1">
        <v>1</v>
      </c>
      <c r="I428" s="1" t="s">
        <v>2665</v>
      </c>
      <c r="J428" s="1"/>
      <c r="K428" s="1">
        <v>4547345.6403604001</v>
      </c>
      <c r="L428" s="1">
        <v>0</v>
      </c>
      <c r="M428" s="1">
        <v>0</v>
      </c>
      <c r="N428" s="1">
        <v>500208.02043963998</v>
      </c>
      <c r="O428" s="1">
        <v>0</v>
      </c>
      <c r="P428" s="1">
        <v>0</v>
      </c>
      <c r="Q428" s="1">
        <v>0</v>
      </c>
      <c r="R428" s="1">
        <v>5047553.6607999997</v>
      </c>
      <c r="S428" s="1">
        <v>1821893.6403604001</v>
      </c>
      <c r="T428" s="1">
        <v>40.064991413671997</v>
      </c>
      <c r="U428" t="str">
        <f t="shared" si="6"/>
        <v>Week 2</v>
      </c>
    </row>
    <row r="429" spans="1:21" x14ac:dyDescent="0.25">
      <c r="A429" s="1">
        <v>428</v>
      </c>
      <c r="B429" s="1" t="s">
        <v>2666</v>
      </c>
      <c r="C429" s="2">
        <v>46123</v>
      </c>
      <c r="D429" s="1" t="s">
        <v>33</v>
      </c>
      <c r="E429" s="1" t="s">
        <v>34</v>
      </c>
      <c r="F429" s="1" t="s">
        <v>30</v>
      </c>
      <c r="G429" s="1" t="s">
        <v>24</v>
      </c>
      <c r="H429" s="1">
        <v>1</v>
      </c>
      <c r="I429" s="1" t="s">
        <v>2667</v>
      </c>
      <c r="J429" s="1"/>
      <c r="K429" s="1">
        <v>1069180</v>
      </c>
      <c r="L429" s="1">
        <v>0</v>
      </c>
      <c r="M429" s="1">
        <v>0</v>
      </c>
      <c r="N429" s="1">
        <v>117609.8</v>
      </c>
      <c r="O429" s="1">
        <v>0</v>
      </c>
      <c r="P429" s="1">
        <v>0</v>
      </c>
      <c r="Q429" s="1">
        <v>0</v>
      </c>
      <c r="R429" s="1">
        <v>1186789.8</v>
      </c>
      <c r="S429" s="1">
        <v>33639.459459459002</v>
      </c>
      <c r="T429" s="1">
        <v>3.1462858882003002</v>
      </c>
      <c r="U429" t="str">
        <f t="shared" si="6"/>
        <v>Week 2</v>
      </c>
    </row>
    <row r="430" spans="1:21" x14ac:dyDescent="0.25">
      <c r="A430" s="1">
        <v>429</v>
      </c>
      <c r="B430" s="1" t="s">
        <v>2668</v>
      </c>
      <c r="C430" s="2">
        <v>46123</v>
      </c>
      <c r="D430" s="1" t="s">
        <v>33</v>
      </c>
      <c r="E430" s="1" t="s">
        <v>34</v>
      </c>
      <c r="F430" s="1" t="s">
        <v>30</v>
      </c>
      <c r="G430" s="1" t="s">
        <v>24</v>
      </c>
      <c r="H430" s="1">
        <v>1</v>
      </c>
      <c r="I430" s="1" t="s">
        <v>2669</v>
      </c>
      <c r="J430" s="1"/>
      <c r="K430" s="1">
        <v>254800</v>
      </c>
      <c r="L430" s="1">
        <v>0</v>
      </c>
      <c r="M430" s="1">
        <v>0</v>
      </c>
      <c r="N430" s="1">
        <v>28028</v>
      </c>
      <c r="O430" s="1">
        <v>0</v>
      </c>
      <c r="P430" s="1">
        <v>0</v>
      </c>
      <c r="Q430" s="1">
        <v>0</v>
      </c>
      <c r="R430" s="1">
        <v>282828</v>
      </c>
      <c r="S430" s="1">
        <v>46800</v>
      </c>
      <c r="T430" s="1">
        <v>18.367346938775999</v>
      </c>
      <c r="U430" t="str">
        <f t="shared" si="6"/>
        <v>Week 2</v>
      </c>
    </row>
    <row r="431" spans="1:21" x14ac:dyDescent="0.25">
      <c r="A431" s="1">
        <v>430</v>
      </c>
      <c r="B431" s="1" t="s">
        <v>2670</v>
      </c>
      <c r="C431" s="2">
        <v>46123</v>
      </c>
      <c r="D431" s="1" t="s">
        <v>33</v>
      </c>
      <c r="E431" s="1" t="s">
        <v>34</v>
      </c>
      <c r="F431" s="1" t="s">
        <v>30</v>
      </c>
      <c r="G431" s="1" t="s">
        <v>24</v>
      </c>
      <c r="H431" s="1">
        <v>1</v>
      </c>
      <c r="I431" s="1" t="s">
        <v>2671</v>
      </c>
      <c r="J431" s="1" t="s">
        <v>56</v>
      </c>
      <c r="K431" s="1">
        <v>132667500</v>
      </c>
      <c r="L431" s="1">
        <v>0</v>
      </c>
      <c r="M431" s="1">
        <v>0</v>
      </c>
      <c r="N431" s="1">
        <v>14593425</v>
      </c>
      <c r="O431" s="1">
        <v>0</v>
      </c>
      <c r="P431" s="1">
        <v>0</v>
      </c>
      <c r="Q431" s="1">
        <v>0</v>
      </c>
      <c r="R431" s="1">
        <v>147260925</v>
      </c>
      <c r="S431" s="1">
        <v>24367500</v>
      </c>
      <c r="T431" s="1">
        <v>18.367346938775999</v>
      </c>
      <c r="U431" t="str">
        <f t="shared" si="6"/>
        <v>Week 2</v>
      </c>
    </row>
    <row r="432" spans="1:21" x14ac:dyDescent="0.25">
      <c r="A432" s="1">
        <v>431</v>
      </c>
      <c r="B432" s="1" t="s">
        <v>2672</v>
      </c>
      <c r="C432" s="2">
        <v>46123</v>
      </c>
      <c r="D432" s="1" t="s">
        <v>202</v>
      </c>
      <c r="E432" s="1" t="s">
        <v>2414</v>
      </c>
      <c r="F432" s="1" t="s">
        <v>23</v>
      </c>
      <c r="G432" s="1" t="s">
        <v>24</v>
      </c>
      <c r="H432" s="1">
        <v>1</v>
      </c>
      <c r="I432" s="1" t="s">
        <v>2673</v>
      </c>
      <c r="J432" s="1"/>
      <c r="K432" s="1">
        <v>760500</v>
      </c>
      <c r="L432" s="1">
        <v>0</v>
      </c>
      <c r="M432" s="1">
        <v>0</v>
      </c>
      <c r="N432" s="1">
        <v>83655</v>
      </c>
      <c r="O432" s="1">
        <v>0</v>
      </c>
      <c r="P432" s="1">
        <v>0</v>
      </c>
      <c r="Q432" s="1">
        <v>0</v>
      </c>
      <c r="R432" s="1">
        <v>844155</v>
      </c>
      <c r="S432" s="1">
        <v>220500</v>
      </c>
      <c r="T432" s="1">
        <v>28.994082840236999</v>
      </c>
      <c r="U432" t="str">
        <f t="shared" si="6"/>
        <v>Week 2</v>
      </c>
    </row>
    <row r="433" spans="1:21" x14ac:dyDescent="0.25">
      <c r="A433" s="1">
        <v>432</v>
      </c>
      <c r="B433" s="1" t="s">
        <v>2674</v>
      </c>
      <c r="C433" s="2">
        <v>46123</v>
      </c>
      <c r="D433" s="1" t="s">
        <v>115</v>
      </c>
      <c r="E433" s="1" t="s">
        <v>116</v>
      </c>
      <c r="F433" s="1" t="s">
        <v>30</v>
      </c>
      <c r="G433" s="1" t="s">
        <v>24</v>
      </c>
      <c r="H433" s="1">
        <v>1</v>
      </c>
      <c r="I433" s="1" t="s">
        <v>2814</v>
      </c>
      <c r="J433" s="1" t="s">
        <v>26</v>
      </c>
      <c r="K433" s="1">
        <v>5974650</v>
      </c>
      <c r="L433" s="1">
        <v>0</v>
      </c>
      <c r="M433" s="1">
        <v>0</v>
      </c>
      <c r="N433" s="1">
        <v>657211.5</v>
      </c>
      <c r="O433" s="1">
        <v>0</v>
      </c>
      <c r="P433" s="1">
        <v>0</v>
      </c>
      <c r="Q433" s="1">
        <v>0</v>
      </c>
      <c r="R433" s="1">
        <v>6631861.5</v>
      </c>
      <c r="S433" s="1">
        <v>1146650</v>
      </c>
      <c r="T433" s="1">
        <v>19.191919191918998</v>
      </c>
      <c r="U433" t="str">
        <f t="shared" si="6"/>
        <v>Week 2</v>
      </c>
    </row>
    <row r="434" spans="1:21" x14ac:dyDescent="0.25">
      <c r="A434" s="1">
        <v>433</v>
      </c>
      <c r="B434" s="1" t="s">
        <v>2675</v>
      </c>
      <c r="C434" s="2">
        <v>46123</v>
      </c>
      <c r="D434" s="1" t="s">
        <v>2979</v>
      </c>
      <c r="E434" s="1" t="s">
        <v>29</v>
      </c>
      <c r="F434" s="1" t="s">
        <v>30</v>
      </c>
      <c r="G434" s="1" t="s">
        <v>24</v>
      </c>
      <c r="H434" s="1">
        <v>1</v>
      </c>
      <c r="I434" s="1" t="s">
        <v>2676</v>
      </c>
      <c r="J434" s="1"/>
      <c r="K434" s="1">
        <v>22200000</v>
      </c>
      <c r="L434" s="1">
        <v>0</v>
      </c>
      <c r="M434" s="1">
        <v>0</v>
      </c>
      <c r="N434" s="1">
        <v>2442000</v>
      </c>
      <c r="O434" s="1">
        <v>0</v>
      </c>
      <c r="P434" s="1">
        <v>0</v>
      </c>
      <c r="Q434" s="1">
        <v>0</v>
      </c>
      <c r="R434" s="1">
        <v>24642000</v>
      </c>
      <c r="S434" s="1">
        <v>5656590</v>
      </c>
      <c r="T434" s="1">
        <v>25.480135135135001</v>
      </c>
      <c r="U434" t="str">
        <f t="shared" si="6"/>
        <v>Week 2</v>
      </c>
    </row>
    <row r="435" spans="1:21" x14ac:dyDescent="0.25">
      <c r="A435" s="1">
        <v>434</v>
      </c>
      <c r="B435" s="1" t="s">
        <v>2677</v>
      </c>
      <c r="C435" s="2">
        <v>46123</v>
      </c>
      <c r="D435" s="1" t="s">
        <v>202</v>
      </c>
      <c r="E435" s="1" t="s">
        <v>2414</v>
      </c>
      <c r="F435" s="1" t="s">
        <v>23</v>
      </c>
      <c r="G435" s="1" t="s">
        <v>24</v>
      </c>
      <c r="H435" s="1">
        <v>1</v>
      </c>
      <c r="I435" s="1" t="s">
        <v>2488</v>
      </c>
      <c r="J435" s="1"/>
      <c r="K435" s="1">
        <v>2545250</v>
      </c>
      <c r="L435" s="1">
        <v>0</v>
      </c>
      <c r="M435" s="1">
        <v>0</v>
      </c>
      <c r="N435" s="1">
        <v>279977.5</v>
      </c>
      <c r="O435" s="1">
        <v>0</v>
      </c>
      <c r="P435" s="1">
        <v>0</v>
      </c>
      <c r="Q435" s="1">
        <v>0</v>
      </c>
      <c r="R435" s="1">
        <v>2825227.5</v>
      </c>
      <c r="S435" s="1">
        <v>540250</v>
      </c>
      <c r="T435" s="1">
        <v>21.225812788528</v>
      </c>
      <c r="U435" t="str">
        <f t="shared" si="6"/>
        <v>Week 2</v>
      </c>
    </row>
    <row r="436" spans="1:21" x14ac:dyDescent="0.25">
      <c r="A436" s="1">
        <v>435</v>
      </c>
      <c r="B436" s="1" t="s">
        <v>2678</v>
      </c>
      <c r="C436" s="2">
        <v>46123</v>
      </c>
      <c r="D436" s="1" t="s">
        <v>33</v>
      </c>
      <c r="E436" s="1" t="s">
        <v>34</v>
      </c>
      <c r="F436" s="1" t="s">
        <v>260</v>
      </c>
      <c r="G436" s="1" t="s">
        <v>24</v>
      </c>
      <c r="H436" s="1">
        <v>1</v>
      </c>
      <c r="I436" s="1" t="s">
        <v>2574</v>
      </c>
      <c r="J436" s="1"/>
      <c r="K436" s="1">
        <v>17176709.899999999</v>
      </c>
      <c r="L436" s="1">
        <v>0</v>
      </c>
      <c r="M436" s="1">
        <v>0</v>
      </c>
      <c r="N436" s="1">
        <v>1889438.0889999999</v>
      </c>
      <c r="O436" s="1">
        <v>0</v>
      </c>
      <c r="P436" s="1">
        <v>0</v>
      </c>
      <c r="Q436" s="1">
        <v>0</v>
      </c>
      <c r="R436" s="1">
        <v>19066147.989</v>
      </c>
      <c r="S436" s="1">
        <v>6453519.4100000001</v>
      </c>
      <c r="T436" s="1">
        <v>37.571336114840001</v>
      </c>
      <c r="U436" t="str">
        <f t="shared" si="6"/>
        <v>Week 2</v>
      </c>
    </row>
    <row r="437" spans="1:21" x14ac:dyDescent="0.25">
      <c r="A437" s="1">
        <v>436</v>
      </c>
      <c r="B437" s="1" t="s">
        <v>2679</v>
      </c>
      <c r="C437" s="2">
        <v>46122</v>
      </c>
      <c r="D437" s="1" t="s">
        <v>21</v>
      </c>
      <c r="E437" s="1" t="s">
        <v>22</v>
      </c>
      <c r="F437" s="1" t="s">
        <v>23</v>
      </c>
      <c r="G437" s="1" t="s">
        <v>24</v>
      </c>
      <c r="H437" s="1">
        <v>1</v>
      </c>
      <c r="I437" s="1" t="s">
        <v>683</v>
      </c>
      <c r="J437" s="1"/>
      <c r="K437" s="1">
        <v>63000000</v>
      </c>
      <c r="L437" s="1">
        <v>0</v>
      </c>
      <c r="M437" s="1">
        <v>0</v>
      </c>
      <c r="N437" s="1">
        <v>6930000</v>
      </c>
      <c r="O437" s="1">
        <v>0</v>
      </c>
      <c r="P437" s="1">
        <v>0</v>
      </c>
      <c r="Q437" s="1">
        <v>0</v>
      </c>
      <c r="R437" s="1">
        <v>69930000</v>
      </c>
      <c r="S437" s="1">
        <v>25394234.234234001</v>
      </c>
      <c r="T437" s="1">
        <v>40.308308308308</v>
      </c>
      <c r="U437" t="str">
        <f t="shared" si="6"/>
        <v>Week 2</v>
      </c>
    </row>
    <row r="438" spans="1:21" x14ac:dyDescent="0.25">
      <c r="A438" s="1">
        <v>437</v>
      </c>
      <c r="B438" s="1" t="s">
        <v>2680</v>
      </c>
      <c r="C438" s="2">
        <v>46122</v>
      </c>
      <c r="D438" s="1" t="s">
        <v>21</v>
      </c>
      <c r="E438" s="1" t="s">
        <v>22</v>
      </c>
      <c r="F438" s="1" t="s">
        <v>23</v>
      </c>
      <c r="G438" s="1" t="s">
        <v>24</v>
      </c>
      <c r="H438" s="1">
        <v>1</v>
      </c>
      <c r="I438" s="1" t="s">
        <v>2681</v>
      </c>
      <c r="J438" s="1" t="s">
        <v>26</v>
      </c>
      <c r="K438" s="1">
        <v>84999754</v>
      </c>
      <c r="L438" s="1">
        <v>0</v>
      </c>
      <c r="M438" s="1">
        <v>0</v>
      </c>
      <c r="N438" s="1">
        <v>9349972.9399999995</v>
      </c>
      <c r="O438" s="1">
        <v>0</v>
      </c>
      <c r="P438" s="1">
        <v>0</v>
      </c>
      <c r="Q438" s="1">
        <v>0</v>
      </c>
      <c r="R438" s="1">
        <v>94349726.939999998</v>
      </c>
      <c r="S438" s="1">
        <v>25966943.18</v>
      </c>
      <c r="T438" s="1">
        <v>30.549433331301</v>
      </c>
      <c r="U438" t="str">
        <f t="shared" si="6"/>
        <v>Week 2</v>
      </c>
    </row>
    <row r="439" spans="1:21" x14ac:dyDescent="0.25">
      <c r="A439" s="1">
        <v>438</v>
      </c>
      <c r="B439" s="1" t="s">
        <v>2682</v>
      </c>
      <c r="C439" s="2">
        <v>46122</v>
      </c>
      <c r="D439" s="1" t="s">
        <v>115</v>
      </c>
      <c r="E439" s="1" t="s">
        <v>99</v>
      </c>
      <c r="F439" s="1" t="s">
        <v>23</v>
      </c>
      <c r="G439" s="1" t="s">
        <v>24</v>
      </c>
      <c r="H439" s="1">
        <v>1</v>
      </c>
      <c r="I439" s="1" t="s">
        <v>2683</v>
      </c>
      <c r="J439" s="1"/>
      <c r="K439" s="1">
        <v>1283800</v>
      </c>
      <c r="L439" s="1">
        <v>0</v>
      </c>
      <c r="M439" s="1">
        <v>0</v>
      </c>
      <c r="N439" s="1">
        <v>141218</v>
      </c>
      <c r="O439" s="1">
        <v>0</v>
      </c>
      <c r="P439" s="1">
        <v>0</v>
      </c>
      <c r="Q439" s="1">
        <v>0</v>
      </c>
      <c r="R439" s="1">
        <v>1425018</v>
      </c>
      <c r="S439" s="1">
        <v>243800</v>
      </c>
      <c r="T439" s="1">
        <v>18.990496962144</v>
      </c>
      <c r="U439" t="str">
        <f t="shared" si="6"/>
        <v>Week 2</v>
      </c>
    </row>
    <row r="440" spans="1:21" x14ac:dyDescent="0.25">
      <c r="A440" s="1">
        <v>439</v>
      </c>
      <c r="B440" s="1" t="s">
        <v>2684</v>
      </c>
      <c r="C440" s="2">
        <v>46122</v>
      </c>
      <c r="D440" s="1" t="s">
        <v>306</v>
      </c>
      <c r="E440" s="1" t="s">
        <v>99</v>
      </c>
      <c r="F440" s="1" t="s">
        <v>30</v>
      </c>
      <c r="G440" s="1" t="s">
        <v>24</v>
      </c>
      <c r="H440" s="1">
        <v>1</v>
      </c>
      <c r="I440" s="1" t="s">
        <v>3377</v>
      </c>
      <c r="J440" s="1"/>
      <c r="K440" s="1">
        <v>4107340</v>
      </c>
      <c r="L440" s="1">
        <v>0</v>
      </c>
      <c r="M440" s="1">
        <v>0</v>
      </c>
      <c r="N440" s="1">
        <v>451807.4</v>
      </c>
      <c r="O440" s="1">
        <v>0</v>
      </c>
      <c r="P440" s="1">
        <v>0</v>
      </c>
      <c r="Q440" s="1">
        <v>0</v>
      </c>
      <c r="R440" s="1">
        <v>4559147.4000000004</v>
      </c>
      <c r="S440" s="1">
        <v>1013448.11</v>
      </c>
      <c r="T440" s="1">
        <v>24.674073974883999</v>
      </c>
      <c r="U440" t="str">
        <f t="shared" si="6"/>
        <v>Week 2</v>
      </c>
    </row>
    <row r="441" spans="1:21" x14ac:dyDescent="0.25">
      <c r="A441" s="1">
        <v>440</v>
      </c>
      <c r="B441" s="1" t="s">
        <v>2685</v>
      </c>
      <c r="C441" s="2">
        <v>46122</v>
      </c>
      <c r="D441" s="1" t="s">
        <v>53</v>
      </c>
      <c r="E441" s="1" t="s">
        <v>54</v>
      </c>
      <c r="F441" s="1" t="s">
        <v>30</v>
      </c>
      <c r="G441" s="1" t="s">
        <v>24</v>
      </c>
      <c r="H441" s="1">
        <v>1</v>
      </c>
      <c r="I441" s="1" t="s">
        <v>2686</v>
      </c>
      <c r="J441" s="1"/>
      <c r="K441" s="1">
        <v>9878060</v>
      </c>
      <c r="L441" s="1">
        <v>0</v>
      </c>
      <c r="M441" s="1">
        <v>0</v>
      </c>
      <c r="N441" s="1">
        <v>1086586.6000000001</v>
      </c>
      <c r="O441" s="1">
        <v>0</v>
      </c>
      <c r="P441" s="1">
        <v>0</v>
      </c>
      <c r="Q441" s="1">
        <v>0</v>
      </c>
      <c r="R441" s="1">
        <v>10964646.6</v>
      </c>
      <c r="S441" s="1">
        <v>521200</v>
      </c>
      <c r="T441" s="1">
        <v>5.2763396861327001</v>
      </c>
      <c r="U441" t="str">
        <f t="shared" si="6"/>
        <v>Week 2</v>
      </c>
    </row>
    <row r="442" spans="1:21" x14ac:dyDescent="0.25">
      <c r="A442" s="1">
        <v>441</v>
      </c>
      <c r="B442" s="1" t="s">
        <v>2687</v>
      </c>
      <c r="C442" s="2">
        <v>46122</v>
      </c>
      <c r="D442" s="1" t="s">
        <v>28</v>
      </c>
      <c r="E442" s="1" t="s">
        <v>29</v>
      </c>
      <c r="F442" s="1" t="s">
        <v>30</v>
      </c>
      <c r="G442" s="1" t="s">
        <v>24</v>
      </c>
      <c r="H442" s="1">
        <v>1</v>
      </c>
      <c r="I442" s="1" t="s">
        <v>2688</v>
      </c>
      <c r="J442" s="1"/>
      <c r="K442" s="1">
        <v>231756.28</v>
      </c>
      <c r="L442" s="1">
        <v>0</v>
      </c>
      <c r="M442" s="1">
        <v>0</v>
      </c>
      <c r="N442" s="1">
        <v>25493.1908</v>
      </c>
      <c r="O442" s="1">
        <v>0</v>
      </c>
      <c r="P442" s="1">
        <v>0</v>
      </c>
      <c r="Q442" s="1">
        <v>0</v>
      </c>
      <c r="R442" s="1">
        <v>257249.47080000001</v>
      </c>
      <c r="S442" s="1">
        <v>66756.28</v>
      </c>
      <c r="T442" s="1">
        <v>28.804518263755</v>
      </c>
      <c r="U442" t="str">
        <f t="shared" si="6"/>
        <v>Week 2</v>
      </c>
    </row>
    <row r="443" spans="1:21" x14ac:dyDescent="0.25">
      <c r="A443" s="1">
        <v>442</v>
      </c>
      <c r="B443" s="1" t="s">
        <v>2689</v>
      </c>
      <c r="C443" s="2">
        <v>46122</v>
      </c>
      <c r="D443" s="1" t="s">
        <v>53</v>
      </c>
      <c r="E443" s="1" t="s">
        <v>54</v>
      </c>
      <c r="F443" s="1" t="s">
        <v>30</v>
      </c>
      <c r="G443" s="1" t="s">
        <v>24</v>
      </c>
      <c r="H443" s="1">
        <v>1</v>
      </c>
      <c r="I443" s="1" t="s">
        <v>2690</v>
      </c>
      <c r="J443" s="1"/>
      <c r="K443" s="1">
        <v>13524000</v>
      </c>
      <c r="L443" s="1">
        <v>0</v>
      </c>
      <c r="M443" s="1">
        <v>0</v>
      </c>
      <c r="N443" s="1">
        <v>1487640</v>
      </c>
      <c r="O443" s="1">
        <v>0</v>
      </c>
      <c r="P443" s="1">
        <v>0</v>
      </c>
      <c r="Q443" s="1">
        <v>0</v>
      </c>
      <c r="R443" s="1">
        <v>15011640</v>
      </c>
      <c r="S443" s="1">
        <v>3614091</v>
      </c>
      <c r="T443" s="1">
        <v>26.723535936114001</v>
      </c>
      <c r="U443" t="str">
        <f t="shared" si="6"/>
        <v>Week 2</v>
      </c>
    </row>
    <row r="444" spans="1:21" x14ac:dyDescent="0.25">
      <c r="A444" s="1">
        <v>443</v>
      </c>
      <c r="B444" s="1" t="s">
        <v>2691</v>
      </c>
      <c r="C444" s="2">
        <v>46122</v>
      </c>
      <c r="D444" s="1" t="s">
        <v>21</v>
      </c>
      <c r="E444" s="1" t="s">
        <v>22</v>
      </c>
      <c r="F444" s="1" t="s">
        <v>30</v>
      </c>
      <c r="G444" s="1" t="s">
        <v>24</v>
      </c>
      <c r="H444" s="1">
        <v>1</v>
      </c>
      <c r="I444" s="1" t="s">
        <v>2692</v>
      </c>
      <c r="J444" s="1" t="s">
        <v>26</v>
      </c>
      <c r="K444" s="1">
        <v>243043</v>
      </c>
      <c r="L444" s="1">
        <v>0</v>
      </c>
      <c r="M444" s="1">
        <v>0</v>
      </c>
      <c r="N444" s="1">
        <v>26734.73</v>
      </c>
      <c r="O444" s="1">
        <v>0</v>
      </c>
      <c r="P444" s="1">
        <v>0</v>
      </c>
      <c r="Q444" s="1">
        <v>0</v>
      </c>
      <c r="R444" s="1">
        <v>269777.73</v>
      </c>
      <c r="S444" s="1">
        <v>18877.2</v>
      </c>
      <c r="T444" s="1">
        <v>7.7670206506668</v>
      </c>
      <c r="U444" t="str">
        <f t="shared" si="6"/>
        <v>Week 2</v>
      </c>
    </row>
    <row r="445" spans="1:21" x14ac:dyDescent="0.25">
      <c r="A445" s="1">
        <v>444</v>
      </c>
      <c r="B445" s="1" t="s">
        <v>2693</v>
      </c>
      <c r="C445" s="2">
        <v>46122</v>
      </c>
      <c r="D445" s="1" t="s">
        <v>21</v>
      </c>
      <c r="E445" s="1" t="s">
        <v>22</v>
      </c>
      <c r="F445" s="1" t="s">
        <v>30</v>
      </c>
      <c r="G445" s="1" t="s">
        <v>24</v>
      </c>
      <c r="H445" s="1">
        <v>1</v>
      </c>
      <c r="I445" s="1" t="s">
        <v>2694</v>
      </c>
      <c r="J445" s="1" t="s">
        <v>26</v>
      </c>
      <c r="K445" s="1">
        <v>243043</v>
      </c>
      <c r="L445" s="1">
        <v>0</v>
      </c>
      <c r="M445" s="1">
        <v>0</v>
      </c>
      <c r="N445" s="1">
        <v>26734.73</v>
      </c>
      <c r="O445" s="1">
        <v>0</v>
      </c>
      <c r="P445" s="1">
        <v>0</v>
      </c>
      <c r="Q445" s="1">
        <v>0</v>
      </c>
      <c r="R445" s="1">
        <v>269777.73</v>
      </c>
      <c r="S445" s="1">
        <v>18877.2</v>
      </c>
      <c r="T445" s="1">
        <v>7.7670206506668</v>
      </c>
      <c r="U445" t="str">
        <f t="shared" si="6"/>
        <v>Week 2</v>
      </c>
    </row>
    <row r="446" spans="1:21" x14ac:dyDescent="0.25">
      <c r="A446" s="1">
        <v>445</v>
      </c>
      <c r="B446" s="1" t="s">
        <v>2695</v>
      </c>
      <c r="C446" s="2">
        <v>46122</v>
      </c>
      <c r="D446" s="1" t="s">
        <v>21</v>
      </c>
      <c r="E446" s="1" t="s">
        <v>22</v>
      </c>
      <c r="F446" s="1" t="s">
        <v>30</v>
      </c>
      <c r="G446" s="1" t="s">
        <v>24</v>
      </c>
      <c r="H446" s="1">
        <v>1</v>
      </c>
      <c r="I446" s="1" t="s">
        <v>2696</v>
      </c>
      <c r="J446" s="1" t="s">
        <v>26</v>
      </c>
      <c r="K446" s="1">
        <v>3107830</v>
      </c>
      <c r="L446" s="1">
        <v>0</v>
      </c>
      <c r="M446" s="1">
        <v>0</v>
      </c>
      <c r="N446" s="1">
        <v>341861.3</v>
      </c>
      <c r="O446" s="1">
        <v>0</v>
      </c>
      <c r="P446" s="1">
        <v>0</v>
      </c>
      <c r="Q446" s="1">
        <v>0</v>
      </c>
      <c r="R446" s="1">
        <v>3449691.3</v>
      </c>
      <c r="S446" s="1">
        <v>90516</v>
      </c>
      <c r="T446" s="1">
        <v>2.9125145197775</v>
      </c>
      <c r="U446" t="str">
        <f t="shared" si="6"/>
        <v>Week 2</v>
      </c>
    </row>
    <row r="447" spans="1:21" x14ac:dyDescent="0.25">
      <c r="A447" s="1">
        <v>446</v>
      </c>
      <c r="B447" s="1" t="s">
        <v>2697</v>
      </c>
      <c r="C447" s="2">
        <v>46122</v>
      </c>
      <c r="D447" s="1" t="s">
        <v>432</v>
      </c>
      <c r="E447" s="1" t="s">
        <v>116</v>
      </c>
      <c r="F447" s="1" t="s">
        <v>39</v>
      </c>
      <c r="G447" s="1" t="s">
        <v>24</v>
      </c>
      <c r="H447" s="1">
        <v>1</v>
      </c>
      <c r="I447" s="1" t="s">
        <v>2608</v>
      </c>
      <c r="J447" s="1" t="s">
        <v>26</v>
      </c>
      <c r="K447" s="1">
        <v>80862000</v>
      </c>
      <c r="L447" s="1">
        <v>0</v>
      </c>
      <c r="M447" s="1">
        <v>0</v>
      </c>
      <c r="N447" s="1">
        <v>8894820</v>
      </c>
      <c r="O447" s="1">
        <v>0</v>
      </c>
      <c r="P447" s="1">
        <v>0</v>
      </c>
      <c r="Q447" s="1">
        <v>0</v>
      </c>
      <c r="R447" s="1">
        <v>89756820</v>
      </c>
      <c r="S447" s="1">
        <v>9687360</v>
      </c>
      <c r="T447" s="1">
        <v>11.980114268754001</v>
      </c>
      <c r="U447" t="str">
        <f t="shared" si="6"/>
        <v>Week 2</v>
      </c>
    </row>
    <row r="448" spans="1:21" x14ac:dyDescent="0.25">
      <c r="A448" s="1">
        <v>447</v>
      </c>
      <c r="B448" s="1" t="s">
        <v>2698</v>
      </c>
      <c r="C448" s="2">
        <v>46122</v>
      </c>
      <c r="D448" s="1" t="s">
        <v>21</v>
      </c>
      <c r="E448" s="1" t="s">
        <v>22</v>
      </c>
      <c r="F448" s="1" t="s">
        <v>30</v>
      </c>
      <c r="G448" s="1" t="s">
        <v>24</v>
      </c>
      <c r="H448" s="1">
        <v>1</v>
      </c>
      <c r="I448" s="1" t="s">
        <v>2699</v>
      </c>
      <c r="J448" s="1"/>
      <c r="K448" s="1">
        <v>1908225</v>
      </c>
      <c r="L448" s="1">
        <v>0</v>
      </c>
      <c r="M448" s="1">
        <v>0</v>
      </c>
      <c r="N448" s="1">
        <v>209904.75</v>
      </c>
      <c r="O448" s="1">
        <v>0</v>
      </c>
      <c r="P448" s="1">
        <v>0</v>
      </c>
      <c r="Q448" s="1">
        <v>0</v>
      </c>
      <c r="R448" s="1">
        <v>2118129.75</v>
      </c>
      <c r="S448" s="1">
        <v>55576.800000000003</v>
      </c>
      <c r="T448" s="1">
        <v>2.9124867350548</v>
      </c>
      <c r="U448" t="str">
        <f t="shared" si="6"/>
        <v>Week 2</v>
      </c>
    </row>
    <row r="449" spans="1:21" x14ac:dyDescent="0.25">
      <c r="A449" s="1">
        <v>448</v>
      </c>
      <c r="B449" s="1" t="s">
        <v>2700</v>
      </c>
      <c r="C449" s="2">
        <v>46122</v>
      </c>
      <c r="D449" s="1" t="s">
        <v>21</v>
      </c>
      <c r="E449" s="1" t="s">
        <v>22</v>
      </c>
      <c r="F449" s="1" t="s">
        <v>30</v>
      </c>
      <c r="G449" s="1" t="s">
        <v>24</v>
      </c>
      <c r="H449" s="1">
        <v>1</v>
      </c>
      <c r="I449" s="1" t="s">
        <v>2701</v>
      </c>
      <c r="J449" s="1" t="s">
        <v>26</v>
      </c>
      <c r="K449" s="1">
        <v>41426551.18</v>
      </c>
      <c r="L449" s="1">
        <v>0</v>
      </c>
      <c r="M449" s="1">
        <v>0</v>
      </c>
      <c r="N449" s="1">
        <v>4556920.6298000002</v>
      </c>
      <c r="O449" s="1">
        <v>0</v>
      </c>
      <c r="P449" s="1">
        <v>0</v>
      </c>
      <c r="Q449" s="1">
        <v>0</v>
      </c>
      <c r="R449" s="1">
        <v>45983471.809799999</v>
      </c>
      <c r="S449" s="1">
        <v>21007833.18</v>
      </c>
      <c r="T449" s="1">
        <v>50.711035752698997</v>
      </c>
      <c r="U449" t="str">
        <f t="shared" si="6"/>
        <v>Week 2</v>
      </c>
    </row>
    <row r="450" spans="1:21" x14ac:dyDescent="0.25">
      <c r="A450" s="1">
        <v>449</v>
      </c>
      <c r="B450" s="1" t="s">
        <v>2702</v>
      </c>
      <c r="C450" s="2">
        <v>46122</v>
      </c>
      <c r="D450" s="1" t="s">
        <v>115</v>
      </c>
      <c r="E450" s="1" t="s">
        <v>99</v>
      </c>
      <c r="F450" s="1" t="s">
        <v>30</v>
      </c>
      <c r="G450" s="1" t="s">
        <v>24</v>
      </c>
      <c r="H450" s="1">
        <v>1</v>
      </c>
      <c r="I450" s="1" t="s">
        <v>2703</v>
      </c>
      <c r="J450" s="1"/>
      <c r="K450" s="1">
        <v>12056080</v>
      </c>
      <c r="L450" s="1">
        <v>0</v>
      </c>
      <c r="M450" s="1">
        <v>0</v>
      </c>
      <c r="N450" s="1">
        <v>1326168.8</v>
      </c>
      <c r="O450" s="1">
        <v>0</v>
      </c>
      <c r="P450" s="1">
        <v>0</v>
      </c>
      <c r="Q450" s="1">
        <v>0</v>
      </c>
      <c r="R450" s="1">
        <v>13382248.800000001</v>
      </c>
      <c r="S450" s="1">
        <v>1511080</v>
      </c>
      <c r="T450" s="1">
        <v>12.533758900074</v>
      </c>
      <c r="U450" t="str">
        <f t="shared" si="6"/>
        <v>Week 2</v>
      </c>
    </row>
    <row r="451" spans="1:21" x14ac:dyDescent="0.25">
      <c r="A451" s="1">
        <v>450</v>
      </c>
      <c r="B451" s="1" t="s">
        <v>2704</v>
      </c>
      <c r="C451" s="2">
        <v>46122</v>
      </c>
      <c r="D451" s="1" t="s">
        <v>202</v>
      </c>
      <c r="E451" s="1" t="s">
        <v>2414</v>
      </c>
      <c r="F451" s="1" t="s">
        <v>30</v>
      </c>
      <c r="G451" s="1" t="s">
        <v>24</v>
      </c>
      <c r="H451" s="1">
        <v>1</v>
      </c>
      <c r="I451" s="1" t="s">
        <v>2705</v>
      </c>
      <c r="J451" s="1"/>
      <c r="K451" s="1">
        <v>96547150</v>
      </c>
      <c r="L451" s="1">
        <v>0</v>
      </c>
      <c r="M451" s="1">
        <v>0</v>
      </c>
      <c r="N451" s="1">
        <v>10620186.5</v>
      </c>
      <c r="O451" s="1">
        <v>0</v>
      </c>
      <c r="P451" s="1">
        <v>0</v>
      </c>
      <c r="Q451" s="1">
        <v>0</v>
      </c>
      <c r="R451" s="1">
        <v>107167336.5</v>
      </c>
      <c r="S451" s="1">
        <v>21733150</v>
      </c>
      <c r="T451" s="1">
        <v>22.510400358788001</v>
      </c>
      <c r="U451" t="str">
        <f t="shared" ref="U451:U514" si="7">"Week "&amp;IF(DAY(C451)&gt;=24,4,INT((DAY(C451)-1)/7)+1)</f>
        <v>Week 2</v>
      </c>
    </row>
    <row r="452" spans="1:21" x14ac:dyDescent="0.25">
      <c r="A452" s="1">
        <v>451</v>
      </c>
      <c r="B452" s="1" t="s">
        <v>2706</v>
      </c>
      <c r="C452" s="2">
        <v>46122</v>
      </c>
      <c r="D452" s="1" t="s">
        <v>98</v>
      </c>
      <c r="E452" s="1" t="s">
        <v>99</v>
      </c>
      <c r="F452" s="1" t="s">
        <v>23</v>
      </c>
      <c r="G452" s="1" t="s">
        <v>24</v>
      </c>
      <c r="H452" s="1">
        <v>1</v>
      </c>
      <c r="I452" s="1" t="s">
        <v>2707</v>
      </c>
      <c r="J452" s="1"/>
      <c r="K452" s="1">
        <v>13721500</v>
      </c>
      <c r="L452" s="1">
        <v>0</v>
      </c>
      <c r="M452" s="1">
        <v>0</v>
      </c>
      <c r="N452" s="1">
        <v>1509365</v>
      </c>
      <c r="O452" s="1">
        <v>0</v>
      </c>
      <c r="P452" s="1">
        <v>0</v>
      </c>
      <c r="Q452" s="1">
        <v>0</v>
      </c>
      <c r="R452" s="1">
        <v>15230865</v>
      </c>
      <c r="S452" s="1">
        <v>4113700</v>
      </c>
      <c r="T452" s="1">
        <v>29.979958459352002</v>
      </c>
      <c r="U452" t="str">
        <f t="shared" si="7"/>
        <v>Week 2</v>
      </c>
    </row>
    <row r="453" spans="1:21" x14ac:dyDescent="0.25">
      <c r="A453" s="1">
        <v>452</v>
      </c>
      <c r="B453" s="1" t="s">
        <v>2708</v>
      </c>
      <c r="C453" s="2">
        <v>46122</v>
      </c>
      <c r="D453" s="1" t="s">
        <v>248</v>
      </c>
      <c r="E453" s="1" t="s">
        <v>116</v>
      </c>
      <c r="F453" s="1" t="s">
        <v>30</v>
      </c>
      <c r="G453" s="1" t="s">
        <v>24</v>
      </c>
      <c r="H453" s="1">
        <v>1</v>
      </c>
      <c r="I453" s="1" t="s">
        <v>2709</v>
      </c>
      <c r="J453" s="1" t="s">
        <v>56</v>
      </c>
      <c r="K453" s="1">
        <v>354240000</v>
      </c>
      <c r="L453" s="1">
        <v>0</v>
      </c>
      <c r="M453" s="1">
        <v>0</v>
      </c>
      <c r="N453" s="1">
        <v>38966400</v>
      </c>
      <c r="O453" s="1">
        <v>0</v>
      </c>
      <c r="P453" s="1">
        <v>0</v>
      </c>
      <c r="Q453" s="1">
        <v>0</v>
      </c>
      <c r="R453" s="1">
        <v>393206400</v>
      </c>
      <c r="S453" s="1">
        <v>127440000</v>
      </c>
      <c r="T453" s="1">
        <v>35.975609756098002</v>
      </c>
      <c r="U453" t="str">
        <f t="shared" si="7"/>
        <v>Week 2</v>
      </c>
    </row>
    <row r="454" spans="1:21" x14ac:dyDescent="0.25">
      <c r="A454" s="1">
        <v>453</v>
      </c>
      <c r="B454" s="1" t="s">
        <v>2710</v>
      </c>
      <c r="C454" s="2">
        <v>46122</v>
      </c>
      <c r="D454" s="1" t="s">
        <v>33</v>
      </c>
      <c r="E454" s="1" t="s">
        <v>34</v>
      </c>
      <c r="F454" s="1" t="s">
        <v>39</v>
      </c>
      <c r="G454" s="1" t="s">
        <v>24</v>
      </c>
      <c r="H454" s="1">
        <v>1</v>
      </c>
      <c r="I454" s="1" t="s">
        <v>46</v>
      </c>
      <c r="J454" s="1"/>
      <c r="K454" s="1">
        <v>5200000</v>
      </c>
      <c r="L454" s="1">
        <v>0</v>
      </c>
      <c r="M454" s="1">
        <v>0</v>
      </c>
      <c r="N454" s="1">
        <v>572000</v>
      </c>
      <c r="O454" s="1">
        <v>0</v>
      </c>
      <c r="P454" s="1">
        <v>0</v>
      </c>
      <c r="Q454" s="1">
        <v>0</v>
      </c>
      <c r="R454" s="1">
        <v>5772000</v>
      </c>
      <c r="S454" s="1">
        <v>850000</v>
      </c>
      <c r="T454" s="1">
        <v>16.346153846153999</v>
      </c>
      <c r="U454" t="str">
        <f t="shared" si="7"/>
        <v>Week 2</v>
      </c>
    </row>
    <row r="455" spans="1:21" x14ac:dyDescent="0.25">
      <c r="A455" s="1">
        <v>454</v>
      </c>
      <c r="B455" s="1" t="s">
        <v>2711</v>
      </c>
      <c r="C455" s="2">
        <v>46121</v>
      </c>
      <c r="D455" s="1" t="s">
        <v>28</v>
      </c>
      <c r="E455" s="1" t="s">
        <v>29</v>
      </c>
      <c r="F455" s="1" t="s">
        <v>30</v>
      </c>
      <c r="G455" s="1" t="s">
        <v>24</v>
      </c>
      <c r="H455" s="1">
        <v>1</v>
      </c>
      <c r="I455" s="1" t="s">
        <v>2712</v>
      </c>
      <c r="J455" s="1"/>
      <c r="K455" s="1">
        <v>116208309</v>
      </c>
      <c r="L455" s="1">
        <v>0</v>
      </c>
      <c r="M455" s="1">
        <v>0</v>
      </c>
      <c r="N455" s="1">
        <v>12782913.99</v>
      </c>
      <c r="O455" s="1">
        <v>0</v>
      </c>
      <c r="P455" s="1">
        <v>0</v>
      </c>
      <c r="Q455" s="1">
        <v>0</v>
      </c>
      <c r="R455" s="1">
        <v>128991222.98999999</v>
      </c>
      <c r="S455" s="1">
        <v>2958309</v>
      </c>
      <c r="T455" s="1">
        <v>2.5456949037955998</v>
      </c>
      <c r="U455" t="str">
        <f t="shared" si="7"/>
        <v>Week 2</v>
      </c>
    </row>
    <row r="456" spans="1:21" x14ac:dyDescent="0.25">
      <c r="A456" s="1">
        <v>455</v>
      </c>
      <c r="B456" s="1" t="s">
        <v>2713</v>
      </c>
      <c r="C456" s="2">
        <v>46121</v>
      </c>
      <c r="D456" s="1" t="s">
        <v>53</v>
      </c>
      <c r="E456" s="1" t="s">
        <v>54</v>
      </c>
      <c r="F456" s="1" t="s">
        <v>30</v>
      </c>
      <c r="G456" s="1" t="s">
        <v>24</v>
      </c>
      <c r="H456" s="1">
        <v>1</v>
      </c>
      <c r="I456" s="1" t="s">
        <v>2714</v>
      </c>
      <c r="J456" s="1"/>
      <c r="K456" s="1">
        <v>2238398.4</v>
      </c>
      <c r="L456" s="1">
        <v>0</v>
      </c>
      <c r="M456" s="1">
        <v>0</v>
      </c>
      <c r="N456" s="1">
        <v>246223.82399999999</v>
      </c>
      <c r="O456" s="1">
        <v>0</v>
      </c>
      <c r="P456" s="1">
        <v>0</v>
      </c>
      <c r="Q456" s="1">
        <v>0</v>
      </c>
      <c r="R456" s="1">
        <v>2484622.2239999999</v>
      </c>
      <c r="S456" s="1">
        <v>678398.4</v>
      </c>
      <c r="T456" s="1">
        <v>30.307312585641998</v>
      </c>
      <c r="U456" t="str">
        <f t="shared" si="7"/>
        <v>Week 2</v>
      </c>
    </row>
    <row r="457" spans="1:21" x14ac:dyDescent="0.25">
      <c r="A457" s="1">
        <v>456</v>
      </c>
      <c r="B457" s="1" t="s">
        <v>2715</v>
      </c>
      <c r="C457" s="2">
        <v>46121</v>
      </c>
      <c r="D457" s="1" t="s">
        <v>112</v>
      </c>
      <c r="E457" s="1" t="s">
        <v>38</v>
      </c>
      <c r="F457" s="1" t="s">
        <v>30</v>
      </c>
      <c r="G457" s="1" t="s">
        <v>24</v>
      </c>
      <c r="H457" s="1">
        <v>1</v>
      </c>
      <c r="I457" s="1" t="s">
        <v>2716</v>
      </c>
      <c r="J457" s="1"/>
      <c r="K457" s="1">
        <v>3626000</v>
      </c>
      <c r="L457" s="1">
        <v>0</v>
      </c>
      <c r="M457" s="1">
        <v>0</v>
      </c>
      <c r="N457" s="1">
        <v>398860</v>
      </c>
      <c r="O457" s="1">
        <v>0</v>
      </c>
      <c r="P457" s="1">
        <v>0</v>
      </c>
      <c r="Q457" s="1">
        <v>0</v>
      </c>
      <c r="R457" s="1">
        <v>4024860</v>
      </c>
      <c r="S457" s="1">
        <v>3625998</v>
      </c>
      <c r="T457" s="1">
        <v>99.999944842801995</v>
      </c>
      <c r="U457" t="str">
        <f t="shared" si="7"/>
        <v>Week 2</v>
      </c>
    </row>
    <row r="458" spans="1:21" x14ac:dyDescent="0.25">
      <c r="A458" s="1">
        <v>457</v>
      </c>
      <c r="B458" s="1" t="s">
        <v>2717</v>
      </c>
      <c r="C458" s="2">
        <v>46121</v>
      </c>
      <c r="D458" s="1" t="s">
        <v>202</v>
      </c>
      <c r="E458" s="1" t="s">
        <v>2414</v>
      </c>
      <c r="F458" s="1" t="s">
        <v>30</v>
      </c>
      <c r="G458" s="1" t="s">
        <v>24</v>
      </c>
      <c r="H458" s="1">
        <v>1</v>
      </c>
      <c r="I458" s="1" t="s">
        <v>2718</v>
      </c>
      <c r="J458" s="1"/>
      <c r="K458" s="1">
        <v>107222290</v>
      </c>
      <c r="L458" s="1">
        <v>0</v>
      </c>
      <c r="M458" s="1">
        <v>0</v>
      </c>
      <c r="N458" s="1">
        <v>11794451.9</v>
      </c>
      <c r="O458" s="1">
        <v>0</v>
      </c>
      <c r="P458" s="1">
        <v>0</v>
      </c>
      <c r="Q458" s="1">
        <v>0</v>
      </c>
      <c r="R458" s="1">
        <v>119016741.90000001</v>
      </c>
      <c r="S458" s="1">
        <v>19426590</v>
      </c>
      <c r="T458" s="1">
        <v>18.118051759574001</v>
      </c>
      <c r="U458" t="str">
        <f t="shared" si="7"/>
        <v>Week 2</v>
      </c>
    </row>
    <row r="459" spans="1:21" x14ac:dyDescent="0.25">
      <c r="A459" s="1">
        <v>458</v>
      </c>
      <c r="B459" s="1" t="s">
        <v>2719</v>
      </c>
      <c r="C459" s="2">
        <v>46121</v>
      </c>
      <c r="D459" s="1" t="s">
        <v>169</v>
      </c>
      <c r="E459" s="1" t="s">
        <v>99</v>
      </c>
      <c r="F459" s="1" t="s">
        <v>23</v>
      </c>
      <c r="G459" s="1" t="s">
        <v>24</v>
      </c>
      <c r="H459" s="1">
        <v>1</v>
      </c>
      <c r="I459" s="1" t="s">
        <v>2720</v>
      </c>
      <c r="J459" s="1"/>
      <c r="K459" s="1">
        <v>76050000</v>
      </c>
      <c r="L459" s="1">
        <v>0</v>
      </c>
      <c r="M459" s="1">
        <v>0</v>
      </c>
      <c r="N459" s="1">
        <v>8365500</v>
      </c>
      <c r="O459" s="1">
        <v>0</v>
      </c>
      <c r="P459" s="1">
        <v>0</v>
      </c>
      <c r="Q459" s="1">
        <v>0</v>
      </c>
      <c r="R459" s="1">
        <v>84415500</v>
      </c>
      <c r="S459" s="1">
        <v>24287174.155255001</v>
      </c>
      <c r="T459" s="1">
        <v>31.935797705793</v>
      </c>
      <c r="U459" t="str">
        <f t="shared" si="7"/>
        <v>Week 2</v>
      </c>
    </row>
    <row r="460" spans="1:21" x14ac:dyDescent="0.25">
      <c r="A460" s="1">
        <v>459</v>
      </c>
      <c r="B460" s="1" t="s">
        <v>2721</v>
      </c>
      <c r="C460" s="2">
        <v>46121</v>
      </c>
      <c r="D460" s="1" t="s">
        <v>21</v>
      </c>
      <c r="E460" s="1" t="s">
        <v>22</v>
      </c>
      <c r="F460" s="1" t="s">
        <v>30</v>
      </c>
      <c r="G460" s="1" t="s">
        <v>24</v>
      </c>
      <c r="H460" s="1">
        <v>1</v>
      </c>
      <c r="I460" s="1" t="s">
        <v>3378</v>
      </c>
      <c r="J460" s="1" t="s">
        <v>26</v>
      </c>
      <c r="K460" s="1">
        <v>2100474.1800000002</v>
      </c>
      <c r="L460" s="1">
        <v>0</v>
      </c>
      <c r="M460" s="1">
        <v>0</v>
      </c>
      <c r="N460" s="1">
        <v>231052.15979999999</v>
      </c>
      <c r="O460" s="1">
        <v>0</v>
      </c>
      <c r="P460" s="1">
        <v>0</v>
      </c>
      <c r="Q460" s="1">
        <v>0</v>
      </c>
      <c r="R460" s="1">
        <v>2331526.3398000002</v>
      </c>
      <c r="S460" s="1">
        <v>357553.32</v>
      </c>
      <c r="T460" s="1">
        <v>17.022504889823999</v>
      </c>
      <c r="U460" t="str">
        <f t="shared" si="7"/>
        <v>Week 2</v>
      </c>
    </row>
    <row r="461" spans="1:21" x14ac:dyDescent="0.25">
      <c r="A461" s="1">
        <v>460</v>
      </c>
      <c r="B461" s="1" t="s">
        <v>2722</v>
      </c>
      <c r="C461" s="2">
        <v>46121</v>
      </c>
      <c r="D461" s="1" t="s">
        <v>21</v>
      </c>
      <c r="E461" s="1" t="s">
        <v>22</v>
      </c>
      <c r="F461" s="1" t="s">
        <v>30</v>
      </c>
      <c r="G461" s="1" t="s">
        <v>24</v>
      </c>
      <c r="H461" s="1">
        <v>1</v>
      </c>
      <c r="I461" s="1" t="s">
        <v>2723</v>
      </c>
      <c r="J461" s="1" t="s">
        <v>26</v>
      </c>
      <c r="K461" s="1">
        <v>20580000</v>
      </c>
      <c r="L461" s="1">
        <v>0</v>
      </c>
      <c r="M461" s="1">
        <v>0</v>
      </c>
      <c r="N461" s="1">
        <v>2263800</v>
      </c>
      <c r="O461" s="1">
        <v>0</v>
      </c>
      <c r="P461" s="1">
        <v>0</v>
      </c>
      <c r="Q461" s="1">
        <v>0</v>
      </c>
      <c r="R461" s="1">
        <v>22843800</v>
      </c>
      <c r="S461" s="1">
        <v>2080000</v>
      </c>
      <c r="T461" s="1">
        <v>10.106899902818</v>
      </c>
      <c r="U461" t="str">
        <f t="shared" si="7"/>
        <v>Week 2</v>
      </c>
    </row>
    <row r="462" spans="1:21" x14ac:dyDescent="0.25">
      <c r="A462" s="1">
        <v>461</v>
      </c>
      <c r="B462" s="1" t="s">
        <v>2724</v>
      </c>
      <c r="C462" s="2">
        <v>46121</v>
      </c>
      <c r="D462" s="1" t="s">
        <v>21</v>
      </c>
      <c r="E462" s="1" t="s">
        <v>22</v>
      </c>
      <c r="F462" s="1" t="s">
        <v>30</v>
      </c>
      <c r="G462" s="1" t="s">
        <v>24</v>
      </c>
      <c r="H462" s="1">
        <v>1</v>
      </c>
      <c r="I462" s="1" t="s">
        <v>2725</v>
      </c>
      <c r="J462" s="1" t="s">
        <v>26</v>
      </c>
      <c r="K462" s="1">
        <v>20580000</v>
      </c>
      <c r="L462" s="1">
        <v>0</v>
      </c>
      <c r="M462" s="1">
        <v>0</v>
      </c>
      <c r="N462" s="1">
        <v>2263800</v>
      </c>
      <c r="O462" s="1">
        <v>0</v>
      </c>
      <c r="P462" s="1">
        <v>0</v>
      </c>
      <c r="Q462" s="1">
        <v>0</v>
      </c>
      <c r="R462" s="1">
        <v>22843800</v>
      </c>
      <c r="S462" s="1">
        <v>2080000</v>
      </c>
      <c r="T462" s="1">
        <v>10.106899902818</v>
      </c>
      <c r="U462" t="str">
        <f t="shared" si="7"/>
        <v>Week 2</v>
      </c>
    </row>
    <row r="463" spans="1:21" x14ac:dyDescent="0.25">
      <c r="A463" s="1">
        <v>462</v>
      </c>
      <c r="B463" s="1" t="s">
        <v>2726</v>
      </c>
      <c r="C463" s="2">
        <v>46121</v>
      </c>
      <c r="D463" s="1" t="s">
        <v>21</v>
      </c>
      <c r="E463" s="1" t="s">
        <v>22</v>
      </c>
      <c r="F463" s="1" t="s">
        <v>30</v>
      </c>
      <c r="G463" s="1" t="s">
        <v>24</v>
      </c>
      <c r="H463" s="1">
        <v>1</v>
      </c>
      <c r="I463" s="1" t="s">
        <v>2727</v>
      </c>
      <c r="J463" s="1" t="s">
        <v>26</v>
      </c>
      <c r="K463" s="1">
        <v>41160000</v>
      </c>
      <c r="L463" s="1">
        <v>0</v>
      </c>
      <c r="M463" s="1">
        <v>0</v>
      </c>
      <c r="N463" s="1">
        <v>4527600</v>
      </c>
      <c r="O463" s="1">
        <v>0</v>
      </c>
      <c r="P463" s="1">
        <v>0</v>
      </c>
      <c r="Q463" s="1">
        <v>0</v>
      </c>
      <c r="R463" s="1">
        <v>45687600</v>
      </c>
      <c r="S463" s="1">
        <v>4160000</v>
      </c>
      <c r="T463" s="1">
        <v>10.106899902818</v>
      </c>
      <c r="U463" t="str">
        <f t="shared" si="7"/>
        <v>Week 2</v>
      </c>
    </row>
    <row r="464" spans="1:21" x14ac:dyDescent="0.25">
      <c r="A464" s="1">
        <v>463</v>
      </c>
      <c r="B464" s="1" t="s">
        <v>2728</v>
      </c>
      <c r="C464" s="2">
        <v>46121</v>
      </c>
      <c r="D464" s="1" t="s">
        <v>202</v>
      </c>
      <c r="E464" s="1" t="s">
        <v>203</v>
      </c>
      <c r="F464" s="1" t="s">
        <v>30</v>
      </c>
      <c r="G464" s="1" t="s">
        <v>24</v>
      </c>
      <c r="H464" s="1">
        <v>1</v>
      </c>
      <c r="I464" s="1" t="s">
        <v>2729</v>
      </c>
      <c r="J464" s="1"/>
      <c r="K464" s="1">
        <v>73108000</v>
      </c>
      <c r="L464" s="1">
        <v>0</v>
      </c>
      <c r="M464" s="1">
        <v>0</v>
      </c>
      <c r="N464" s="1">
        <v>8041880</v>
      </c>
      <c r="O464" s="1">
        <v>0</v>
      </c>
      <c r="P464" s="1">
        <v>0</v>
      </c>
      <c r="Q464" s="1">
        <v>0</v>
      </c>
      <c r="R464" s="1">
        <v>81149880</v>
      </c>
      <c r="S464" s="1">
        <v>13843000</v>
      </c>
      <c r="T464" s="1">
        <v>18.935000273568001</v>
      </c>
      <c r="U464" t="str">
        <f t="shared" si="7"/>
        <v>Week 2</v>
      </c>
    </row>
    <row r="465" spans="1:21" x14ac:dyDescent="0.25">
      <c r="A465" s="1">
        <v>464</v>
      </c>
      <c r="B465" s="1" t="s">
        <v>2422</v>
      </c>
      <c r="C465" s="2">
        <v>46121</v>
      </c>
      <c r="D465" s="1" t="s">
        <v>112</v>
      </c>
      <c r="E465" s="1" t="s">
        <v>38</v>
      </c>
      <c r="F465" s="1" t="s">
        <v>23</v>
      </c>
      <c r="G465" s="1" t="s">
        <v>24</v>
      </c>
      <c r="H465" s="1">
        <v>1</v>
      </c>
      <c r="I465" s="1" t="s">
        <v>2730</v>
      </c>
      <c r="J465" s="1"/>
      <c r="K465" s="1">
        <v>24301682</v>
      </c>
      <c r="L465" s="1">
        <v>0</v>
      </c>
      <c r="M465" s="1">
        <v>0</v>
      </c>
      <c r="N465" s="1">
        <v>2673185.02</v>
      </c>
      <c r="O465" s="1">
        <v>0</v>
      </c>
      <c r="P465" s="1">
        <v>0</v>
      </c>
      <c r="Q465" s="1">
        <v>0</v>
      </c>
      <c r="R465" s="1">
        <v>26974867.02</v>
      </c>
      <c r="S465" s="1">
        <v>6786106.9819820002</v>
      </c>
      <c r="T465" s="1">
        <v>27.924433304583999</v>
      </c>
      <c r="U465" t="str">
        <f t="shared" si="7"/>
        <v>Week 2</v>
      </c>
    </row>
    <row r="466" spans="1:21" x14ac:dyDescent="0.25">
      <c r="A466" s="1">
        <v>465</v>
      </c>
      <c r="B466" s="1" t="s">
        <v>2425</v>
      </c>
      <c r="C466" s="2">
        <v>46121</v>
      </c>
      <c r="D466" s="1" t="s">
        <v>28</v>
      </c>
      <c r="E466" s="1" t="s">
        <v>29</v>
      </c>
      <c r="F466" s="1" t="s">
        <v>30</v>
      </c>
      <c r="G466" s="1" t="s">
        <v>24</v>
      </c>
      <c r="H466" s="1">
        <v>1</v>
      </c>
      <c r="I466" s="1" t="s">
        <v>2426</v>
      </c>
      <c r="J466" s="1"/>
      <c r="K466" s="1">
        <v>1194375</v>
      </c>
      <c r="L466" s="1">
        <v>0</v>
      </c>
      <c r="M466" s="1">
        <v>0</v>
      </c>
      <c r="N466" s="1">
        <v>131381.25</v>
      </c>
      <c r="O466" s="1">
        <v>0</v>
      </c>
      <c r="P466" s="1">
        <v>0</v>
      </c>
      <c r="Q466" s="1">
        <v>0</v>
      </c>
      <c r="R466" s="1">
        <v>1325756.25</v>
      </c>
      <c r="S466" s="1">
        <v>219375</v>
      </c>
      <c r="T466" s="1">
        <v>18.367346938775999</v>
      </c>
      <c r="U466" t="str">
        <f t="shared" si="7"/>
        <v>Week 2</v>
      </c>
    </row>
    <row r="467" spans="1:21" x14ac:dyDescent="0.25">
      <c r="A467" s="1">
        <v>466</v>
      </c>
      <c r="B467" s="1" t="s">
        <v>2427</v>
      </c>
      <c r="C467" s="2">
        <v>46121</v>
      </c>
      <c r="D467" s="1" t="s">
        <v>21</v>
      </c>
      <c r="E467" s="1" t="s">
        <v>22</v>
      </c>
      <c r="F467" s="1" t="s">
        <v>23</v>
      </c>
      <c r="G467" s="1" t="s">
        <v>24</v>
      </c>
      <c r="H467" s="1">
        <v>1</v>
      </c>
      <c r="I467" s="1" t="s">
        <v>2428</v>
      </c>
      <c r="J467" s="1" t="s">
        <v>26</v>
      </c>
      <c r="K467" s="1">
        <v>10498243</v>
      </c>
      <c r="L467" s="1">
        <v>0</v>
      </c>
      <c r="M467" s="1">
        <v>0</v>
      </c>
      <c r="N467" s="1">
        <v>1154806.73</v>
      </c>
      <c r="O467" s="1">
        <v>0</v>
      </c>
      <c r="P467" s="1">
        <v>0</v>
      </c>
      <c r="Q467" s="1">
        <v>0</v>
      </c>
      <c r="R467" s="1">
        <v>11653049.73</v>
      </c>
      <c r="S467" s="1">
        <v>6910243</v>
      </c>
      <c r="T467" s="1">
        <v>65.822852452548005</v>
      </c>
      <c r="U467" t="str">
        <f t="shared" si="7"/>
        <v>Week 2</v>
      </c>
    </row>
    <row r="468" spans="1:21" x14ac:dyDescent="0.25">
      <c r="A468" s="1">
        <v>467</v>
      </c>
      <c r="B468" s="1" t="s">
        <v>2429</v>
      </c>
      <c r="C468" s="2">
        <v>46121</v>
      </c>
      <c r="D468" s="1" t="s">
        <v>1317</v>
      </c>
      <c r="E468" s="1" t="s">
        <v>2414</v>
      </c>
      <c r="F468" s="1" t="s">
        <v>30</v>
      </c>
      <c r="G468" s="1" t="s">
        <v>24</v>
      </c>
      <c r="H468" s="1">
        <v>1</v>
      </c>
      <c r="I468" s="1" t="s">
        <v>2430</v>
      </c>
      <c r="J468" s="1"/>
      <c r="K468" s="1">
        <v>519400</v>
      </c>
      <c r="L468" s="1">
        <v>0</v>
      </c>
      <c r="M468" s="1">
        <v>0</v>
      </c>
      <c r="N468" s="1">
        <v>57134</v>
      </c>
      <c r="O468" s="1">
        <v>0</v>
      </c>
      <c r="P468" s="1">
        <v>0</v>
      </c>
      <c r="Q468" s="1">
        <v>0</v>
      </c>
      <c r="R468" s="1">
        <v>576534</v>
      </c>
      <c r="S468" s="1">
        <v>23905</v>
      </c>
      <c r="T468" s="1">
        <v>4.6024258760108001</v>
      </c>
      <c r="U468" t="str">
        <f t="shared" si="7"/>
        <v>Week 2</v>
      </c>
    </row>
    <row r="469" spans="1:21" x14ac:dyDescent="0.25">
      <c r="A469" s="1">
        <v>468</v>
      </c>
      <c r="B469" s="1" t="s">
        <v>2431</v>
      </c>
      <c r="C469" s="2">
        <v>46121</v>
      </c>
      <c r="D469" s="1" t="s">
        <v>21</v>
      </c>
      <c r="E469" s="1" t="s">
        <v>22</v>
      </c>
      <c r="F469" s="1" t="s">
        <v>30</v>
      </c>
      <c r="G469" s="1" t="s">
        <v>24</v>
      </c>
      <c r="H469" s="1">
        <v>1</v>
      </c>
      <c r="I469" s="1" t="s">
        <v>2432</v>
      </c>
      <c r="J469" s="1" t="s">
        <v>26</v>
      </c>
      <c r="K469" s="1">
        <v>15025984.26</v>
      </c>
      <c r="L469" s="1">
        <v>0</v>
      </c>
      <c r="M469" s="1">
        <v>0</v>
      </c>
      <c r="N469" s="1">
        <v>1652858.2686000001</v>
      </c>
      <c r="O469" s="1">
        <v>0</v>
      </c>
      <c r="P469" s="1">
        <v>0</v>
      </c>
      <c r="Q469" s="1">
        <v>0</v>
      </c>
      <c r="R469" s="1">
        <v>16678842.5286</v>
      </c>
      <c r="S469" s="1">
        <v>5614735.8700000001</v>
      </c>
      <c r="T469" s="1">
        <v>37.366842483302001</v>
      </c>
      <c r="U469" t="str">
        <f t="shared" si="7"/>
        <v>Week 2</v>
      </c>
    </row>
    <row r="470" spans="1:21" x14ac:dyDescent="0.25">
      <c r="A470" s="1">
        <v>469</v>
      </c>
      <c r="B470" s="1" t="s">
        <v>2433</v>
      </c>
      <c r="C470" s="2">
        <v>46120</v>
      </c>
      <c r="D470" s="1" t="s">
        <v>112</v>
      </c>
      <c r="E470" s="1" t="s">
        <v>38</v>
      </c>
      <c r="F470" s="1" t="s">
        <v>23</v>
      </c>
      <c r="G470" s="1" t="s">
        <v>24</v>
      </c>
      <c r="H470" s="1">
        <v>1</v>
      </c>
      <c r="I470" s="1" t="s">
        <v>2434</v>
      </c>
      <c r="J470" s="1"/>
      <c r="K470" s="1">
        <v>883333.33333335002</v>
      </c>
      <c r="L470" s="1">
        <v>0</v>
      </c>
      <c r="M470" s="1">
        <v>0</v>
      </c>
      <c r="N470" s="1">
        <v>97166.666666669</v>
      </c>
      <c r="O470" s="1">
        <v>0</v>
      </c>
      <c r="P470" s="1">
        <v>0</v>
      </c>
      <c r="Q470" s="1">
        <v>0</v>
      </c>
      <c r="R470" s="1">
        <v>980500.00000002002</v>
      </c>
      <c r="S470" s="1">
        <v>883328.33333335002</v>
      </c>
      <c r="T470" s="1">
        <v>99.999433962264007</v>
      </c>
      <c r="U470" t="str">
        <f t="shared" si="7"/>
        <v>Week 2</v>
      </c>
    </row>
    <row r="471" spans="1:21" x14ac:dyDescent="0.25">
      <c r="A471" s="1">
        <v>470</v>
      </c>
      <c r="B471" s="1" t="s">
        <v>2435</v>
      </c>
      <c r="C471" s="2">
        <v>46120</v>
      </c>
      <c r="D471" s="1" t="s">
        <v>21</v>
      </c>
      <c r="E471" s="1" t="s">
        <v>22</v>
      </c>
      <c r="F471" s="1" t="s">
        <v>30</v>
      </c>
      <c r="G471" s="1" t="s">
        <v>24</v>
      </c>
      <c r="H471" s="1">
        <v>1</v>
      </c>
      <c r="I471" s="1" t="s">
        <v>2436</v>
      </c>
      <c r="J471" s="1" t="s">
        <v>26</v>
      </c>
      <c r="K471" s="1">
        <v>47122500</v>
      </c>
      <c r="L471" s="1">
        <v>0</v>
      </c>
      <c r="M471" s="1">
        <v>0</v>
      </c>
      <c r="N471" s="1">
        <v>5183475</v>
      </c>
      <c r="O471" s="1">
        <v>0</v>
      </c>
      <c r="P471" s="1">
        <v>0</v>
      </c>
      <c r="Q471" s="1">
        <v>0</v>
      </c>
      <c r="R471" s="1">
        <v>52305975</v>
      </c>
      <c r="S471" s="1">
        <v>1372500</v>
      </c>
      <c r="T471" s="1">
        <v>2.9126213592233001</v>
      </c>
      <c r="U471" t="str">
        <f t="shared" si="7"/>
        <v>Week 2</v>
      </c>
    </row>
    <row r="472" spans="1:21" x14ac:dyDescent="0.25">
      <c r="A472" s="1">
        <v>471</v>
      </c>
      <c r="B472" s="1" t="s">
        <v>2437</v>
      </c>
      <c r="C472" s="2">
        <v>46120</v>
      </c>
      <c r="D472" s="1" t="s">
        <v>21</v>
      </c>
      <c r="E472" s="1" t="s">
        <v>22</v>
      </c>
      <c r="F472" s="1" t="s">
        <v>30</v>
      </c>
      <c r="G472" s="1" t="s">
        <v>24</v>
      </c>
      <c r="H472" s="1">
        <v>1</v>
      </c>
      <c r="I472" s="1" t="s">
        <v>2438</v>
      </c>
      <c r="J472" s="1" t="s">
        <v>26</v>
      </c>
      <c r="K472" s="1">
        <v>47122500</v>
      </c>
      <c r="L472" s="1">
        <v>0</v>
      </c>
      <c r="M472" s="1">
        <v>0</v>
      </c>
      <c r="N472" s="1">
        <v>5183475</v>
      </c>
      <c r="O472" s="1">
        <v>0</v>
      </c>
      <c r="P472" s="1">
        <v>0</v>
      </c>
      <c r="Q472" s="1">
        <v>0</v>
      </c>
      <c r="R472" s="1">
        <v>52305975</v>
      </c>
      <c r="S472" s="1">
        <v>1372500</v>
      </c>
      <c r="T472" s="1">
        <v>2.9126213592233001</v>
      </c>
      <c r="U472" t="str">
        <f t="shared" si="7"/>
        <v>Week 2</v>
      </c>
    </row>
    <row r="473" spans="1:21" x14ac:dyDescent="0.25">
      <c r="A473" s="1">
        <v>472</v>
      </c>
      <c r="B473" s="1" t="s">
        <v>2439</v>
      </c>
      <c r="C473" s="2">
        <v>46120</v>
      </c>
      <c r="D473" s="1" t="s">
        <v>21</v>
      </c>
      <c r="E473" s="1" t="s">
        <v>22</v>
      </c>
      <c r="F473" s="1" t="s">
        <v>39</v>
      </c>
      <c r="G473" s="1" t="s">
        <v>24</v>
      </c>
      <c r="H473" s="1">
        <v>1</v>
      </c>
      <c r="I473" s="1" t="s">
        <v>2440</v>
      </c>
      <c r="J473" s="1" t="s">
        <v>56</v>
      </c>
      <c r="K473" s="1">
        <v>188956084</v>
      </c>
      <c r="L473" s="1">
        <v>0</v>
      </c>
      <c r="M473" s="1">
        <v>0</v>
      </c>
      <c r="N473" s="1">
        <v>20785169.239999998</v>
      </c>
      <c r="O473" s="1">
        <v>0</v>
      </c>
      <c r="P473" s="1">
        <v>0</v>
      </c>
      <c r="Q473" s="1">
        <v>0</v>
      </c>
      <c r="R473" s="1">
        <v>209741253.24000001</v>
      </c>
      <c r="S473" s="1">
        <v>9127584</v>
      </c>
      <c r="T473" s="1">
        <v>4.8305319451899997</v>
      </c>
      <c r="U473" t="str">
        <f t="shared" si="7"/>
        <v>Week 2</v>
      </c>
    </row>
    <row r="474" spans="1:21" x14ac:dyDescent="0.25">
      <c r="A474" s="1">
        <v>473</v>
      </c>
      <c r="B474" s="1" t="s">
        <v>2441</v>
      </c>
      <c r="C474" s="2">
        <v>46120</v>
      </c>
      <c r="D474" s="1" t="s">
        <v>28</v>
      </c>
      <c r="E474" s="1" t="s">
        <v>29</v>
      </c>
      <c r="F474" s="1" t="s">
        <v>30</v>
      </c>
      <c r="G474" s="1" t="s">
        <v>24</v>
      </c>
      <c r="H474" s="1">
        <v>1</v>
      </c>
      <c r="I474" s="1" t="s">
        <v>2442</v>
      </c>
      <c r="J474" s="1"/>
      <c r="K474" s="1">
        <v>310878045.10000002</v>
      </c>
      <c r="L474" s="1">
        <v>0</v>
      </c>
      <c r="M474" s="1">
        <v>0</v>
      </c>
      <c r="N474" s="1">
        <v>34196584.961000003</v>
      </c>
      <c r="O474" s="1">
        <v>0</v>
      </c>
      <c r="P474" s="1">
        <v>0</v>
      </c>
      <c r="Q474" s="1">
        <v>0</v>
      </c>
      <c r="R474" s="1">
        <v>345074630.06099999</v>
      </c>
      <c r="S474" s="1">
        <v>27212094.100000001</v>
      </c>
      <c r="T474" s="1">
        <v>8.7533019873586007</v>
      </c>
      <c r="U474" t="str">
        <f t="shared" si="7"/>
        <v>Week 2</v>
      </c>
    </row>
    <row r="475" spans="1:21" x14ac:dyDescent="0.25">
      <c r="A475" s="1">
        <v>474</v>
      </c>
      <c r="B475" s="1" t="s">
        <v>2443</v>
      </c>
      <c r="C475" s="2">
        <v>46120</v>
      </c>
      <c r="D475" s="1" t="s">
        <v>2210</v>
      </c>
      <c r="E475" s="1" t="s">
        <v>192</v>
      </c>
      <c r="F475" s="1" t="s">
        <v>30</v>
      </c>
      <c r="G475" s="1" t="s">
        <v>24</v>
      </c>
      <c r="H475" s="1">
        <v>1</v>
      </c>
      <c r="I475" s="1" t="s">
        <v>2444</v>
      </c>
      <c r="J475" s="1" t="s">
        <v>56</v>
      </c>
      <c r="K475" s="1">
        <v>324720000</v>
      </c>
      <c r="L475" s="1">
        <v>0</v>
      </c>
      <c r="M475" s="1">
        <v>0</v>
      </c>
      <c r="N475" s="1">
        <v>35719200</v>
      </c>
      <c r="O475" s="1">
        <v>0</v>
      </c>
      <c r="P475" s="1">
        <v>0</v>
      </c>
      <c r="Q475" s="1">
        <v>0</v>
      </c>
      <c r="R475" s="1">
        <v>360439200</v>
      </c>
      <c r="S475" s="1">
        <v>30720000</v>
      </c>
      <c r="T475" s="1">
        <v>9.4604582409460001</v>
      </c>
      <c r="U475" t="str">
        <f t="shared" si="7"/>
        <v>Week 2</v>
      </c>
    </row>
    <row r="476" spans="1:21" x14ac:dyDescent="0.25">
      <c r="A476" s="1">
        <v>475</v>
      </c>
      <c r="B476" s="1" t="s">
        <v>2445</v>
      </c>
      <c r="C476" s="2">
        <v>46120</v>
      </c>
      <c r="D476" s="1" t="s">
        <v>112</v>
      </c>
      <c r="E476" s="1" t="s">
        <v>38</v>
      </c>
      <c r="F476" s="1" t="s">
        <v>30</v>
      </c>
      <c r="G476" s="1" t="s">
        <v>24</v>
      </c>
      <c r="H476" s="1">
        <v>1</v>
      </c>
      <c r="I476" s="1" t="s">
        <v>2446</v>
      </c>
      <c r="J476" s="1"/>
      <c r="K476" s="1">
        <v>12410623.880541001</v>
      </c>
      <c r="L476" s="1">
        <v>0</v>
      </c>
      <c r="M476" s="1">
        <v>0</v>
      </c>
      <c r="N476" s="1">
        <v>1365168.6268595001</v>
      </c>
      <c r="O476" s="1">
        <v>0</v>
      </c>
      <c r="P476" s="1">
        <v>0</v>
      </c>
      <c r="Q476" s="1">
        <v>0</v>
      </c>
      <c r="R476" s="1">
        <v>13775792.5074</v>
      </c>
      <c r="S476" s="1">
        <v>3370182.3299107999</v>
      </c>
      <c r="T476" s="1">
        <v>27.155623781292</v>
      </c>
      <c r="U476" t="str">
        <f t="shared" si="7"/>
        <v>Week 2</v>
      </c>
    </row>
    <row r="477" spans="1:21" x14ac:dyDescent="0.25">
      <c r="A477" s="1">
        <v>476</v>
      </c>
      <c r="B477" s="1" t="s">
        <v>2447</v>
      </c>
      <c r="C477" s="2">
        <v>46120</v>
      </c>
      <c r="D477" s="1" t="s">
        <v>2979</v>
      </c>
      <c r="E477" s="1" t="s">
        <v>203</v>
      </c>
      <c r="F477" s="1" t="s">
        <v>30</v>
      </c>
      <c r="G477" s="1" t="s">
        <v>24</v>
      </c>
      <c r="H477" s="1">
        <v>1</v>
      </c>
      <c r="I477" s="1" t="s">
        <v>2448</v>
      </c>
      <c r="J477" s="1" t="s">
        <v>26</v>
      </c>
      <c r="K477" s="1">
        <v>28425940</v>
      </c>
      <c r="L477" s="1">
        <v>0</v>
      </c>
      <c r="M477" s="1">
        <v>0</v>
      </c>
      <c r="N477" s="1">
        <v>3126853.4</v>
      </c>
      <c r="O477" s="1">
        <v>0</v>
      </c>
      <c r="P477" s="1">
        <v>0</v>
      </c>
      <c r="Q477" s="1">
        <v>0</v>
      </c>
      <c r="R477" s="1">
        <v>31552793.399999999</v>
      </c>
      <c r="S477" s="1">
        <v>16589235.156757001</v>
      </c>
      <c r="T477" s="1">
        <v>58.359495435355001</v>
      </c>
      <c r="U477" t="str">
        <f t="shared" si="7"/>
        <v>Week 2</v>
      </c>
    </row>
    <row r="478" spans="1:21" x14ac:dyDescent="0.25">
      <c r="A478" s="1">
        <v>477</v>
      </c>
      <c r="B478" s="1" t="s">
        <v>2449</v>
      </c>
      <c r="C478" s="2">
        <v>46120</v>
      </c>
      <c r="D478" s="1" t="s">
        <v>21</v>
      </c>
      <c r="E478" s="1" t="s">
        <v>22</v>
      </c>
      <c r="F478" s="1" t="s">
        <v>30</v>
      </c>
      <c r="G478" s="1" t="s">
        <v>24</v>
      </c>
      <c r="H478" s="1">
        <v>1</v>
      </c>
      <c r="I478" s="1" t="s">
        <v>2450</v>
      </c>
      <c r="J478" s="1" t="s">
        <v>26</v>
      </c>
      <c r="K478" s="1">
        <v>3200475.18</v>
      </c>
      <c r="L478" s="1">
        <v>0</v>
      </c>
      <c r="M478" s="1">
        <v>0</v>
      </c>
      <c r="N478" s="1">
        <v>352052.26980000001</v>
      </c>
      <c r="O478" s="1">
        <v>0</v>
      </c>
      <c r="P478" s="1">
        <v>0</v>
      </c>
      <c r="Q478" s="1">
        <v>0</v>
      </c>
      <c r="R478" s="1">
        <v>3552527.4498000001</v>
      </c>
      <c r="S478" s="1">
        <v>1081105.81</v>
      </c>
      <c r="T478" s="1">
        <v>33.779540511855998</v>
      </c>
      <c r="U478" t="str">
        <f t="shared" si="7"/>
        <v>Week 2</v>
      </c>
    </row>
    <row r="479" spans="1:21" x14ac:dyDescent="0.25">
      <c r="A479" s="1">
        <v>478</v>
      </c>
      <c r="B479" s="1" t="s">
        <v>2451</v>
      </c>
      <c r="C479" s="2">
        <v>46120</v>
      </c>
      <c r="D479" s="1" t="s">
        <v>33</v>
      </c>
      <c r="E479" s="1" t="s">
        <v>38</v>
      </c>
      <c r="F479" s="1" t="s">
        <v>30</v>
      </c>
      <c r="G479" s="1" t="s">
        <v>24</v>
      </c>
      <c r="H479" s="1">
        <v>1</v>
      </c>
      <c r="I479" s="1" t="s">
        <v>2452</v>
      </c>
      <c r="J479" s="1"/>
      <c r="K479" s="1">
        <v>631040.54054054001</v>
      </c>
      <c r="L479" s="1">
        <v>0</v>
      </c>
      <c r="M479" s="1">
        <v>0</v>
      </c>
      <c r="N479" s="1">
        <v>69414.459459459002</v>
      </c>
      <c r="O479" s="1">
        <v>0</v>
      </c>
      <c r="P479" s="1">
        <v>0</v>
      </c>
      <c r="Q479" s="1">
        <v>0</v>
      </c>
      <c r="R479" s="1">
        <v>700455</v>
      </c>
      <c r="S479" s="1">
        <v>210860.36036036001</v>
      </c>
      <c r="T479" s="1">
        <v>33.414709010571997</v>
      </c>
      <c r="U479" t="str">
        <f t="shared" si="7"/>
        <v>Week 2</v>
      </c>
    </row>
    <row r="480" spans="1:21" x14ac:dyDescent="0.25">
      <c r="A480" s="1">
        <v>479</v>
      </c>
      <c r="B480" s="1" t="s">
        <v>2453</v>
      </c>
      <c r="C480" s="2">
        <v>46120</v>
      </c>
      <c r="D480" s="1" t="s">
        <v>28</v>
      </c>
      <c r="E480" s="1" t="s">
        <v>29</v>
      </c>
      <c r="F480" s="1" t="s">
        <v>23</v>
      </c>
      <c r="G480" s="1" t="s">
        <v>24</v>
      </c>
      <c r="H480" s="1">
        <v>1</v>
      </c>
      <c r="I480" s="1" t="s">
        <v>198</v>
      </c>
      <c r="J480" s="1"/>
      <c r="K480" s="1">
        <v>5459232</v>
      </c>
      <c r="L480" s="1">
        <v>0</v>
      </c>
      <c r="M480" s="1">
        <v>0</v>
      </c>
      <c r="N480" s="1">
        <v>600515.52</v>
      </c>
      <c r="O480" s="1">
        <v>0</v>
      </c>
      <c r="P480" s="1">
        <v>0</v>
      </c>
      <c r="Q480" s="1">
        <v>0</v>
      </c>
      <c r="R480" s="1">
        <v>6059747.5199999996</v>
      </c>
      <c r="S480" s="1">
        <v>927912</v>
      </c>
      <c r="T480" s="1">
        <v>16.997116077866</v>
      </c>
      <c r="U480" t="str">
        <f t="shared" si="7"/>
        <v>Week 2</v>
      </c>
    </row>
    <row r="481" spans="1:21" x14ac:dyDescent="0.25">
      <c r="A481" s="1">
        <v>480</v>
      </c>
      <c r="B481" s="1" t="s">
        <v>2454</v>
      </c>
      <c r="C481" s="2">
        <v>46120</v>
      </c>
      <c r="D481" s="1" t="s">
        <v>28</v>
      </c>
      <c r="E481" s="1" t="s">
        <v>29</v>
      </c>
      <c r="F481" s="1" t="s">
        <v>23</v>
      </c>
      <c r="G481" s="1" t="s">
        <v>24</v>
      </c>
      <c r="H481" s="1">
        <v>1</v>
      </c>
      <c r="I481" s="1" t="s">
        <v>198</v>
      </c>
      <c r="J481" s="1"/>
      <c r="K481" s="1">
        <v>220000</v>
      </c>
      <c r="L481" s="1">
        <v>0</v>
      </c>
      <c r="M481" s="1">
        <v>0</v>
      </c>
      <c r="N481" s="1">
        <v>24200</v>
      </c>
      <c r="O481" s="1">
        <v>0</v>
      </c>
      <c r="P481" s="1">
        <v>0</v>
      </c>
      <c r="Q481" s="1">
        <v>0</v>
      </c>
      <c r="R481" s="1">
        <v>244200</v>
      </c>
      <c r="S481" s="1">
        <v>10868</v>
      </c>
      <c r="T481" s="1">
        <v>4.9400000000000004</v>
      </c>
      <c r="U481" t="str">
        <f t="shared" si="7"/>
        <v>Week 2</v>
      </c>
    </row>
    <row r="482" spans="1:21" x14ac:dyDescent="0.25">
      <c r="A482" s="1">
        <v>481</v>
      </c>
      <c r="B482" s="1" t="s">
        <v>560</v>
      </c>
      <c r="C482" s="2">
        <v>46120</v>
      </c>
      <c r="D482" s="1" t="s">
        <v>511</v>
      </c>
      <c r="E482" s="1" t="s">
        <v>203</v>
      </c>
      <c r="F482" s="1" t="s">
        <v>23</v>
      </c>
      <c r="G482" s="1" t="s">
        <v>24</v>
      </c>
      <c r="H482" s="1">
        <v>1</v>
      </c>
      <c r="I482" s="1" t="s">
        <v>561</v>
      </c>
      <c r="J482" s="1" t="s">
        <v>26</v>
      </c>
      <c r="K482" s="1">
        <v>15040302</v>
      </c>
      <c r="L482" s="1">
        <v>0</v>
      </c>
      <c r="M482" s="1">
        <v>0</v>
      </c>
      <c r="N482" s="1">
        <v>1654433.22</v>
      </c>
      <c r="O482" s="1">
        <v>0</v>
      </c>
      <c r="P482" s="1">
        <v>0</v>
      </c>
      <c r="Q482" s="1">
        <v>0</v>
      </c>
      <c r="R482" s="1">
        <v>16694735.220000001</v>
      </c>
      <c r="S482" s="1">
        <v>3214302</v>
      </c>
      <c r="T482" s="1">
        <v>21.371259699439999</v>
      </c>
      <c r="U482" t="str">
        <f t="shared" si="7"/>
        <v>Week 2</v>
      </c>
    </row>
    <row r="483" spans="1:21" x14ac:dyDescent="0.25">
      <c r="A483" s="1">
        <v>482</v>
      </c>
      <c r="B483" s="1" t="s">
        <v>2455</v>
      </c>
      <c r="C483" s="2">
        <v>46119</v>
      </c>
      <c r="D483" s="1" t="s">
        <v>98</v>
      </c>
      <c r="E483" s="1" t="s">
        <v>99</v>
      </c>
      <c r="F483" s="1" t="s">
        <v>23</v>
      </c>
      <c r="G483" s="1" t="s">
        <v>24</v>
      </c>
      <c r="H483" s="1">
        <v>1</v>
      </c>
      <c r="I483" s="1" t="s">
        <v>2456</v>
      </c>
      <c r="J483" s="1"/>
      <c r="K483" s="1">
        <v>15630000</v>
      </c>
      <c r="L483" s="1">
        <v>0</v>
      </c>
      <c r="M483" s="1">
        <v>0</v>
      </c>
      <c r="N483" s="1">
        <v>1719300</v>
      </c>
      <c r="O483" s="1">
        <v>0</v>
      </c>
      <c r="P483" s="1">
        <v>0</v>
      </c>
      <c r="Q483" s="1">
        <v>0</v>
      </c>
      <c r="R483" s="1">
        <v>17349300</v>
      </c>
      <c r="S483" s="1">
        <v>3505000</v>
      </c>
      <c r="T483" s="1">
        <v>22.424824056302</v>
      </c>
      <c r="U483" t="str">
        <f t="shared" si="7"/>
        <v>Week 1</v>
      </c>
    </row>
    <row r="484" spans="1:21" x14ac:dyDescent="0.25">
      <c r="A484" s="1">
        <v>483</v>
      </c>
      <c r="B484" s="1" t="s">
        <v>2457</v>
      </c>
      <c r="C484" s="2">
        <v>46119</v>
      </c>
      <c r="D484" s="1" t="s">
        <v>115</v>
      </c>
      <c r="E484" s="1" t="s">
        <v>116</v>
      </c>
      <c r="F484" s="1" t="s">
        <v>23</v>
      </c>
      <c r="G484" s="1" t="s">
        <v>24</v>
      </c>
      <c r="H484" s="1">
        <v>1</v>
      </c>
      <c r="I484" s="1" t="s">
        <v>2458</v>
      </c>
      <c r="J484" s="1" t="s">
        <v>26</v>
      </c>
      <c r="K484" s="1">
        <v>91438600</v>
      </c>
      <c r="L484" s="1">
        <v>0</v>
      </c>
      <c r="M484" s="1">
        <v>0</v>
      </c>
      <c r="N484" s="1">
        <v>10058246</v>
      </c>
      <c r="O484" s="1">
        <v>0</v>
      </c>
      <c r="P484" s="1">
        <v>0</v>
      </c>
      <c r="Q484" s="1">
        <v>0</v>
      </c>
      <c r="R484" s="1">
        <v>101496846</v>
      </c>
      <c r="S484" s="1">
        <v>29177757.837838002</v>
      </c>
      <c r="T484" s="1">
        <v>31.909672542928</v>
      </c>
      <c r="U484" t="str">
        <f t="shared" si="7"/>
        <v>Week 1</v>
      </c>
    </row>
    <row r="485" spans="1:21" x14ac:dyDescent="0.25">
      <c r="A485" s="1">
        <v>484</v>
      </c>
      <c r="B485" s="1" t="s">
        <v>2459</v>
      </c>
      <c r="C485" s="2">
        <v>46119</v>
      </c>
      <c r="D485" s="1" t="s">
        <v>349</v>
      </c>
      <c r="E485" s="1" t="s">
        <v>29</v>
      </c>
      <c r="F485" s="1" t="s">
        <v>30</v>
      </c>
      <c r="G485" s="1" t="s">
        <v>24</v>
      </c>
      <c r="H485" s="1">
        <v>1</v>
      </c>
      <c r="I485" s="1" t="s">
        <v>2460</v>
      </c>
      <c r="J485" s="1"/>
      <c r="K485" s="1">
        <v>559090</v>
      </c>
      <c r="L485" s="1">
        <v>0</v>
      </c>
      <c r="M485" s="1">
        <v>0</v>
      </c>
      <c r="N485" s="1">
        <v>61499.9</v>
      </c>
      <c r="O485" s="1">
        <v>0</v>
      </c>
      <c r="P485" s="1">
        <v>0</v>
      </c>
      <c r="Q485" s="1">
        <v>0</v>
      </c>
      <c r="R485" s="1">
        <v>620589.9</v>
      </c>
      <c r="S485" s="1">
        <v>180711.62162162</v>
      </c>
      <c r="T485" s="1">
        <v>32.322456424121</v>
      </c>
      <c r="U485" t="str">
        <f t="shared" si="7"/>
        <v>Week 1</v>
      </c>
    </row>
    <row r="486" spans="1:21" x14ac:dyDescent="0.25">
      <c r="A486" s="1">
        <v>485</v>
      </c>
      <c r="B486" s="1" t="s">
        <v>2461</v>
      </c>
      <c r="C486" s="2">
        <v>46119</v>
      </c>
      <c r="D486" s="1" t="s">
        <v>115</v>
      </c>
      <c r="E486" s="1" t="s">
        <v>116</v>
      </c>
      <c r="F486" s="1" t="s">
        <v>23</v>
      </c>
      <c r="G486" s="1" t="s">
        <v>24</v>
      </c>
      <c r="H486" s="1">
        <v>1</v>
      </c>
      <c r="I486" s="1" t="s">
        <v>2462</v>
      </c>
      <c r="J486" s="1" t="s">
        <v>26</v>
      </c>
      <c r="K486" s="1">
        <v>147182280</v>
      </c>
      <c r="L486" s="1">
        <v>0</v>
      </c>
      <c r="M486" s="1">
        <v>0</v>
      </c>
      <c r="N486" s="1">
        <v>16190050.800000001</v>
      </c>
      <c r="O486" s="1">
        <v>0</v>
      </c>
      <c r="P486" s="1">
        <v>0</v>
      </c>
      <c r="Q486" s="1">
        <v>0</v>
      </c>
      <c r="R486" s="1">
        <v>163372330.80000001</v>
      </c>
      <c r="S486" s="1">
        <v>42907955.700000003</v>
      </c>
      <c r="T486" s="1">
        <v>29.152935869726001</v>
      </c>
      <c r="U486" t="str">
        <f t="shared" si="7"/>
        <v>Week 1</v>
      </c>
    </row>
    <row r="487" spans="1:21" x14ac:dyDescent="0.25">
      <c r="A487" s="1">
        <v>486</v>
      </c>
      <c r="B487" s="1" t="s">
        <v>2463</v>
      </c>
      <c r="C487" s="2">
        <v>46119</v>
      </c>
      <c r="D487" s="1" t="s">
        <v>112</v>
      </c>
      <c r="E487" s="1" t="s">
        <v>38</v>
      </c>
      <c r="F487" s="1" t="s">
        <v>23</v>
      </c>
      <c r="G487" s="1" t="s">
        <v>24</v>
      </c>
      <c r="H487" s="1">
        <v>1</v>
      </c>
      <c r="I487" s="1" t="s">
        <v>2464</v>
      </c>
      <c r="J487" s="1" t="s">
        <v>26</v>
      </c>
      <c r="K487" s="1">
        <v>4516000</v>
      </c>
      <c r="L487" s="1">
        <v>0</v>
      </c>
      <c r="M487" s="1">
        <v>0</v>
      </c>
      <c r="N487" s="1">
        <v>496760</v>
      </c>
      <c r="O487" s="1">
        <v>0</v>
      </c>
      <c r="P487" s="1">
        <v>0</v>
      </c>
      <c r="Q487" s="1">
        <v>0</v>
      </c>
      <c r="R487" s="1">
        <v>5012760</v>
      </c>
      <c r="S487" s="1">
        <v>1313023.8396419999</v>
      </c>
      <c r="T487" s="1">
        <v>29.074930018644999</v>
      </c>
      <c r="U487" t="str">
        <f t="shared" si="7"/>
        <v>Week 1</v>
      </c>
    </row>
    <row r="488" spans="1:21" x14ac:dyDescent="0.25">
      <c r="A488" s="1">
        <v>487</v>
      </c>
      <c r="B488" s="1" t="s">
        <v>2465</v>
      </c>
      <c r="C488" s="2">
        <v>46119</v>
      </c>
      <c r="D488" s="1" t="s">
        <v>53</v>
      </c>
      <c r="E488" s="1" t="s">
        <v>54</v>
      </c>
      <c r="F488" s="1" t="s">
        <v>23</v>
      </c>
      <c r="G488" s="1" t="s">
        <v>24</v>
      </c>
      <c r="H488" s="1">
        <v>1</v>
      </c>
      <c r="I488" s="1" t="s">
        <v>266</v>
      </c>
      <c r="J488" s="1"/>
      <c r="K488" s="1">
        <v>25200000</v>
      </c>
      <c r="L488" s="1">
        <v>0</v>
      </c>
      <c r="M488" s="1">
        <v>0</v>
      </c>
      <c r="N488" s="1">
        <v>2772000</v>
      </c>
      <c r="O488" s="1">
        <v>0</v>
      </c>
      <c r="P488" s="1">
        <v>0</v>
      </c>
      <c r="Q488" s="1">
        <v>0</v>
      </c>
      <c r="R488" s="1">
        <v>27972000</v>
      </c>
      <c r="S488" s="1">
        <v>5580000</v>
      </c>
      <c r="T488" s="1">
        <v>22.142857142857</v>
      </c>
      <c r="U488" t="str">
        <f t="shared" si="7"/>
        <v>Week 1</v>
      </c>
    </row>
    <row r="489" spans="1:21" x14ac:dyDescent="0.25">
      <c r="A489" s="1">
        <v>488</v>
      </c>
      <c r="B489" s="1" t="s">
        <v>2466</v>
      </c>
      <c r="C489" s="2">
        <v>46119</v>
      </c>
      <c r="D489" s="1" t="s">
        <v>349</v>
      </c>
      <c r="E489" s="1" t="s">
        <v>29</v>
      </c>
      <c r="F489" s="1" t="s">
        <v>30</v>
      </c>
      <c r="G489" s="1" t="s">
        <v>24</v>
      </c>
      <c r="H489" s="1">
        <v>1</v>
      </c>
      <c r="I489" s="1" t="s">
        <v>2467</v>
      </c>
      <c r="J489" s="1"/>
      <c r="K489" s="1">
        <v>6969270</v>
      </c>
      <c r="L489" s="1">
        <v>0</v>
      </c>
      <c r="M489" s="1">
        <v>0</v>
      </c>
      <c r="N489" s="1">
        <v>766619.7</v>
      </c>
      <c r="O489" s="1">
        <v>0</v>
      </c>
      <c r="P489" s="1">
        <v>0</v>
      </c>
      <c r="Q489" s="1">
        <v>0</v>
      </c>
      <c r="R489" s="1">
        <v>7735889.7000000002</v>
      </c>
      <c r="S489" s="1">
        <v>1393553.47</v>
      </c>
      <c r="T489" s="1">
        <v>19.995687783655999</v>
      </c>
      <c r="U489" t="str">
        <f t="shared" si="7"/>
        <v>Week 1</v>
      </c>
    </row>
    <row r="490" spans="1:21" x14ac:dyDescent="0.25">
      <c r="A490" s="1">
        <v>489</v>
      </c>
      <c r="B490" s="1" t="s">
        <v>2468</v>
      </c>
      <c r="C490" s="2">
        <v>46119</v>
      </c>
      <c r="D490" s="1" t="s">
        <v>306</v>
      </c>
      <c r="E490" s="1" t="s">
        <v>99</v>
      </c>
      <c r="F490" s="1" t="s">
        <v>30</v>
      </c>
      <c r="G490" s="1" t="s">
        <v>24</v>
      </c>
      <c r="H490" s="1">
        <v>1</v>
      </c>
      <c r="I490" s="1" t="s">
        <v>3379</v>
      </c>
      <c r="J490" s="1"/>
      <c r="K490" s="1">
        <v>19766250</v>
      </c>
      <c r="L490" s="1">
        <v>0</v>
      </c>
      <c r="M490" s="1">
        <v>0</v>
      </c>
      <c r="N490" s="1">
        <v>2174287.5</v>
      </c>
      <c r="O490" s="1">
        <v>0</v>
      </c>
      <c r="P490" s="1">
        <v>0</v>
      </c>
      <c r="Q490" s="1">
        <v>0</v>
      </c>
      <c r="R490" s="1">
        <v>21940537.5</v>
      </c>
      <c r="S490" s="1">
        <v>-3522101.3657657998</v>
      </c>
      <c r="T490" s="1">
        <v>-17.818763628740001</v>
      </c>
      <c r="U490" t="str">
        <f t="shared" si="7"/>
        <v>Week 1</v>
      </c>
    </row>
    <row r="491" spans="1:21" x14ac:dyDescent="0.25">
      <c r="A491" s="1">
        <v>490</v>
      </c>
      <c r="B491" s="1" t="s">
        <v>2469</v>
      </c>
      <c r="C491" s="2">
        <v>46119</v>
      </c>
      <c r="D491" s="1" t="s">
        <v>28</v>
      </c>
      <c r="E491" s="1" t="s">
        <v>29</v>
      </c>
      <c r="F491" s="1" t="s">
        <v>30</v>
      </c>
      <c r="G491" s="1" t="s">
        <v>24</v>
      </c>
      <c r="H491" s="1">
        <v>1</v>
      </c>
      <c r="I491" s="1" t="s">
        <v>2470</v>
      </c>
      <c r="J491" s="1"/>
      <c r="K491" s="1">
        <v>12912162.48</v>
      </c>
      <c r="L491" s="1">
        <v>0</v>
      </c>
      <c r="M491" s="1">
        <v>0</v>
      </c>
      <c r="N491" s="1">
        <v>1420337.8728</v>
      </c>
      <c r="O491" s="1">
        <v>0</v>
      </c>
      <c r="P491" s="1">
        <v>0</v>
      </c>
      <c r="Q491" s="1">
        <v>0</v>
      </c>
      <c r="R491" s="1">
        <v>14332500.3528</v>
      </c>
      <c r="S491" s="1">
        <v>-6487837.5199999996</v>
      </c>
      <c r="T491" s="1">
        <v>-50.245940833296999</v>
      </c>
      <c r="U491" t="str">
        <f t="shared" si="7"/>
        <v>Week 1</v>
      </c>
    </row>
    <row r="492" spans="1:21" x14ac:dyDescent="0.25">
      <c r="A492" s="1">
        <v>491</v>
      </c>
      <c r="B492" s="1" t="s">
        <v>2471</v>
      </c>
      <c r="C492" s="2">
        <v>46119</v>
      </c>
      <c r="D492" s="1" t="s">
        <v>33</v>
      </c>
      <c r="E492" s="1" t="s">
        <v>34</v>
      </c>
      <c r="F492" s="1" t="s">
        <v>30</v>
      </c>
      <c r="G492" s="1" t="s">
        <v>24</v>
      </c>
      <c r="H492" s="1">
        <v>1</v>
      </c>
      <c r="I492" s="1" t="s">
        <v>2472</v>
      </c>
      <c r="J492" s="1"/>
      <c r="K492" s="1">
        <v>17336040</v>
      </c>
      <c r="L492" s="1">
        <v>0</v>
      </c>
      <c r="M492" s="1">
        <v>0</v>
      </c>
      <c r="N492" s="1">
        <v>1906964.4</v>
      </c>
      <c r="O492" s="1">
        <v>0</v>
      </c>
      <c r="P492" s="1">
        <v>0</v>
      </c>
      <c r="Q492" s="1">
        <v>0</v>
      </c>
      <c r="R492" s="1">
        <v>19243004.399999999</v>
      </c>
      <c r="S492" s="1">
        <v>2676580.5405600001</v>
      </c>
      <c r="T492" s="1">
        <v>15.439399889248</v>
      </c>
      <c r="U492" t="str">
        <f t="shared" si="7"/>
        <v>Week 1</v>
      </c>
    </row>
    <row r="493" spans="1:21" x14ac:dyDescent="0.25">
      <c r="A493" s="1">
        <v>492</v>
      </c>
      <c r="B493" s="1" t="s">
        <v>2473</v>
      </c>
      <c r="C493" s="2">
        <v>46119</v>
      </c>
      <c r="D493" s="1" t="s">
        <v>53</v>
      </c>
      <c r="E493" s="1" t="s">
        <v>54</v>
      </c>
      <c r="F493" s="1" t="s">
        <v>23</v>
      </c>
      <c r="G493" s="1" t="s">
        <v>24</v>
      </c>
      <c r="H493" s="1">
        <v>1</v>
      </c>
      <c r="I493" s="1" t="s">
        <v>2474</v>
      </c>
      <c r="J493" s="1"/>
      <c r="K493" s="1">
        <v>91390500</v>
      </c>
      <c r="L493" s="1">
        <v>0</v>
      </c>
      <c r="M493" s="1">
        <v>0</v>
      </c>
      <c r="N493" s="1">
        <v>10052955</v>
      </c>
      <c r="O493" s="1">
        <v>0</v>
      </c>
      <c r="P493" s="1">
        <v>0</v>
      </c>
      <c r="Q493" s="1">
        <v>0</v>
      </c>
      <c r="R493" s="1">
        <v>101443455</v>
      </c>
      <c r="S493" s="1">
        <v>39718000</v>
      </c>
      <c r="T493" s="1">
        <v>43.459659373786003</v>
      </c>
      <c r="U493" t="str">
        <f t="shared" si="7"/>
        <v>Week 1</v>
      </c>
    </row>
    <row r="494" spans="1:21" x14ac:dyDescent="0.25">
      <c r="A494" s="1">
        <v>493</v>
      </c>
      <c r="B494" s="1" t="s">
        <v>1576</v>
      </c>
      <c r="C494" s="2">
        <v>46118</v>
      </c>
      <c r="D494" s="1" t="s">
        <v>306</v>
      </c>
      <c r="E494" s="1" t="s">
        <v>99</v>
      </c>
      <c r="F494" s="1" t="s">
        <v>23</v>
      </c>
      <c r="G494" s="1" t="s">
        <v>24</v>
      </c>
      <c r="H494" s="1">
        <v>1</v>
      </c>
      <c r="I494" s="1" t="s">
        <v>2475</v>
      </c>
      <c r="J494" s="1"/>
      <c r="K494" s="1">
        <v>64063500</v>
      </c>
      <c r="L494" s="1">
        <v>0</v>
      </c>
      <c r="M494" s="1">
        <v>0</v>
      </c>
      <c r="N494" s="1">
        <v>401500</v>
      </c>
      <c r="O494" s="1">
        <v>0</v>
      </c>
      <c r="P494" s="1">
        <v>0</v>
      </c>
      <c r="Q494" s="1">
        <v>0</v>
      </c>
      <c r="R494" s="1">
        <v>64465000</v>
      </c>
      <c r="S494" s="1">
        <v>21347702.142811999</v>
      </c>
      <c r="T494" s="1">
        <v>33.322722209700999</v>
      </c>
      <c r="U494" t="str">
        <f t="shared" si="7"/>
        <v>Week 1</v>
      </c>
    </row>
    <row r="495" spans="1:21" x14ac:dyDescent="0.25">
      <c r="A495" s="1">
        <v>494</v>
      </c>
      <c r="B495" s="1" t="s">
        <v>2731</v>
      </c>
      <c r="C495" s="2">
        <v>46118</v>
      </c>
      <c r="D495" s="1" t="s">
        <v>248</v>
      </c>
      <c r="E495" s="1" t="s">
        <v>116</v>
      </c>
      <c r="F495" s="1" t="s">
        <v>23</v>
      </c>
      <c r="G495" s="1" t="s">
        <v>24</v>
      </c>
      <c r="H495" s="1">
        <v>1</v>
      </c>
      <c r="I495" s="1" t="s">
        <v>290</v>
      </c>
      <c r="J495" s="1" t="s">
        <v>26</v>
      </c>
      <c r="K495" s="1">
        <v>26990000</v>
      </c>
      <c r="L495" s="1">
        <v>0</v>
      </c>
      <c r="M495" s="1">
        <v>0</v>
      </c>
      <c r="N495" s="1">
        <v>2968900</v>
      </c>
      <c r="O495" s="1">
        <v>0</v>
      </c>
      <c r="P495" s="1">
        <v>0</v>
      </c>
      <c r="Q495" s="1">
        <v>0</v>
      </c>
      <c r="R495" s="1">
        <v>29958900</v>
      </c>
      <c r="S495" s="1">
        <v>5918000</v>
      </c>
      <c r="T495" s="1">
        <v>21.926639496109999</v>
      </c>
      <c r="U495" t="str">
        <f t="shared" si="7"/>
        <v>Week 1</v>
      </c>
    </row>
    <row r="496" spans="1:21" x14ac:dyDescent="0.25">
      <c r="A496" s="1">
        <v>495</v>
      </c>
      <c r="B496" s="1" t="s">
        <v>2476</v>
      </c>
      <c r="C496" s="2">
        <v>46118</v>
      </c>
      <c r="D496" s="1" t="s">
        <v>2210</v>
      </c>
      <c r="E496" s="1" t="s">
        <v>192</v>
      </c>
      <c r="F496" s="1" t="s">
        <v>30</v>
      </c>
      <c r="G496" s="1" t="s">
        <v>24</v>
      </c>
      <c r="H496" s="1">
        <v>1</v>
      </c>
      <c r="I496" s="1" t="s">
        <v>2477</v>
      </c>
      <c r="J496" s="1"/>
      <c r="K496" s="1">
        <v>133000000</v>
      </c>
      <c r="L496" s="1">
        <v>0</v>
      </c>
      <c r="M496" s="1">
        <v>0</v>
      </c>
      <c r="N496" s="1">
        <v>14630000</v>
      </c>
      <c r="O496" s="1">
        <v>0</v>
      </c>
      <c r="P496" s="1">
        <v>0</v>
      </c>
      <c r="Q496" s="1">
        <v>0</v>
      </c>
      <c r="R496" s="1">
        <v>147630000</v>
      </c>
      <c r="S496" s="1">
        <v>6000000</v>
      </c>
      <c r="T496" s="1">
        <v>4.5112781954886998</v>
      </c>
      <c r="U496" t="str">
        <f t="shared" si="7"/>
        <v>Week 1</v>
      </c>
    </row>
    <row r="497" spans="1:21" x14ac:dyDescent="0.25">
      <c r="A497" s="1">
        <v>496</v>
      </c>
      <c r="B497" s="1" t="s">
        <v>2390</v>
      </c>
      <c r="C497" s="2">
        <v>46118</v>
      </c>
      <c r="D497" s="1" t="s">
        <v>112</v>
      </c>
      <c r="E497" s="1" t="s">
        <v>38</v>
      </c>
      <c r="F497" s="1" t="s">
        <v>30</v>
      </c>
      <c r="G497" s="1" t="s">
        <v>24</v>
      </c>
      <c r="H497" s="1">
        <v>1</v>
      </c>
      <c r="I497" s="1" t="s">
        <v>2391</v>
      </c>
      <c r="J497" s="1"/>
      <c r="K497" s="1">
        <v>1450400</v>
      </c>
      <c r="L497" s="1">
        <v>0</v>
      </c>
      <c r="M497" s="1">
        <v>0</v>
      </c>
      <c r="N497" s="1">
        <v>159544</v>
      </c>
      <c r="O497" s="1">
        <v>0</v>
      </c>
      <c r="P497" s="1">
        <v>0</v>
      </c>
      <c r="Q497" s="1">
        <v>0</v>
      </c>
      <c r="R497" s="1">
        <v>1609944</v>
      </c>
      <c r="S497" s="1">
        <v>700400</v>
      </c>
      <c r="T497" s="1">
        <v>48.290126861555002</v>
      </c>
      <c r="U497" t="str">
        <f t="shared" si="7"/>
        <v>Week 1</v>
      </c>
    </row>
    <row r="498" spans="1:21" x14ac:dyDescent="0.25">
      <c r="A498" s="1">
        <v>497</v>
      </c>
      <c r="B498" s="1" t="s">
        <v>2392</v>
      </c>
      <c r="C498" s="2">
        <v>46118</v>
      </c>
      <c r="D498" s="1" t="s">
        <v>53</v>
      </c>
      <c r="E498" s="1" t="s">
        <v>54</v>
      </c>
      <c r="F498" s="1" t="s">
        <v>30</v>
      </c>
      <c r="G498" s="1" t="s">
        <v>24</v>
      </c>
      <c r="H498" s="1">
        <v>1</v>
      </c>
      <c r="I498" s="1" t="s">
        <v>2393</v>
      </c>
      <c r="J498" s="1"/>
      <c r="K498" s="1">
        <v>260782702.03999999</v>
      </c>
      <c r="L498" s="1">
        <v>0</v>
      </c>
      <c r="M498" s="1">
        <v>0</v>
      </c>
      <c r="N498" s="1">
        <v>28686097.224399999</v>
      </c>
      <c r="O498" s="1">
        <v>0</v>
      </c>
      <c r="P498" s="1">
        <v>0</v>
      </c>
      <c r="Q498" s="1">
        <v>0</v>
      </c>
      <c r="R498" s="1">
        <v>289468799.26440001</v>
      </c>
      <c r="S498" s="1">
        <v>78746330.544505</v>
      </c>
      <c r="T498" s="1">
        <v>30.196147953259</v>
      </c>
      <c r="U498" t="str">
        <f t="shared" si="7"/>
        <v>Week 1</v>
      </c>
    </row>
    <row r="499" spans="1:21" x14ac:dyDescent="0.25">
      <c r="A499" s="1">
        <v>498</v>
      </c>
      <c r="B499" s="1" t="s">
        <v>2394</v>
      </c>
      <c r="C499" s="2">
        <v>46118</v>
      </c>
      <c r="D499" s="1" t="s">
        <v>33</v>
      </c>
      <c r="E499" s="1" t="s">
        <v>34</v>
      </c>
      <c r="F499" s="1" t="s">
        <v>30</v>
      </c>
      <c r="G499" s="1" t="s">
        <v>24</v>
      </c>
      <c r="H499" s="1">
        <v>1</v>
      </c>
      <c r="I499" s="1" t="s">
        <v>2395</v>
      </c>
      <c r="J499" s="1"/>
      <c r="K499" s="1">
        <v>22772270</v>
      </c>
      <c r="L499" s="1">
        <v>0</v>
      </c>
      <c r="M499" s="1">
        <v>0</v>
      </c>
      <c r="N499" s="1">
        <v>2504949.7000000002</v>
      </c>
      <c r="O499" s="1">
        <v>0</v>
      </c>
      <c r="P499" s="1">
        <v>0</v>
      </c>
      <c r="Q499" s="1">
        <v>0</v>
      </c>
      <c r="R499" s="1">
        <v>25277219.699999999</v>
      </c>
      <c r="S499" s="1">
        <v>9958543.0800000001</v>
      </c>
      <c r="T499" s="1">
        <v>43.731007405059003</v>
      </c>
      <c r="U499" t="str">
        <f t="shared" si="7"/>
        <v>Week 1</v>
      </c>
    </row>
    <row r="500" spans="1:21" x14ac:dyDescent="0.25">
      <c r="A500" s="1">
        <v>499</v>
      </c>
      <c r="B500" s="1" t="s">
        <v>2396</v>
      </c>
      <c r="C500" s="2">
        <v>46118</v>
      </c>
      <c r="D500" s="1" t="s">
        <v>112</v>
      </c>
      <c r="E500" s="1" t="s">
        <v>38</v>
      </c>
      <c r="F500" s="1" t="s">
        <v>30</v>
      </c>
      <c r="G500" s="1" t="s">
        <v>24</v>
      </c>
      <c r="H500" s="1">
        <v>1</v>
      </c>
      <c r="I500" s="1" t="s">
        <v>2397</v>
      </c>
      <c r="J500" s="1"/>
      <c r="K500" s="1">
        <v>3496945.76</v>
      </c>
      <c r="L500" s="1">
        <v>0</v>
      </c>
      <c r="M500" s="1">
        <v>0</v>
      </c>
      <c r="N500" s="1">
        <v>384664.03360000002</v>
      </c>
      <c r="O500" s="1">
        <v>0</v>
      </c>
      <c r="P500" s="1">
        <v>0</v>
      </c>
      <c r="Q500" s="1">
        <v>0</v>
      </c>
      <c r="R500" s="1">
        <v>3881609.7936</v>
      </c>
      <c r="S500" s="1">
        <v>270695.76</v>
      </c>
      <c r="T500" s="1">
        <v>7.7409196075148996</v>
      </c>
      <c r="U500" t="str">
        <f t="shared" si="7"/>
        <v>Week 1</v>
      </c>
    </row>
    <row r="501" spans="1:21" x14ac:dyDescent="0.25">
      <c r="A501" s="1">
        <v>500</v>
      </c>
      <c r="B501" s="1" t="s">
        <v>2398</v>
      </c>
      <c r="C501" s="2">
        <v>46118</v>
      </c>
      <c r="D501" s="1" t="s">
        <v>112</v>
      </c>
      <c r="E501" s="1" t="s">
        <v>38</v>
      </c>
      <c r="F501" s="1" t="s">
        <v>30</v>
      </c>
      <c r="G501" s="1" t="s">
        <v>24</v>
      </c>
      <c r="H501" s="1">
        <v>1</v>
      </c>
      <c r="I501" s="1" t="s">
        <v>2399</v>
      </c>
      <c r="J501" s="1"/>
      <c r="K501" s="1">
        <v>11163768</v>
      </c>
      <c r="L501" s="1">
        <v>0</v>
      </c>
      <c r="M501" s="1">
        <v>0</v>
      </c>
      <c r="N501" s="1">
        <v>1228014.48</v>
      </c>
      <c r="O501" s="1">
        <v>0</v>
      </c>
      <c r="P501" s="1">
        <v>0</v>
      </c>
      <c r="Q501" s="1">
        <v>0</v>
      </c>
      <c r="R501" s="1">
        <v>12391782.48</v>
      </c>
      <c r="S501" s="1">
        <v>-223359.12712719999</v>
      </c>
      <c r="T501" s="1">
        <v>-2.0007503481549</v>
      </c>
      <c r="U501" t="str">
        <f t="shared" si="7"/>
        <v>Week 1</v>
      </c>
    </row>
    <row r="502" spans="1:21" x14ac:dyDescent="0.25">
      <c r="A502" s="1">
        <v>501</v>
      </c>
      <c r="B502" s="1" t="s">
        <v>2400</v>
      </c>
      <c r="C502" s="2">
        <v>46118</v>
      </c>
      <c r="D502" s="1" t="s">
        <v>112</v>
      </c>
      <c r="E502" s="1" t="s">
        <v>38</v>
      </c>
      <c r="F502" s="1" t="s">
        <v>30</v>
      </c>
      <c r="G502" s="1" t="s">
        <v>24</v>
      </c>
      <c r="H502" s="1">
        <v>1</v>
      </c>
      <c r="I502" s="1" t="s">
        <v>2401</v>
      </c>
      <c r="J502" s="1"/>
      <c r="K502" s="1">
        <v>4537400</v>
      </c>
      <c r="L502" s="1">
        <v>0</v>
      </c>
      <c r="M502" s="1">
        <v>0</v>
      </c>
      <c r="N502" s="1">
        <v>499114</v>
      </c>
      <c r="O502" s="1">
        <v>0</v>
      </c>
      <c r="P502" s="1">
        <v>0</v>
      </c>
      <c r="Q502" s="1">
        <v>0</v>
      </c>
      <c r="R502" s="1">
        <v>5036514</v>
      </c>
      <c r="S502" s="1">
        <v>298900</v>
      </c>
      <c r="T502" s="1">
        <v>6.5874730021597996</v>
      </c>
      <c r="U502" t="str">
        <f t="shared" si="7"/>
        <v>Week 1</v>
      </c>
    </row>
    <row r="503" spans="1:21" x14ac:dyDescent="0.25">
      <c r="A503" s="1">
        <v>502</v>
      </c>
      <c r="B503" s="1" t="s">
        <v>2402</v>
      </c>
      <c r="C503" s="2">
        <v>46118</v>
      </c>
      <c r="D503" s="1" t="s">
        <v>115</v>
      </c>
      <c r="E503" s="1" t="s">
        <v>116</v>
      </c>
      <c r="F503" s="1" t="s">
        <v>30</v>
      </c>
      <c r="G503" s="1" t="s">
        <v>24</v>
      </c>
      <c r="H503" s="1">
        <v>1</v>
      </c>
      <c r="I503" s="1" t="s">
        <v>141</v>
      </c>
      <c r="J503" s="1" t="s">
        <v>26</v>
      </c>
      <c r="K503" s="1">
        <v>352800</v>
      </c>
      <c r="L503" s="1">
        <v>0</v>
      </c>
      <c r="M503" s="1">
        <v>0</v>
      </c>
      <c r="N503" s="1">
        <v>38808</v>
      </c>
      <c r="O503" s="1">
        <v>0</v>
      </c>
      <c r="P503" s="1">
        <v>0</v>
      </c>
      <c r="Q503" s="1">
        <v>0</v>
      </c>
      <c r="R503" s="1">
        <v>391608</v>
      </c>
      <c r="S503" s="1">
        <v>-7200</v>
      </c>
      <c r="T503" s="1">
        <v>-2.0408163265305999</v>
      </c>
      <c r="U503" t="str">
        <f t="shared" si="7"/>
        <v>Week 1</v>
      </c>
    </row>
    <row r="504" spans="1:21" x14ac:dyDescent="0.25">
      <c r="A504" s="1">
        <v>503</v>
      </c>
      <c r="B504" s="1" t="s">
        <v>2403</v>
      </c>
      <c r="C504" s="2">
        <v>46118</v>
      </c>
      <c r="D504" s="1" t="s">
        <v>28</v>
      </c>
      <c r="E504" s="1" t="s">
        <v>29</v>
      </c>
      <c r="F504" s="1" t="s">
        <v>30</v>
      </c>
      <c r="G504" s="1" t="s">
        <v>24</v>
      </c>
      <c r="H504" s="1">
        <v>1</v>
      </c>
      <c r="I504" s="1" t="s">
        <v>2404</v>
      </c>
      <c r="J504" s="1"/>
      <c r="K504" s="1">
        <v>45509815</v>
      </c>
      <c r="L504" s="1">
        <v>0</v>
      </c>
      <c r="M504" s="1">
        <v>0</v>
      </c>
      <c r="N504" s="1">
        <v>5006079.6500000004</v>
      </c>
      <c r="O504" s="1">
        <v>0</v>
      </c>
      <c r="P504" s="1">
        <v>0</v>
      </c>
      <c r="Q504" s="1">
        <v>0</v>
      </c>
      <c r="R504" s="1">
        <v>50515894.649999999</v>
      </c>
      <c r="S504" s="1">
        <v>3079315</v>
      </c>
      <c r="T504" s="1">
        <v>6.7662656945539998</v>
      </c>
      <c r="U504" t="str">
        <f t="shared" si="7"/>
        <v>Week 1</v>
      </c>
    </row>
    <row r="505" spans="1:21" x14ac:dyDescent="0.25">
      <c r="A505" s="1">
        <v>504</v>
      </c>
      <c r="B505" s="1" t="s">
        <v>510</v>
      </c>
      <c r="C505" s="2">
        <v>46118</v>
      </c>
      <c r="D505" s="1" t="s">
        <v>98</v>
      </c>
      <c r="E505" s="1" t="s">
        <v>99</v>
      </c>
      <c r="F505" s="1" t="s">
        <v>23</v>
      </c>
      <c r="G505" s="1" t="s">
        <v>24</v>
      </c>
      <c r="H505" s="1">
        <v>1</v>
      </c>
      <c r="I505" s="1" t="s">
        <v>2478</v>
      </c>
      <c r="J505" s="1" t="s">
        <v>26</v>
      </c>
      <c r="K505" s="1">
        <v>4590000</v>
      </c>
      <c r="L505" s="1">
        <v>0</v>
      </c>
      <c r="M505" s="1">
        <v>0</v>
      </c>
      <c r="N505" s="1">
        <v>0</v>
      </c>
      <c r="O505" s="1">
        <v>0</v>
      </c>
      <c r="P505" s="1">
        <v>0</v>
      </c>
      <c r="Q505" s="1">
        <v>0</v>
      </c>
      <c r="R505" s="1">
        <v>4590000</v>
      </c>
      <c r="S505" s="1">
        <v>1941431.48</v>
      </c>
      <c r="T505" s="1">
        <v>42.296982135076</v>
      </c>
      <c r="U505" t="str">
        <f t="shared" si="7"/>
        <v>Week 1</v>
      </c>
    </row>
    <row r="506" spans="1:21" x14ac:dyDescent="0.25">
      <c r="A506" s="1">
        <v>505</v>
      </c>
      <c r="B506" s="1" t="s">
        <v>2405</v>
      </c>
      <c r="C506" s="2">
        <v>46117</v>
      </c>
      <c r="D506" s="1" t="s">
        <v>53</v>
      </c>
      <c r="E506" s="1" t="s">
        <v>54</v>
      </c>
      <c r="F506" s="1" t="s">
        <v>30</v>
      </c>
      <c r="G506" s="1" t="s">
        <v>24</v>
      </c>
      <c r="H506" s="1">
        <v>1</v>
      </c>
      <c r="I506" s="1" t="s">
        <v>2406</v>
      </c>
      <c r="J506" s="1"/>
      <c r="K506" s="1">
        <v>20772080</v>
      </c>
      <c r="L506" s="1">
        <v>0</v>
      </c>
      <c r="M506" s="1">
        <v>0</v>
      </c>
      <c r="N506" s="1">
        <v>2284928.7999999998</v>
      </c>
      <c r="O506" s="1">
        <v>0</v>
      </c>
      <c r="P506" s="1">
        <v>0</v>
      </c>
      <c r="Q506" s="1">
        <v>0</v>
      </c>
      <c r="R506" s="1">
        <v>23057008.800000001</v>
      </c>
      <c r="S506" s="1">
        <v>6207352.4234234001</v>
      </c>
      <c r="T506" s="1">
        <v>29.883152883213</v>
      </c>
      <c r="U506" t="str">
        <f t="shared" si="7"/>
        <v>Week 1</v>
      </c>
    </row>
    <row r="507" spans="1:21" x14ac:dyDescent="0.25">
      <c r="A507" s="1">
        <v>506</v>
      </c>
      <c r="B507" s="1" t="s">
        <v>2407</v>
      </c>
      <c r="C507" s="2">
        <v>46117</v>
      </c>
      <c r="D507" s="1" t="s">
        <v>53</v>
      </c>
      <c r="E507" s="1" t="s">
        <v>54</v>
      </c>
      <c r="F507" s="1" t="s">
        <v>30</v>
      </c>
      <c r="G507" s="1" t="s">
        <v>24</v>
      </c>
      <c r="H507" s="1">
        <v>1</v>
      </c>
      <c r="I507" s="1" t="s">
        <v>2408</v>
      </c>
      <c r="J507" s="1"/>
      <c r="K507" s="1">
        <v>22660</v>
      </c>
      <c r="L507" s="1">
        <v>0</v>
      </c>
      <c r="M507" s="1">
        <v>0</v>
      </c>
      <c r="N507" s="1">
        <v>2492.6</v>
      </c>
      <c r="O507" s="1">
        <v>0</v>
      </c>
      <c r="P507" s="1">
        <v>0</v>
      </c>
      <c r="Q507" s="1">
        <v>0</v>
      </c>
      <c r="R507" s="1">
        <v>25152.6</v>
      </c>
      <c r="S507" s="1">
        <v>18684</v>
      </c>
      <c r="T507" s="1">
        <v>82.453662842011994</v>
      </c>
      <c r="U507" t="str">
        <f t="shared" si="7"/>
        <v>Week 1</v>
      </c>
    </row>
    <row r="508" spans="1:21" x14ac:dyDescent="0.25">
      <c r="A508" s="1">
        <v>507</v>
      </c>
      <c r="B508" s="1" t="s">
        <v>2409</v>
      </c>
      <c r="C508" s="2">
        <v>46116</v>
      </c>
      <c r="D508" s="1" t="s">
        <v>184</v>
      </c>
      <c r="E508" s="1" t="s">
        <v>116</v>
      </c>
      <c r="F508" s="1" t="s">
        <v>23</v>
      </c>
      <c r="G508" s="1" t="s">
        <v>24</v>
      </c>
      <c r="H508" s="1">
        <v>1</v>
      </c>
      <c r="I508" s="1" t="s">
        <v>2410</v>
      </c>
      <c r="J508" s="1" t="s">
        <v>26</v>
      </c>
      <c r="K508" s="1">
        <v>6645500</v>
      </c>
      <c r="L508" s="1">
        <v>0</v>
      </c>
      <c r="M508" s="1">
        <v>0</v>
      </c>
      <c r="N508" s="1">
        <v>731005</v>
      </c>
      <c r="O508" s="1">
        <v>0</v>
      </c>
      <c r="P508" s="1">
        <v>0</v>
      </c>
      <c r="Q508" s="1">
        <v>0</v>
      </c>
      <c r="R508" s="1">
        <v>7376505</v>
      </c>
      <c r="S508" s="1">
        <v>975168.37837837997</v>
      </c>
      <c r="T508" s="1">
        <v>14.674115993956001</v>
      </c>
      <c r="U508" t="str">
        <f t="shared" si="7"/>
        <v>Week 1</v>
      </c>
    </row>
    <row r="509" spans="1:21" x14ac:dyDescent="0.25">
      <c r="A509" s="1">
        <v>508</v>
      </c>
      <c r="B509" s="1" t="s">
        <v>2411</v>
      </c>
      <c r="C509" s="2">
        <v>46116</v>
      </c>
      <c r="D509" s="1" t="s">
        <v>316</v>
      </c>
      <c r="E509" s="1" t="s">
        <v>38</v>
      </c>
      <c r="F509" s="1" t="s">
        <v>23</v>
      </c>
      <c r="G509" s="1" t="s">
        <v>24</v>
      </c>
      <c r="H509" s="1">
        <v>1</v>
      </c>
      <c r="I509" s="1" t="s">
        <v>2412</v>
      </c>
      <c r="J509" s="1" t="s">
        <v>26</v>
      </c>
      <c r="K509" s="1">
        <v>13854875</v>
      </c>
      <c r="L509" s="1">
        <v>0</v>
      </c>
      <c r="M509" s="1">
        <v>0</v>
      </c>
      <c r="N509" s="1">
        <v>1524036.25</v>
      </c>
      <c r="O509" s="1">
        <v>0</v>
      </c>
      <c r="P509" s="1">
        <v>0</v>
      </c>
      <c r="Q509" s="1">
        <v>0</v>
      </c>
      <c r="R509" s="1">
        <v>15378911.25</v>
      </c>
      <c r="S509" s="1">
        <v>2339875</v>
      </c>
      <c r="T509" s="1">
        <v>16.888459838144001</v>
      </c>
      <c r="U509" t="str">
        <f t="shared" si="7"/>
        <v>Week 1</v>
      </c>
    </row>
    <row r="510" spans="1:21" x14ac:dyDescent="0.25">
      <c r="A510" s="1">
        <v>509</v>
      </c>
      <c r="B510" s="1" t="s">
        <v>2413</v>
      </c>
      <c r="C510" s="2">
        <v>46116</v>
      </c>
      <c r="D510" s="1" t="s">
        <v>511</v>
      </c>
      <c r="E510" s="1" t="s">
        <v>2414</v>
      </c>
      <c r="F510" s="1" t="s">
        <v>30</v>
      </c>
      <c r="G510" s="1" t="s">
        <v>24</v>
      </c>
      <c r="H510" s="1">
        <v>1</v>
      </c>
      <c r="I510" s="1" t="s">
        <v>2415</v>
      </c>
      <c r="J510" s="1"/>
      <c r="K510" s="1">
        <v>150380000</v>
      </c>
      <c r="L510" s="1">
        <v>0</v>
      </c>
      <c r="M510" s="1">
        <v>0</v>
      </c>
      <c r="N510" s="1">
        <v>16541800</v>
      </c>
      <c r="O510" s="1">
        <v>0</v>
      </c>
      <c r="P510" s="1">
        <v>0</v>
      </c>
      <c r="Q510" s="1">
        <v>0</v>
      </c>
      <c r="R510" s="1">
        <v>166921800</v>
      </c>
      <c r="S510" s="1">
        <v>-59620000</v>
      </c>
      <c r="T510" s="1">
        <v>-39.646229551802001</v>
      </c>
      <c r="U510" t="str">
        <f t="shared" si="7"/>
        <v>Week 1</v>
      </c>
    </row>
    <row r="511" spans="1:21" x14ac:dyDescent="0.25">
      <c r="A511" s="1">
        <v>510</v>
      </c>
      <c r="B511" s="1" t="s">
        <v>2416</v>
      </c>
      <c r="C511" s="2">
        <v>46116</v>
      </c>
      <c r="D511" s="1" t="s">
        <v>169</v>
      </c>
      <c r="E511" s="1" t="s">
        <v>99</v>
      </c>
      <c r="F511" s="1" t="s">
        <v>260</v>
      </c>
      <c r="G511" s="1" t="s">
        <v>24</v>
      </c>
      <c r="H511" s="1">
        <v>1</v>
      </c>
      <c r="I511" s="1" t="s">
        <v>2815</v>
      </c>
      <c r="J511" s="1" t="s">
        <v>26</v>
      </c>
      <c r="K511" s="1">
        <v>9091600</v>
      </c>
      <c r="L511" s="1">
        <v>0</v>
      </c>
      <c r="M511" s="1">
        <v>0</v>
      </c>
      <c r="N511" s="1">
        <v>1000076</v>
      </c>
      <c r="O511" s="1">
        <v>0</v>
      </c>
      <c r="P511" s="1">
        <v>0</v>
      </c>
      <c r="Q511" s="1">
        <v>0</v>
      </c>
      <c r="R511" s="1">
        <v>10091676</v>
      </c>
      <c r="S511" s="1">
        <v>-8400</v>
      </c>
      <c r="T511" s="1">
        <v>-9.2392978133661999E-2</v>
      </c>
      <c r="U511" t="str">
        <f t="shared" si="7"/>
        <v>Week 1</v>
      </c>
    </row>
    <row r="512" spans="1:21" x14ac:dyDescent="0.25">
      <c r="A512" s="1">
        <v>511</v>
      </c>
      <c r="B512" s="1" t="s">
        <v>2417</v>
      </c>
      <c r="C512" s="2">
        <v>46116</v>
      </c>
      <c r="D512" s="1" t="s">
        <v>184</v>
      </c>
      <c r="E512" s="1" t="s">
        <v>116</v>
      </c>
      <c r="F512" s="1" t="s">
        <v>23</v>
      </c>
      <c r="G512" s="1" t="s">
        <v>24</v>
      </c>
      <c r="H512" s="1">
        <v>1</v>
      </c>
      <c r="I512" s="1" t="s">
        <v>2410</v>
      </c>
      <c r="J512" s="1" t="s">
        <v>26</v>
      </c>
      <c r="K512" s="1">
        <v>15393666</v>
      </c>
      <c r="L512" s="1">
        <v>0</v>
      </c>
      <c r="M512" s="1">
        <v>0</v>
      </c>
      <c r="N512" s="1">
        <v>1693303.26</v>
      </c>
      <c r="O512" s="1">
        <v>0</v>
      </c>
      <c r="P512" s="1">
        <v>0</v>
      </c>
      <c r="Q512" s="1">
        <v>0</v>
      </c>
      <c r="R512" s="1">
        <v>17086969.260000002</v>
      </c>
      <c r="S512" s="1">
        <v>4361134.47</v>
      </c>
      <c r="T512" s="1">
        <v>28.330707383154</v>
      </c>
      <c r="U512" t="str">
        <f t="shared" si="7"/>
        <v>Week 1</v>
      </c>
    </row>
    <row r="513" spans="1:21" x14ac:dyDescent="0.25">
      <c r="A513" s="1">
        <v>512</v>
      </c>
      <c r="B513" s="1" t="s">
        <v>2418</v>
      </c>
      <c r="C513" s="2">
        <v>46116</v>
      </c>
      <c r="D513" s="1" t="s">
        <v>349</v>
      </c>
      <c r="E513" s="1" t="s">
        <v>29</v>
      </c>
      <c r="F513" s="1" t="s">
        <v>30</v>
      </c>
      <c r="G513" s="1" t="s">
        <v>24</v>
      </c>
      <c r="H513" s="1">
        <v>1</v>
      </c>
      <c r="I513" s="1" t="s">
        <v>2419</v>
      </c>
      <c r="J513" s="1"/>
      <c r="K513" s="1">
        <v>30073162</v>
      </c>
      <c r="L513" s="1">
        <v>0</v>
      </c>
      <c r="M513" s="1">
        <v>0</v>
      </c>
      <c r="N513" s="1">
        <v>3308047.82</v>
      </c>
      <c r="O513" s="1">
        <v>0</v>
      </c>
      <c r="P513" s="1">
        <v>0</v>
      </c>
      <c r="Q513" s="1">
        <v>0</v>
      </c>
      <c r="R513" s="1">
        <v>33381209.82</v>
      </c>
      <c r="S513" s="1">
        <v>280056</v>
      </c>
      <c r="T513" s="1">
        <v>0.93124893218743998</v>
      </c>
      <c r="U513" t="str">
        <f t="shared" si="7"/>
        <v>Week 1</v>
      </c>
    </row>
    <row r="514" spans="1:21" x14ac:dyDescent="0.25">
      <c r="A514" s="1">
        <v>513</v>
      </c>
      <c r="B514" s="1" t="s">
        <v>2359</v>
      </c>
      <c r="C514" s="2">
        <v>46116</v>
      </c>
      <c r="D514" s="1" t="s">
        <v>98</v>
      </c>
      <c r="E514" s="1" t="s">
        <v>99</v>
      </c>
      <c r="F514" s="1" t="s">
        <v>23</v>
      </c>
      <c r="G514" s="1" t="s">
        <v>24</v>
      </c>
      <c r="H514" s="1">
        <v>1</v>
      </c>
      <c r="I514" s="1" t="s">
        <v>2360</v>
      </c>
      <c r="J514" s="1"/>
      <c r="K514" s="1">
        <v>1646400</v>
      </c>
      <c r="L514" s="1">
        <v>0</v>
      </c>
      <c r="M514" s="1">
        <v>0</v>
      </c>
      <c r="N514" s="1">
        <v>181104</v>
      </c>
      <c r="O514" s="1">
        <v>0</v>
      </c>
      <c r="P514" s="1">
        <v>0</v>
      </c>
      <c r="Q514" s="1">
        <v>0</v>
      </c>
      <c r="R514" s="1">
        <v>1827504</v>
      </c>
      <c r="S514" s="1">
        <v>506400</v>
      </c>
      <c r="T514" s="1">
        <v>30.758017492711001</v>
      </c>
      <c r="U514" t="str">
        <f t="shared" si="7"/>
        <v>Week 1</v>
      </c>
    </row>
    <row r="515" spans="1:21" x14ac:dyDescent="0.25">
      <c r="A515" s="1">
        <v>514</v>
      </c>
      <c r="B515" s="1" t="s">
        <v>2361</v>
      </c>
      <c r="C515" s="2">
        <v>46116</v>
      </c>
      <c r="D515" s="1" t="s">
        <v>33</v>
      </c>
      <c r="E515" s="1" t="s">
        <v>34</v>
      </c>
      <c r="F515" s="1" t="s">
        <v>23</v>
      </c>
      <c r="G515" s="1" t="s">
        <v>24</v>
      </c>
      <c r="H515" s="1">
        <v>1</v>
      </c>
      <c r="I515" s="1" t="s">
        <v>2043</v>
      </c>
      <c r="J515" s="1"/>
      <c r="K515" s="1">
        <v>79380000</v>
      </c>
      <c r="L515" s="1">
        <v>0</v>
      </c>
      <c r="M515" s="1">
        <v>0</v>
      </c>
      <c r="N515" s="1">
        <v>8731800</v>
      </c>
      <c r="O515" s="1">
        <v>0</v>
      </c>
      <c r="P515" s="1">
        <v>0</v>
      </c>
      <c r="Q515" s="1">
        <v>0</v>
      </c>
      <c r="R515" s="1">
        <v>88111800</v>
      </c>
      <c r="S515" s="1">
        <v>22380000</v>
      </c>
      <c r="T515" s="1">
        <v>28.193499622070998</v>
      </c>
      <c r="U515" t="str">
        <f t="shared" ref="U515:U578" si="8">"Week "&amp;IF(DAY(C515)&gt;=24,4,INT((DAY(C515)-1)/7)+1)</f>
        <v>Week 1</v>
      </c>
    </row>
    <row r="516" spans="1:21" x14ac:dyDescent="0.25">
      <c r="A516" s="1">
        <v>515</v>
      </c>
      <c r="B516" s="1" t="s">
        <v>2362</v>
      </c>
      <c r="C516" s="2">
        <v>46115</v>
      </c>
      <c r="D516" s="1" t="s">
        <v>53</v>
      </c>
      <c r="E516" s="1" t="s">
        <v>54</v>
      </c>
      <c r="F516" s="1" t="s">
        <v>30</v>
      </c>
      <c r="G516" s="1" t="s">
        <v>24</v>
      </c>
      <c r="H516" s="1">
        <v>1</v>
      </c>
      <c r="I516" s="1" t="s">
        <v>2363</v>
      </c>
      <c r="J516" s="1"/>
      <c r="K516" s="1">
        <v>2434320</v>
      </c>
      <c r="L516" s="1">
        <v>0</v>
      </c>
      <c r="M516" s="1">
        <v>0</v>
      </c>
      <c r="N516" s="1">
        <v>267775.2</v>
      </c>
      <c r="O516" s="1">
        <v>0</v>
      </c>
      <c r="P516" s="1">
        <v>0</v>
      </c>
      <c r="Q516" s="1">
        <v>0</v>
      </c>
      <c r="R516" s="1">
        <v>2702095.2</v>
      </c>
      <c r="S516" s="1">
        <v>1173058.7387387</v>
      </c>
      <c r="T516" s="1">
        <v>48.188353985455002</v>
      </c>
      <c r="U516" t="str">
        <f t="shared" si="8"/>
        <v>Week 1</v>
      </c>
    </row>
    <row r="517" spans="1:21" x14ac:dyDescent="0.25">
      <c r="A517" s="1">
        <v>516</v>
      </c>
      <c r="B517" s="1" t="s">
        <v>2364</v>
      </c>
      <c r="C517" s="2">
        <v>46115</v>
      </c>
      <c r="D517" s="1" t="s">
        <v>53</v>
      </c>
      <c r="E517" s="1" t="s">
        <v>54</v>
      </c>
      <c r="F517" s="1" t="s">
        <v>30</v>
      </c>
      <c r="G517" s="1" t="s">
        <v>24</v>
      </c>
      <c r="H517" s="1">
        <v>1</v>
      </c>
      <c r="I517" s="1" t="s">
        <v>2365</v>
      </c>
      <c r="J517" s="1"/>
      <c r="K517" s="1">
        <v>8604719</v>
      </c>
      <c r="L517" s="1">
        <v>0</v>
      </c>
      <c r="M517" s="1">
        <v>0</v>
      </c>
      <c r="N517" s="1">
        <v>946519.09</v>
      </c>
      <c r="O517" s="1">
        <v>0</v>
      </c>
      <c r="P517" s="1">
        <v>0</v>
      </c>
      <c r="Q517" s="1">
        <v>0</v>
      </c>
      <c r="R517" s="1">
        <v>9551238.0899999999</v>
      </c>
      <c r="S517" s="1">
        <v>2480358.1891891998</v>
      </c>
      <c r="T517" s="1">
        <v>28.825557106388001</v>
      </c>
      <c r="U517" t="str">
        <f t="shared" si="8"/>
        <v>Week 1</v>
      </c>
    </row>
    <row r="518" spans="1:21" x14ac:dyDescent="0.25">
      <c r="A518" s="1">
        <v>517</v>
      </c>
      <c r="B518" s="1" t="s">
        <v>2366</v>
      </c>
      <c r="C518" s="2">
        <v>46115</v>
      </c>
      <c r="D518" s="1" t="s">
        <v>53</v>
      </c>
      <c r="E518" s="1" t="s">
        <v>54</v>
      </c>
      <c r="F518" s="1" t="s">
        <v>30</v>
      </c>
      <c r="G518" s="1" t="s">
        <v>24</v>
      </c>
      <c r="H518" s="1">
        <v>1</v>
      </c>
      <c r="I518" s="1" t="s">
        <v>2367</v>
      </c>
      <c r="J518" s="1"/>
      <c r="K518" s="1">
        <v>11728640</v>
      </c>
      <c r="L518" s="1">
        <v>0</v>
      </c>
      <c r="M518" s="1">
        <v>0</v>
      </c>
      <c r="N518" s="1">
        <v>1290150.3999999999</v>
      </c>
      <c r="O518" s="1">
        <v>0</v>
      </c>
      <c r="P518" s="1">
        <v>0</v>
      </c>
      <c r="Q518" s="1">
        <v>0</v>
      </c>
      <c r="R518" s="1">
        <v>13018790.4</v>
      </c>
      <c r="S518" s="1">
        <v>1678405.7657657999</v>
      </c>
      <c r="T518" s="1">
        <v>14.310318722083</v>
      </c>
      <c r="U518" t="str">
        <f t="shared" si="8"/>
        <v>Week 1</v>
      </c>
    </row>
    <row r="519" spans="1:21" x14ac:dyDescent="0.25">
      <c r="A519" s="1">
        <v>518</v>
      </c>
      <c r="B519" s="1" t="s">
        <v>2368</v>
      </c>
      <c r="C519" s="2">
        <v>46115</v>
      </c>
      <c r="D519" s="1" t="s">
        <v>53</v>
      </c>
      <c r="E519" s="1" t="s">
        <v>54</v>
      </c>
      <c r="F519" s="1" t="s">
        <v>30</v>
      </c>
      <c r="G519" s="1" t="s">
        <v>24</v>
      </c>
      <c r="H519" s="1">
        <v>1</v>
      </c>
      <c r="I519" s="1" t="s">
        <v>2369</v>
      </c>
      <c r="J519" s="1"/>
      <c r="K519" s="1">
        <v>5150194</v>
      </c>
      <c r="L519" s="1">
        <v>0</v>
      </c>
      <c r="M519" s="1">
        <v>0</v>
      </c>
      <c r="N519" s="1">
        <v>566521.34</v>
      </c>
      <c r="O519" s="1">
        <v>0</v>
      </c>
      <c r="P519" s="1">
        <v>0</v>
      </c>
      <c r="Q519" s="1">
        <v>0</v>
      </c>
      <c r="R519" s="1">
        <v>5716715.3399999999</v>
      </c>
      <c r="S519" s="1">
        <v>573617.42342782998</v>
      </c>
      <c r="T519" s="1">
        <v>11.137782837459</v>
      </c>
      <c r="U519" t="str">
        <f t="shared" si="8"/>
        <v>Week 1</v>
      </c>
    </row>
    <row r="520" spans="1:21" x14ac:dyDescent="0.25">
      <c r="A520" s="1">
        <v>519</v>
      </c>
      <c r="B520" s="1" t="s">
        <v>2370</v>
      </c>
      <c r="C520" s="2">
        <v>46115</v>
      </c>
      <c r="D520" s="1" t="s">
        <v>53</v>
      </c>
      <c r="E520" s="1" t="s">
        <v>54</v>
      </c>
      <c r="F520" s="1" t="s">
        <v>30</v>
      </c>
      <c r="G520" s="1" t="s">
        <v>24</v>
      </c>
      <c r="H520" s="1">
        <v>1</v>
      </c>
      <c r="I520" s="1" t="s">
        <v>2371</v>
      </c>
      <c r="J520" s="1"/>
      <c r="K520" s="1">
        <v>5911967.5999999996</v>
      </c>
      <c r="L520" s="1">
        <v>0</v>
      </c>
      <c r="M520" s="1">
        <v>0</v>
      </c>
      <c r="N520" s="1">
        <v>0</v>
      </c>
      <c r="O520" s="1">
        <v>0</v>
      </c>
      <c r="P520" s="1">
        <v>0</v>
      </c>
      <c r="Q520" s="1">
        <v>0</v>
      </c>
      <c r="R520" s="1">
        <v>5911967.5999999996</v>
      </c>
      <c r="S520" s="1">
        <v>817092.48</v>
      </c>
      <c r="T520" s="1">
        <v>13.820990493926001</v>
      </c>
      <c r="U520" t="str">
        <f t="shared" si="8"/>
        <v>Week 1</v>
      </c>
    </row>
    <row r="521" spans="1:21" x14ac:dyDescent="0.25">
      <c r="A521" s="1">
        <v>520</v>
      </c>
      <c r="B521" s="1" t="s">
        <v>2372</v>
      </c>
      <c r="C521" s="2">
        <v>46114</v>
      </c>
      <c r="D521" s="1" t="s">
        <v>2210</v>
      </c>
      <c r="E521" s="1" t="s">
        <v>192</v>
      </c>
      <c r="F521" s="1" t="s">
        <v>23</v>
      </c>
      <c r="G521" s="1" t="s">
        <v>24</v>
      </c>
      <c r="H521" s="1">
        <v>1</v>
      </c>
      <c r="I521" s="1" t="s">
        <v>2373</v>
      </c>
      <c r="J521" s="1" t="s">
        <v>56</v>
      </c>
      <c r="K521" s="1">
        <v>68299061.75</v>
      </c>
      <c r="L521" s="1">
        <v>0</v>
      </c>
      <c r="M521" s="1">
        <v>0</v>
      </c>
      <c r="N521" s="1">
        <v>7512896.7925000004</v>
      </c>
      <c r="O521" s="1">
        <v>0</v>
      </c>
      <c r="P521" s="1">
        <v>0</v>
      </c>
      <c r="Q521" s="1">
        <v>0</v>
      </c>
      <c r="R521" s="1">
        <v>75811958.542500004</v>
      </c>
      <c r="S521" s="1">
        <v>9605478.8671170995</v>
      </c>
      <c r="T521" s="1">
        <v>14.063851861211001</v>
      </c>
      <c r="U521" t="str">
        <f t="shared" si="8"/>
        <v>Week 1</v>
      </c>
    </row>
    <row r="522" spans="1:21" x14ac:dyDescent="0.25">
      <c r="A522" s="1">
        <v>521</v>
      </c>
      <c r="B522" s="1" t="s">
        <v>2374</v>
      </c>
      <c r="C522" s="2">
        <v>46114</v>
      </c>
      <c r="D522" s="1" t="s">
        <v>21</v>
      </c>
      <c r="E522" s="1" t="s">
        <v>22</v>
      </c>
      <c r="F522" s="1" t="s">
        <v>23</v>
      </c>
      <c r="G522" s="1" t="s">
        <v>24</v>
      </c>
      <c r="H522" s="1">
        <v>1</v>
      </c>
      <c r="I522" s="1" t="s">
        <v>2375</v>
      </c>
      <c r="J522" s="1" t="s">
        <v>26</v>
      </c>
      <c r="K522" s="1">
        <v>9448000</v>
      </c>
      <c r="L522" s="1">
        <v>0</v>
      </c>
      <c r="M522" s="1">
        <v>0</v>
      </c>
      <c r="N522" s="1">
        <v>1039280</v>
      </c>
      <c r="O522" s="1">
        <v>0</v>
      </c>
      <c r="P522" s="1">
        <v>0</v>
      </c>
      <c r="Q522" s="1">
        <v>0</v>
      </c>
      <c r="R522" s="1">
        <v>10487280</v>
      </c>
      <c r="S522" s="1">
        <v>4965657.6576576997</v>
      </c>
      <c r="T522" s="1">
        <v>52.557765216528999</v>
      </c>
      <c r="U522" t="str">
        <f t="shared" si="8"/>
        <v>Week 1</v>
      </c>
    </row>
    <row r="523" spans="1:21" x14ac:dyDescent="0.25">
      <c r="A523" s="1">
        <v>522</v>
      </c>
      <c r="B523" s="1" t="s">
        <v>2376</v>
      </c>
      <c r="C523" s="2">
        <v>46114</v>
      </c>
      <c r="D523" s="1" t="s">
        <v>306</v>
      </c>
      <c r="E523" s="1" t="s">
        <v>99</v>
      </c>
      <c r="F523" s="1" t="s">
        <v>23</v>
      </c>
      <c r="G523" s="1" t="s">
        <v>24</v>
      </c>
      <c r="H523" s="1">
        <v>1</v>
      </c>
      <c r="I523" s="1" t="s">
        <v>523</v>
      </c>
      <c r="J523" s="1"/>
      <c r="K523" s="1">
        <v>71840500</v>
      </c>
      <c r="L523" s="1">
        <v>0</v>
      </c>
      <c r="M523" s="1">
        <v>0</v>
      </c>
      <c r="N523" s="1">
        <v>7902455</v>
      </c>
      <c r="O523" s="1">
        <v>0</v>
      </c>
      <c r="P523" s="1">
        <v>0</v>
      </c>
      <c r="Q523" s="1">
        <v>0</v>
      </c>
      <c r="R523" s="1">
        <v>79742955</v>
      </c>
      <c r="S523" s="1">
        <v>20548858.34</v>
      </c>
      <c r="T523" s="1">
        <v>28.603445605194999</v>
      </c>
      <c r="U523" t="str">
        <f t="shared" si="8"/>
        <v>Week 1</v>
      </c>
    </row>
    <row r="524" spans="1:21" x14ac:dyDescent="0.25">
      <c r="A524" s="1">
        <v>523</v>
      </c>
      <c r="B524" s="1" t="s">
        <v>2377</v>
      </c>
      <c r="C524" s="2">
        <v>46114</v>
      </c>
      <c r="D524" s="1" t="s">
        <v>21</v>
      </c>
      <c r="E524" s="1" t="s">
        <v>22</v>
      </c>
      <c r="F524" s="1" t="s">
        <v>30</v>
      </c>
      <c r="G524" s="1" t="s">
        <v>24</v>
      </c>
      <c r="H524" s="1">
        <v>1</v>
      </c>
      <c r="I524" s="1" t="s">
        <v>3380</v>
      </c>
      <c r="J524" s="1" t="s">
        <v>26</v>
      </c>
      <c r="K524" s="1">
        <v>10146724</v>
      </c>
      <c r="L524" s="1">
        <v>0</v>
      </c>
      <c r="M524" s="1">
        <v>0</v>
      </c>
      <c r="N524" s="1">
        <v>1116139.6399999999</v>
      </c>
      <c r="O524" s="1">
        <v>0</v>
      </c>
      <c r="P524" s="1">
        <v>0</v>
      </c>
      <c r="Q524" s="1">
        <v>0</v>
      </c>
      <c r="R524" s="1">
        <v>11262863.640000001</v>
      </c>
      <c r="S524" s="1">
        <v>5357122.7297296999</v>
      </c>
      <c r="T524" s="1">
        <v>52.796574832722001</v>
      </c>
      <c r="U524" t="str">
        <f t="shared" si="8"/>
        <v>Week 1</v>
      </c>
    </row>
    <row r="525" spans="1:21" x14ac:dyDescent="0.25">
      <c r="A525" s="1">
        <v>524</v>
      </c>
      <c r="B525" s="1" t="s">
        <v>2378</v>
      </c>
      <c r="C525" s="2">
        <v>46114</v>
      </c>
      <c r="D525" s="1" t="s">
        <v>21</v>
      </c>
      <c r="E525" s="1" t="s">
        <v>22</v>
      </c>
      <c r="F525" s="1" t="s">
        <v>23</v>
      </c>
      <c r="G525" s="1" t="s">
        <v>24</v>
      </c>
      <c r="H525" s="1">
        <v>1</v>
      </c>
      <c r="I525" s="1" t="s">
        <v>2379</v>
      </c>
      <c r="J525" s="1" t="s">
        <v>26</v>
      </c>
      <c r="K525" s="1">
        <v>30767412</v>
      </c>
      <c r="L525" s="1">
        <v>0</v>
      </c>
      <c r="M525" s="1">
        <v>0</v>
      </c>
      <c r="N525" s="1">
        <v>3384415.32</v>
      </c>
      <c r="O525" s="1">
        <v>0</v>
      </c>
      <c r="P525" s="1">
        <v>0</v>
      </c>
      <c r="Q525" s="1">
        <v>0</v>
      </c>
      <c r="R525" s="1">
        <v>34151827.32</v>
      </c>
      <c r="S525" s="1">
        <v>6209422</v>
      </c>
      <c r="T525" s="1">
        <v>20.181814447051998</v>
      </c>
      <c r="U525" t="str">
        <f t="shared" si="8"/>
        <v>Week 1</v>
      </c>
    </row>
    <row r="526" spans="1:21" x14ac:dyDescent="0.25">
      <c r="A526" s="1">
        <v>525</v>
      </c>
      <c r="B526" s="1" t="s">
        <v>2380</v>
      </c>
      <c r="C526" s="2">
        <v>46114</v>
      </c>
      <c r="D526" s="1" t="s">
        <v>53</v>
      </c>
      <c r="E526" s="1" t="s">
        <v>54</v>
      </c>
      <c r="F526" s="1" t="s">
        <v>30</v>
      </c>
      <c r="G526" s="1" t="s">
        <v>24</v>
      </c>
      <c r="H526" s="1">
        <v>1</v>
      </c>
      <c r="I526" s="1" t="s">
        <v>2381</v>
      </c>
      <c r="J526" s="1"/>
      <c r="K526" s="1">
        <v>24668254.239999998</v>
      </c>
      <c r="L526" s="1">
        <v>0</v>
      </c>
      <c r="M526" s="1">
        <v>0</v>
      </c>
      <c r="N526" s="1">
        <v>2713507.9663999998</v>
      </c>
      <c r="O526" s="1">
        <v>0</v>
      </c>
      <c r="P526" s="1">
        <v>0</v>
      </c>
      <c r="Q526" s="1">
        <v>0</v>
      </c>
      <c r="R526" s="1">
        <v>27381762.2064</v>
      </c>
      <c r="S526" s="1">
        <v>4760254.24</v>
      </c>
      <c r="T526" s="1">
        <v>19.297086018681998</v>
      </c>
      <c r="U526" t="str">
        <f t="shared" si="8"/>
        <v>Week 1</v>
      </c>
    </row>
    <row r="527" spans="1:21" x14ac:dyDescent="0.25">
      <c r="A527" s="1">
        <v>526</v>
      </c>
      <c r="B527" s="1" t="s">
        <v>2382</v>
      </c>
      <c r="C527" s="2">
        <v>46114</v>
      </c>
      <c r="D527" s="1" t="s">
        <v>53</v>
      </c>
      <c r="E527" s="1" t="s">
        <v>54</v>
      </c>
      <c r="F527" s="1" t="s">
        <v>30</v>
      </c>
      <c r="G527" s="1" t="s">
        <v>24</v>
      </c>
      <c r="H527" s="1">
        <v>1</v>
      </c>
      <c r="I527" s="1" t="s">
        <v>2383</v>
      </c>
      <c r="J527" s="1"/>
      <c r="K527" s="1">
        <v>176665858</v>
      </c>
      <c r="L527" s="1">
        <v>0</v>
      </c>
      <c r="M527" s="1">
        <v>0</v>
      </c>
      <c r="N527" s="1">
        <v>19433244.379999999</v>
      </c>
      <c r="O527" s="1">
        <v>0</v>
      </c>
      <c r="P527" s="1">
        <v>0</v>
      </c>
      <c r="Q527" s="1">
        <v>0</v>
      </c>
      <c r="R527" s="1">
        <v>196099102.38</v>
      </c>
      <c r="S527" s="1">
        <v>5299975.74</v>
      </c>
      <c r="T527" s="1">
        <v>3</v>
      </c>
      <c r="U527" t="str">
        <f t="shared" si="8"/>
        <v>Week 1</v>
      </c>
    </row>
    <row r="528" spans="1:21" x14ac:dyDescent="0.25">
      <c r="A528" s="1">
        <v>527</v>
      </c>
      <c r="B528" s="1" t="s">
        <v>2384</v>
      </c>
      <c r="C528" s="2">
        <v>46114</v>
      </c>
      <c r="D528" s="1" t="s">
        <v>202</v>
      </c>
      <c r="E528" s="1" t="s">
        <v>203</v>
      </c>
      <c r="F528" s="1" t="s">
        <v>30</v>
      </c>
      <c r="G528" s="1" t="s">
        <v>24</v>
      </c>
      <c r="H528" s="1">
        <v>1</v>
      </c>
      <c r="I528" s="1" t="s">
        <v>2385</v>
      </c>
      <c r="J528" s="1" t="s">
        <v>26</v>
      </c>
      <c r="K528" s="1">
        <v>833000</v>
      </c>
      <c r="L528" s="1">
        <v>0</v>
      </c>
      <c r="M528" s="1">
        <v>0</v>
      </c>
      <c r="N528" s="1">
        <v>91630</v>
      </c>
      <c r="O528" s="1">
        <v>0</v>
      </c>
      <c r="P528" s="1">
        <v>0</v>
      </c>
      <c r="Q528" s="1">
        <v>0</v>
      </c>
      <c r="R528" s="1">
        <v>924630</v>
      </c>
      <c r="S528" s="1">
        <v>103000</v>
      </c>
      <c r="T528" s="1">
        <v>12.364945978391001</v>
      </c>
      <c r="U528" t="str">
        <f t="shared" si="8"/>
        <v>Week 1</v>
      </c>
    </row>
    <row r="529" spans="1:21" x14ac:dyDescent="0.25">
      <c r="A529" s="1">
        <v>528</v>
      </c>
      <c r="B529" s="1" t="s">
        <v>2386</v>
      </c>
      <c r="C529" s="2">
        <v>46114</v>
      </c>
      <c r="D529" s="1" t="s">
        <v>53</v>
      </c>
      <c r="E529" s="1" t="s">
        <v>54</v>
      </c>
      <c r="F529" s="1" t="s">
        <v>30</v>
      </c>
      <c r="G529" s="1" t="s">
        <v>24</v>
      </c>
      <c r="H529" s="1">
        <v>1</v>
      </c>
      <c r="I529" s="1" t="s">
        <v>2387</v>
      </c>
      <c r="J529" s="1"/>
      <c r="K529" s="1">
        <v>2250110</v>
      </c>
      <c r="L529" s="1">
        <v>0</v>
      </c>
      <c r="M529" s="1">
        <v>0</v>
      </c>
      <c r="N529" s="1">
        <v>247512.1</v>
      </c>
      <c r="O529" s="1">
        <v>0</v>
      </c>
      <c r="P529" s="1">
        <v>0</v>
      </c>
      <c r="Q529" s="1">
        <v>0</v>
      </c>
      <c r="R529" s="1">
        <v>2497622.1</v>
      </c>
      <c r="S529" s="1">
        <v>278114.50450699998</v>
      </c>
      <c r="T529" s="1">
        <v>12.360040376115</v>
      </c>
      <c r="U529" t="str">
        <f t="shared" si="8"/>
        <v>Week 1</v>
      </c>
    </row>
    <row r="530" spans="1:21" x14ac:dyDescent="0.25">
      <c r="A530" s="1">
        <v>529</v>
      </c>
      <c r="B530" s="1" t="s">
        <v>2388</v>
      </c>
      <c r="C530" s="2">
        <v>46114</v>
      </c>
      <c r="D530" s="1" t="s">
        <v>53</v>
      </c>
      <c r="E530" s="1" t="s">
        <v>54</v>
      </c>
      <c r="F530" s="1" t="s">
        <v>30</v>
      </c>
      <c r="G530" s="1" t="s">
        <v>24</v>
      </c>
      <c r="H530" s="1">
        <v>1</v>
      </c>
      <c r="I530" s="1" t="s">
        <v>2389</v>
      </c>
      <c r="J530" s="1"/>
      <c r="K530" s="1">
        <v>6336394</v>
      </c>
      <c r="L530" s="1">
        <v>0</v>
      </c>
      <c r="M530" s="1">
        <v>0</v>
      </c>
      <c r="N530" s="1">
        <v>697003.34</v>
      </c>
      <c r="O530" s="1">
        <v>0</v>
      </c>
      <c r="P530" s="1">
        <v>0</v>
      </c>
      <c r="Q530" s="1">
        <v>0</v>
      </c>
      <c r="R530" s="1">
        <v>7033397.3399999999</v>
      </c>
      <c r="S530" s="1">
        <v>779637.24325000006</v>
      </c>
      <c r="T530" s="1">
        <v>12.304115609762</v>
      </c>
      <c r="U530" t="str">
        <f t="shared" si="8"/>
        <v>Week 1</v>
      </c>
    </row>
    <row r="531" spans="1:21" x14ac:dyDescent="0.25">
      <c r="A531" s="1">
        <v>530</v>
      </c>
      <c r="B531" s="1" t="s">
        <v>2303</v>
      </c>
      <c r="C531" s="2">
        <v>46114</v>
      </c>
      <c r="D531" s="1" t="s">
        <v>53</v>
      </c>
      <c r="E531" s="1" t="s">
        <v>54</v>
      </c>
      <c r="F531" s="1" t="s">
        <v>30</v>
      </c>
      <c r="G531" s="1" t="s">
        <v>24</v>
      </c>
      <c r="H531" s="1">
        <v>1</v>
      </c>
      <c r="I531" s="1" t="s">
        <v>2304</v>
      </c>
      <c r="J531" s="1"/>
      <c r="K531" s="1">
        <v>19992000</v>
      </c>
      <c r="L531" s="1">
        <v>0</v>
      </c>
      <c r="M531" s="1">
        <v>0</v>
      </c>
      <c r="N531" s="1">
        <v>2199120</v>
      </c>
      <c r="O531" s="1">
        <v>0</v>
      </c>
      <c r="P531" s="1">
        <v>0</v>
      </c>
      <c r="Q531" s="1">
        <v>0</v>
      </c>
      <c r="R531" s="1">
        <v>22191120</v>
      </c>
      <c r="S531" s="1">
        <v>4692085.3</v>
      </c>
      <c r="T531" s="1">
        <v>23.46981442577</v>
      </c>
      <c r="U531" t="str">
        <f t="shared" si="8"/>
        <v>Week 1</v>
      </c>
    </row>
    <row r="532" spans="1:21" x14ac:dyDescent="0.25">
      <c r="A532" s="1">
        <v>531</v>
      </c>
      <c r="B532" s="1" t="s">
        <v>2305</v>
      </c>
      <c r="C532" s="2">
        <v>46114</v>
      </c>
      <c r="D532" s="1" t="s">
        <v>21</v>
      </c>
      <c r="E532" s="1" t="s">
        <v>22</v>
      </c>
      <c r="F532" s="1" t="s">
        <v>23</v>
      </c>
      <c r="G532" s="1" t="s">
        <v>24</v>
      </c>
      <c r="H532" s="1">
        <v>1</v>
      </c>
      <c r="I532" s="1" t="s">
        <v>2479</v>
      </c>
      <c r="J532" s="1" t="s">
        <v>26</v>
      </c>
      <c r="K532" s="1">
        <v>128383571.25</v>
      </c>
      <c r="L532" s="1">
        <v>0</v>
      </c>
      <c r="M532" s="1">
        <v>0</v>
      </c>
      <c r="N532" s="1">
        <v>14122192.8375</v>
      </c>
      <c r="O532" s="1">
        <v>0</v>
      </c>
      <c r="P532" s="1">
        <v>0</v>
      </c>
      <c r="Q532" s="1">
        <v>0</v>
      </c>
      <c r="R532" s="1">
        <v>142505764.08750001</v>
      </c>
      <c r="S532" s="1">
        <v>27018498.277027</v>
      </c>
      <c r="T532" s="1">
        <v>21.045136861330999</v>
      </c>
      <c r="U532" t="str">
        <f t="shared" si="8"/>
        <v>Week 1</v>
      </c>
    </row>
    <row r="533" spans="1:21" x14ac:dyDescent="0.25">
      <c r="A533" s="1">
        <v>532</v>
      </c>
      <c r="B533" s="1" t="s">
        <v>2306</v>
      </c>
      <c r="C533" s="2">
        <v>46114</v>
      </c>
      <c r="D533" s="1" t="s">
        <v>53</v>
      </c>
      <c r="E533" s="1" t="s">
        <v>54</v>
      </c>
      <c r="F533" s="1" t="s">
        <v>30</v>
      </c>
      <c r="G533" s="1" t="s">
        <v>24</v>
      </c>
      <c r="H533" s="1">
        <v>1</v>
      </c>
      <c r="I533" s="1" t="s">
        <v>2307</v>
      </c>
      <c r="J533" s="1" t="s">
        <v>56</v>
      </c>
      <c r="K533" s="1">
        <v>2775437202</v>
      </c>
      <c r="L533" s="1">
        <v>0</v>
      </c>
      <c r="M533" s="1">
        <v>0</v>
      </c>
      <c r="N533" s="1">
        <v>305298092.22000003</v>
      </c>
      <c r="O533" s="1">
        <v>0</v>
      </c>
      <c r="P533" s="1">
        <v>0</v>
      </c>
      <c r="Q533" s="1">
        <v>0</v>
      </c>
      <c r="R533" s="1">
        <v>3080735294.2199998</v>
      </c>
      <c r="S533" s="1">
        <v>2450966802</v>
      </c>
      <c r="T533" s="1">
        <v>88.309214859332002</v>
      </c>
      <c r="U533" t="str">
        <f t="shared" si="8"/>
        <v>Week 1</v>
      </c>
    </row>
    <row r="534" spans="1:21" x14ac:dyDescent="0.25">
      <c r="A534" s="1">
        <v>533</v>
      </c>
      <c r="B534" s="1" t="s">
        <v>2308</v>
      </c>
      <c r="C534" s="2">
        <v>46114</v>
      </c>
      <c r="D534" s="1" t="s">
        <v>53</v>
      </c>
      <c r="E534" s="1" t="s">
        <v>54</v>
      </c>
      <c r="F534" s="1" t="s">
        <v>30</v>
      </c>
      <c r="G534" s="1" t="s">
        <v>24</v>
      </c>
      <c r="H534" s="1">
        <v>1</v>
      </c>
      <c r="I534" s="1" t="s">
        <v>2309</v>
      </c>
      <c r="J534" s="1" t="s">
        <v>56</v>
      </c>
      <c r="K534" s="1">
        <v>223360780</v>
      </c>
      <c r="L534" s="1">
        <v>0</v>
      </c>
      <c r="M534" s="1">
        <v>0</v>
      </c>
      <c r="N534" s="1">
        <v>24569685.800000001</v>
      </c>
      <c r="O534" s="1">
        <v>0</v>
      </c>
      <c r="P534" s="1">
        <v>0</v>
      </c>
      <c r="Q534" s="1">
        <v>0</v>
      </c>
      <c r="R534" s="1">
        <v>247930465.80000001</v>
      </c>
      <c r="S534" s="1">
        <v>71300780</v>
      </c>
      <c r="T534" s="1">
        <v>31.921799341854001</v>
      </c>
      <c r="U534" t="str">
        <f t="shared" si="8"/>
        <v>Week 1</v>
      </c>
    </row>
    <row r="535" spans="1:21" x14ac:dyDescent="0.25">
      <c r="A535" s="1">
        <v>534</v>
      </c>
      <c r="B535" s="1" t="s">
        <v>2310</v>
      </c>
      <c r="C535" s="2">
        <v>46114</v>
      </c>
      <c r="D535" s="1" t="s">
        <v>1317</v>
      </c>
      <c r="E535" s="1" t="s">
        <v>203</v>
      </c>
      <c r="F535" s="1" t="s">
        <v>23</v>
      </c>
      <c r="G535" s="1" t="s">
        <v>24</v>
      </c>
      <c r="H535" s="1">
        <v>1</v>
      </c>
      <c r="I535" s="1" t="s">
        <v>2311</v>
      </c>
      <c r="J535" s="1" t="s">
        <v>26</v>
      </c>
      <c r="K535" s="1">
        <v>555000</v>
      </c>
      <c r="L535" s="1">
        <v>0</v>
      </c>
      <c r="M535" s="1">
        <v>0</v>
      </c>
      <c r="N535" s="1">
        <v>61050</v>
      </c>
      <c r="O535" s="1">
        <v>0</v>
      </c>
      <c r="P535" s="1">
        <v>0</v>
      </c>
      <c r="Q535" s="1">
        <v>0</v>
      </c>
      <c r="R535" s="1">
        <v>616050</v>
      </c>
      <c r="S535" s="1">
        <v>60810</v>
      </c>
      <c r="T535" s="1">
        <v>10.956756756757001</v>
      </c>
      <c r="U535" t="str">
        <f t="shared" si="8"/>
        <v>Week 1</v>
      </c>
    </row>
    <row r="536" spans="1:21" x14ac:dyDescent="0.25">
      <c r="A536" s="1">
        <v>535</v>
      </c>
      <c r="B536" s="1" t="s">
        <v>2312</v>
      </c>
      <c r="C536" s="2">
        <v>46114</v>
      </c>
      <c r="D536" s="1" t="s">
        <v>53</v>
      </c>
      <c r="E536" s="1" t="s">
        <v>54</v>
      </c>
      <c r="F536" s="1" t="s">
        <v>23</v>
      </c>
      <c r="G536" s="1" t="s">
        <v>24</v>
      </c>
      <c r="H536" s="1">
        <v>1</v>
      </c>
      <c r="I536" s="1" t="s">
        <v>266</v>
      </c>
      <c r="J536" s="1"/>
      <c r="K536" s="1">
        <v>2170625</v>
      </c>
      <c r="L536" s="1">
        <v>0</v>
      </c>
      <c r="M536" s="1">
        <v>0</v>
      </c>
      <c r="N536" s="1">
        <v>238768.75</v>
      </c>
      <c r="O536" s="1">
        <v>0</v>
      </c>
      <c r="P536" s="1">
        <v>0</v>
      </c>
      <c r="Q536" s="1">
        <v>0</v>
      </c>
      <c r="R536" s="1">
        <v>2409393.75</v>
      </c>
      <c r="S536" s="1">
        <v>900625</v>
      </c>
      <c r="T536" s="1">
        <v>41.491505902678</v>
      </c>
      <c r="U536" t="str">
        <f t="shared" si="8"/>
        <v>Week 1</v>
      </c>
    </row>
    <row r="537" spans="1:21" x14ac:dyDescent="0.25">
      <c r="A537" s="1">
        <v>536</v>
      </c>
      <c r="B537" s="1" t="s">
        <v>2313</v>
      </c>
      <c r="C537" s="2">
        <v>46114</v>
      </c>
      <c r="D537" s="1" t="s">
        <v>511</v>
      </c>
      <c r="E537" s="1" t="s">
        <v>203</v>
      </c>
      <c r="F537" s="1" t="s">
        <v>23</v>
      </c>
      <c r="G537" s="1" t="s">
        <v>24</v>
      </c>
      <c r="H537" s="1">
        <v>1</v>
      </c>
      <c r="I537" s="1" t="s">
        <v>2314</v>
      </c>
      <c r="J537" s="1" t="s">
        <v>26</v>
      </c>
      <c r="K537" s="1">
        <v>1263120</v>
      </c>
      <c r="L537" s="1">
        <v>0</v>
      </c>
      <c r="M537" s="1">
        <v>0</v>
      </c>
      <c r="N537" s="1">
        <v>138943.20000000001</v>
      </c>
      <c r="O537" s="1">
        <v>0</v>
      </c>
      <c r="P537" s="1">
        <v>0</v>
      </c>
      <c r="Q537" s="1">
        <v>0</v>
      </c>
      <c r="R537" s="1">
        <v>1402063.2</v>
      </c>
      <c r="S537" s="1">
        <v>423120</v>
      </c>
      <c r="T537" s="1">
        <v>33.498004940148</v>
      </c>
      <c r="U537" t="str">
        <f t="shared" si="8"/>
        <v>Week 1</v>
      </c>
    </row>
    <row r="538" spans="1:21" x14ac:dyDescent="0.25">
      <c r="A538" s="1">
        <v>537</v>
      </c>
      <c r="B538" s="1" t="s">
        <v>747</v>
      </c>
      <c r="C538" s="2">
        <v>46114</v>
      </c>
      <c r="D538" s="1" t="s">
        <v>37</v>
      </c>
      <c r="E538" s="1" t="s">
        <v>38</v>
      </c>
      <c r="F538" s="1" t="s">
        <v>23</v>
      </c>
      <c r="G538" s="1" t="s">
        <v>24</v>
      </c>
      <c r="H538" s="1">
        <v>1</v>
      </c>
      <c r="I538" s="1" t="s">
        <v>748</v>
      </c>
      <c r="J538" s="1" t="s">
        <v>26</v>
      </c>
      <c r="K538" s="1">
        <v>885000</v>
      </c>
      <c r="L538" s="1">
        <v>0</v>
      </c>
      <c r="M538" s="1">
        <v>0</v>
      </c>
      <c r="N538" s="1">
        <v>97350</v>
      </c>
      <c r="O538" s="1">
        <v>0</v>
      </c>
      <c r="P538" s="1">
        <v>0</v>
      </c>
      <c r="Q538" s="1">
        <v>0</v>
      </c>
      <c r="R538" s="1">
        <v>982350</v>
      </c>
      <c r="S538" s="1">
        <v>235000</v>
      </c>
      <c r="T538" s="1">
        <v>26.553672316383999</v>
      </c>
      <c r="U538" t="str">
        <f t="shared" si="8"/>
        <v>Week 1</v>
      </c>
    </row>
    <row r="539" spans="1:21" x14ac:dyDescent="0.25">
      <c r="A539" s="1">
        <v>538</v>
      </c>
      <c r="B539" s="1" t="s">
        <v>2315</v>
      </c>
      <c r="C539" s="2">
        <v>46113</v>
      </c>
      <c r="D539" s="1" t="s">
        <v>2316</v>
      </c>
      <c r="E539" s="1" t="s">
        <v>192</v>
      </c>
      <c r="F539" s="1" t="s">
        <v>23</v>
      </c>
      <c r="G539" s="1" t="s">
        <v>24</v>
      </c>
      <c r="H539" s="1">
        <v>1</v>
      </c>
      <c r="I539" s="1" t="s">
        <v>2317</v>
      </c>
      <c r="J539" s="1" t="s">
        <v>56</v>
      </c>
      <c r="K539" s="1">
        <v>46910000</v>
      </c>
      <c r="L539" s="1">
        <v>0</v>
      </c>
      <c r="M539" s="1">
        <v>0</v>
      </c>
      <c r="N539" s="1">
        <v>5160100</v>
      </c>
      <c r="O539" s="1">
        <v>0</v>
      </c>
      <c r="P539" s="1">
        <v>0</v>
      </c>
      <c r="Q539" s="1">
        <v>0</v>
      </c>
      <c r="R539" s="1">
        <v>52070100</v>
      </c>
      <c r="S539" s="1">
        <v>-3810850</v>
      </c>
      <c r="T539" s="1">
        <v>-8.1237476017907007</v>
      </c>
      <c r="U539" t="str">
        <f t="shared" si="8"/>
        <v>Week 1</v>
      </c>
    </row>
    <row r="540" spans="1:21" x14ac:dyDescent="0.25">
      <c r="A540" s="1">
        <v>539</v>
      </c>
      <c r="B540" s="1" t="s">
        <v>2318</v>
      </c>
      <c r="C540" s="2">
        <v>46113</v>
      </c>
      <c r="D540" s="1" t="s">
        <v>2319</v>
      </c>
      <c r="E540" s="1" t="s">
        <v>192</v>
      </c>
      <c r="F540" s="1" t="s">
        <v>23</v>
      </c>
      <c r="G540" s="1" t="s">
        <v>24</v>
      </c>
      <c r="H540" s="1">
        <v>1</v>
      </c>
      <c r="I540" s="1" t="s">
        <v>2320</v>
      </c>
      <c r="J540" s="1" t="s">
        <v>56</v>
      </c>
      <c r="K540" s="1">
        <v>46910000</v>
      </c>
      <c r="L540" s="1">
        <v>0</v>
      </c>
      <c r="M540" s="1">
        <v>0</v>
      </c>
      <c r="N540" s="1">
        <v>5160100</v>
      </c>
      <c r="O540" s="1">
        <v>0</v>
      </c>
      <c r="P540" s="1">
        <v>0</v>
      </c>
      <c r="Q540" s="1">
        <v>0</v>
      </c>
      <c r="R540" s="1">
        <v>52070100</v>
      </c>
      <c r="S540" s="1">
        <v>-3810850</v>
      </c>
      <c r="T540" s="1">
        <v>-8.1237476017907007</v>
      </c>
      <c r="U540" t="str">
        <f t="shared" si="8"/>
        <v>Week 1</v>
      </c>
    </row>
    <row r="541" spans="1:21" x14ac:dyDescent="0.25">
      <c r="A541" s="1">
        <v>540</v>
      </c>
      <c r="B541" s="1" t="s">
        <v>2321</v>
      </c>
      <c r="C541" s="2">
        <v>46113</v>
      </c>
      <c r="D541" s="1" t="s">
        <v>115</v>
      </c>
      <c r="E541" s="1" t="s">
        <v>116</v>
      </c>
      <c r="F541" s="1" t="s">
        <v>30</v>
      </c>
      <c r="G541" s="1" t="s">
        <v>24</v>
      </c>
      <c r="H541" s="1">
        <v>1</v>
      </c>
      <c r="I541" s="1" t="s">
        <v>139</v>
      </c>
      <c r="J541" s="1" t="s">
        <v>26</v>
      </c>
      <c r="K541" s="1">
        <v>7623587</v>
      </c>
      <c r="L541" s="1">
        <v>0</v>
      </c>
      <c r="M541" s="1">
        <v>0</v>
      </c>
      <c r="N541" s="1">
        <v>838594.57</v>
      </c>
      <c r="O541" s="1">
        <v>0</v>
      </c>
      <c r="P541" s="1">
        <v>0</v>
      </c>
      <c r="Q541" s="1">
        <v>0</v>
      </c>
      <c r="R541" s="1">
        <v>8462181.5700000003</v>
      </c>
      <c r="S541" s="1">
        <v>-34213</v>
      </c>
      <c r="T541" s="1">
        <v>-0.44877824572606001</v>
      </c>
      <c r="U541" t="str">
        <f t="shared" si="8"/>
        <v>Week 1</v>
      </c>
    </row>
    <row r="542" spans="1:21" x14ac:dyDescent="0.25">
      <c r="A542" s="1">
        <v>541</v>
      </c>
      <c r="B542" s="1" t="s">
        <v>2322</v>
      </c>
      <c r="C542" s="2">
        <v>46113</v>
      </c>
      <c r="D542" s="1" t="s">
        <v>349</v>
      </c>
      <c r="E542" s="1" t="s">
        <v>29</v>
      </c>
      <c r="F542" s="1" t="s">
        <v>30</v>
      </c>
      <c r="G542" s="1" t="s">
        <v>24</v>
      </c>
      <c r="H542" s="1">
        <v>1</v>
      </c>
      <c r="I542" s="1" t="s">
        <v>2323</v>
      </c>
      <c r="J542" s="1"/>
      <c r="K542" s="1">
        <v>10870503</v>
      </c>
      <c r="L542" s="1">
        <v>0</v>
      </c>
      <c r="M542" s="1">
        <v>0</v>
      </c>
      <c r="N542" s="1">
        <v>1195755.33</v>
      </c>
      <c r="O542" s="1">
        <v>0</v>
      </c>
      <c r="P542" s="1">
        <v>0</v>
      </c>
      <c r="Q542" s="1">
        <v>0</v>
      </c>
      <c r="R542" s="1">
        <v>12066258.33</v>
      </c>
      <c r="S542" s="1">
        <v>101231.5</v>
      </c>
      <c r="T542" s="1">
        <v>0.93124945552198002</v>
      </c>
      <c r="U542" t="str">
        <f t="shared" si="8"/>
        <v>Week 1</v>
      </c>
    </row>
    <row r="543" spans="1:21" x14ac:dyDescent="0.25">
      <c r="A543" s="1">
        <v>542</v>
      </c>
      <c r="B543" s="1" t="s">
        <v>2324</v>
      </c>
      <c r="C543" s="2">
        <v>46113</v>
      </c>
      <c r="D543" s="1" t="s">
        <v>53</v>
      </c>
      <c r="E543" s="1" t="s">
        <v>54</v>
      </c>
      <c r="F543" s="1" t="s">
        <v>23</v>
      </c>
      <c r="G543" s="1" t="s">
        <v>24</v>
      </c>
      <c r="H543" s="1">
        <v>1</v>
      </c>
      <c r="I543" s="1" t="s">
        <v>2325</v>
      </c>
      <c r="J543" s="1"/>
      <c r="K543" s="1">
        <v>4897725</v>
      </c>
      <c r="L543" s="1">
        <v>0</v>
      </c>
      <c r="M543" s="1">
        <v>0</v>
      </c>
      <c r="N543" s="1">
        <v>538749.75</v>
      </c>
      <c r="O543" s="1">
        <v>0</v>
      </c>
      <c r="P543" s="1">
        <v>0</v>
      </c>
      <c r="Q543" s="1">
        <v>0</v>
      </c>
      <c r="R543" s="1">
        <v>5436474.75</v>
      </c>
      <c r="S543" s="1">
        <v>1366265.5405416</v>
      </c>
      <c r="T543" s="1">
        <v>27.895921893156</v>
      </c>
      <c r="U543" t="str">
        <f t="shared" si="8"/>
        <v>Week 1</v>
      </c>
    </row>
    <row r="544" spans="1:21" x14ac:dyDescent="0.25">
      <c r="A544" s="1">
        <v>543</v>
      </c>
      <c r="B544" s="1" t="s">
        <v>2327</v>
      </c>
      <c r="C544" s="2">
        <v>46113</v>
      </c>
      <c r="D544" s="1" t="s">
        <v>21</v>
      </c>
      <c r="E544" s="1" t="s">
        <v>22</v>
      </c>
      <c r="F544" s="1" t="s">
        <v>30</v>
      </c>
      <c r="G544" s="1" t="s">
        <v>24</v>
      </c>
      <c r="H544" s="1">
        <v>1</v>
      </c>
      <c r="I544" s="1" t="s">
        <v>2480</v>
      </c>
      <c r="J544" s="1" t="s">
        <v>26</v>
      </c>
      <c r="K544" s="1">
        <v>63500000</v>
      </c>
      <c r="L544" s="1">
        <v>0</v>
      </c>
      <c r="M544" s="1">
        <v>0</v>
      </c>
      <c r="N544" s="1">
        <v>6985000</v>
      </c>
      <c r="O544" s="1">
        <v>0</v>
      </c>
      <c r="P544" s="1">
        <v>0</v>
      </c>
      <c r="Q544" s="1">
        <v>0</v>
      </c>
      <c r="R544" s="1">
        <v>70485000</v>
      </c>
      <c r="S544" s="1">
        <v>9445946</v>
      </c>
      <c r="T544" s="1">
        <v>14.875505511810999</v>
      </c>
      <c r="U544" t="str">
        <f t="shared" si="8"/>
        <v>Week 1</v>
      </c>
    </row>
    <row r="545" spans="1:21" x14ac:dyDescent="0.25">
      <c r="A545" s="1">
        <v>544</v>
      </c>
      <c r="B545" s="1" t="s">
        <v>2328</v>
      </c>
      <c r="C545" s="2">
        <v>46113</v>
      </c>
      <c r="D545" s="1" t="s">
        <v>21</v>
      </c>
      <c r="E545" s="1" t="s">
        <v>22</v>
      </c>
      <c r="F545" s="1" t="s">
        <v>30</v>
      </c>
      <c r="G545" s="1" t="s">
        <v>24</v>
      </c>
      <c r="H545" s="1">
        <v>1</v>
      </c>
      <c r="I545" s="1" t="s">
        <v>2329</v>
      </c>
      <c r="J545" s="1" t="s">
        <v>26</v>
      </c>
      <c r="K545" s="1">
        <v>21130002</v>
      </c>
      <c r="L545" s="1">
        <v>0</v>
      </c>
      <c r="M545" s="1">
        <v>0</v>
      </c>
      <c r="N545" s="1">
        <v>2324300.2200000002</v>
      </c>
      <c r="O545" s="1">
        <v>0</v>
      </c>
      <c r="P545" s="1">
        <v>0</v>
      </c>
      <c r="Q545" s="1">
        <v>0</v>
      </c>
      <c r="R545" s="1">
        <v>23454302.219999999</v>
      </c>
      <c r="S545" s="1">
        <v>799504.68</v>
      </c>
      <c r="T545" s="1">
        <v>3.7837416200907001</v>
      </c>
      <c r="U545" t="str">
        <f t="shared" si="8"/>
        <v>Week 1</v>
      </c>
    </row>
    <row r="546" spans="1:21" x14ac:dyDescent="0.25">
      <c r="A546" s="1">
        <v>545</v>
      </c>
      <c r="B546" s="1" t="s">
        <v>2330</v>
      </c>
      <c r="C546" s="2">
        <v>46113</v>
      </c>
      <c r="D546" s="1" t="s">
        <v>1735</v>
      </c>
      <c r="E546" s="1" t="s">
        <v>203</v>
      </c>
      <c r="F546" s="1" t="s">
        <v>23</v>
      </c>
      <c r="G546" s="1" t="s">
        <v>24</v>
      </c>
      <c r="H546" s="1">
        <v>1</v>
      </c>
      <c r="I546" s="1" t="s">
        <v>2331</v>
      </c>
      <c r="J546" s="1" t="s">
        <v>26</v>
      </c>
      <c r="K546" s="1">
        <v>5770300</v>
      </c>
      <c r="L546" s="1">
        <v>0</v>
      </c>
      <c r="M546" s="1">
        <v>0</v>
      </c>
      <c r="N546" s="1">
        <v>634733</v>
      </c>
      <c r="O546" s="1">
        <v>0</v>
      </c>
      <c r="P546" s="1">
        <v>0</v>
      </c>
      <c r="Q546" s="1">
        <v>0</v>
      </c>
      <c r="R546" s="1">
        <v>6405033</v>
      </c>
      <c r="S546" s="1">
        <v>2580975.6800000002</v>
      </c>
      <c r="T546" s="1">
        <v>44.728622082040999</v>
      </c>
      <c r="U546" t="str">
        <f t="shared" si="8"/>
        <v>Week 1</v>
      </c>
    </row>
    <row r="547" spans="1:21" x14ac:dyDescent="0.25">
      <c r="A547" s="1">
        <v>546</v>
      </c>
      <c r="B547" s="1" t="s">
        <v>2332</v>
      </c>
      <c r="C547" s="2">
        <v>46113</v>
      </c>
      <c r="D547" s="1" t="s">
        <v>2210</v>
      </c>
      <c r="E547" s="1" t="s">
        <v>192</v>
      </c>
      <c r="F547" s="1" t="s">
        <v>30</v>
      </c>
      <c r="G547" s="1" t="s">
        <v>24</v>
      </c>
      <c r="H547" s="1">
        <v>1</v>
      </c>
      <c r="I547" s="1" t="s">
        <v>2916</v>
      </c>
      <c r="J547" s="1" t="s">
        <v>56</v>
      </c>
      <c r="K547" s="1">
        <v>609673575</v>
      </c>
      <c r="L547" s="1">
        <v>0</v>
      </c>
      <c r="M547" s="1">
        <v>0</v>
      </c>
      <c r="N547" s="1">
        <v>67064093.25</v>
      </c>
      <c r="O547" s="1">
        <v>0</v>
      </c>
      <c r="P547" s="1">
        <v>0</v>
      </c>
      <c r="Q547" s="1">
        <v>0</v>
      </c>
      <c r="R547" s="1">
        <v>676737668.25</v>
      </c>
      <c r="S547" s="1">
        <v>29769575</v>
      </c>
      <c r="T547" s="1">
        <v>4.8828711331305001</v>
      </c>
      <c r="U547" t="str">
        <f t="shared" si="8"/>
        <v>Week 1</v>
      </c>
    </row>
    <row r="548" spans="1:21" x14ac:dyDescent="0.25">
      <c r="A548" s="1">
        <v>547</v>
      </c>
      <c r="B548" s="1" t="s">
        <v>2333</v>
      </c>
      <c r="C548" s="2">
        <v>46113</v>
      </c>
      <c r="D548" s="1" t="s">
        <v>33</v>
      </c>
      <c r="E548" s="1" t="s">
        <v>38</v>
      </c>
      <c r="F548" s="1" t="s">
        <v>30</v>
      </c>
      <c r="G548" s="1" t="s">
        <v>24</v>
      </c>
      <c r="H548" s="1">
        <v>1</v>
      </c>
      <c r="I548" s="1" t="s">
        <v>2732</v>
      </c>
      <c r="J548" s="1" t="s">
        <v>26</v>
      </c>
      <c r="K548" s="1">
        <v>68495000</v>
      </c>
      <c r="L548" s="1">
        <v>0</v>
      </c>
      <c r="M548" s="1">
        <v>0</v>
      </c>
      <c r="N548" s="1">
        <v>7534450</v>
      </c>
      <c r="O548" s="1">
        <v>0</v>
      </c>
      <c r="P548" s="1">
        <v>0</v>
      </c>
      <c r="Q548" s="1">
        <v>0</v>
      </c>
      <c r="R548" s="1">
        <v>76029450</v>
      </c>
      <c r="S548" s="1">
        <v>-980000</v>
      </c>
      <c r="T548" s="1">
        <v>-1.4307613694429999</v>
      </c>
      <c r="U548" t="str">
        <f t="shared" si="8"/>
        <v>Week 1</v>
      </c>
    </row>
    <row r="549" spans="1:21" x14ac:dyDescent="0.25">
      <c r="A549" s="1">
        <v>548</v>
      </c>
      <c r="B549" s="1" t="s">
        <v>2334</v>
      </c>
      <c r="C549" s="2">
        <v>46113</v>
      </c>
      <c r="D549" s="1" t="s">
        <v>33</v>
      </c>
      <c r="E549" s="1" t="s">
        <v>38</v>
      </c>
      <c r="F549" s="1" t="s">
        <v>30</v>
      </c>
      <c r="G549" s="1" t="s">
        <v>24</v>
      </c>
      <c r="H549" s="1">
        <v>1</v>
      </c>
      <c r="I549" s="1" t="s">
        <v>2335</v>
      </c>
      <c r="J549" s="1"/>
      <c r="K549" s="1">
        <v>2361737.2799999998</v>
      </c>
      <c r="L549" s="1">
        <v>0</v>
      </c>
      <c r="M549" s="1">
        <v>0</v>
      </c>
      <c r="N549" s="1">
        <v>259791.10079999999</v>
      </c>
      <c r="O549" s="1">
        <v>0</v>
      </c>
      <c r="P549" s="1">
        <v>0</v>
      </c>
      <c r="Q549" s="1">
        <v>0</v>
      </c>
      <c r="R549" s="1">
        <v>2621528.3807999999</v>
      </c>
      <c r="S549" s="1">
        <v>212764.30702703001</v>
      </c>
      <c r="T549" s="1">
        <v>9.0088050363936993</v>
      </c>
      <c r="U549" t="str">
        <f t="shared" si="8"/>
        <v>Week 1</v>
      </c>
    </row>
    <row r="550" spans="1:21" x14ac:dyDescent="0.25">
      <c r="A550" s="1">
        <v>549</v>
      </c>
      <c r="B550" s="1" t="s">
        <v>2336</v>
      </c>
      <c r="C550" s="2">
        <v>46113</v>
      </c>
      <c r="D550" s="1" t="s">
        <v>115</v>
      </c>
      <c r="E550" s="1" t="s">
        <v>116</v>
      </c>
      <c r="F550" s="1" t="s">
        <v>23</v>
      </c>
      <c r="G550" s="1" t="s">
        <v>24</v>
      </c>
      <c r="H550" s="1">
        <v>1</v>
      </c>
      <c r="I550" s="1" t="s">
        <v>2337</v>
      </c>
      <c r="J550" s="1" t="s">
        <v>26</v>
      </c>
      <c r="K550" s="1">
        <v>13412280</v>
      </c>
      <c r="L550" s="1">
        <v>0</v>
      </c>
      <c r="M550" s="1">
        <v>0</v>
      </c>
      <c r="N550" s="1">
        <v>1475350.8</v>
      </c>
      <c r="O550" s="1">
        <v>0</v>
      </c>
      <c r="P550" s="1">
        <v>0</v>
      </c>
      <c r="Q550" s="1">
        <v>0</v>
      </c>
      <c r="R550" s="1">
        <v>14887630.800000001</v>
      </c>
      <c r="S550" s="1">
        <v>2462280</v>
      </c>
      <c r="T550" s="1">
        <v>18.358399914109</v>
      </c>
      <c r="U550" t="str">
        <f t="shared" si="8"/>
        <v>Week 1</v>
      </c>
    </row>
    <row r="551" spans="1:21" x14ac:dyDescent="0.25">
      <c r="A551" s="1">
        <v>550</v>
      </c>
      <c r="B551" s="1" t="s">
        <v>2338</v>
      </c>
      <c r="C551" s="2">
        <v>46113</v>
      </c>
      <c r="D551" s="1" t="s">
        <v>33</v>
      </c>
      <c r="E551" s="1" t="s">
        <v>34</v>
      </c>
      <c r="F551" s="1" t="s">
        <v>30</v>
      </c>
      <c r="G551" s="1" t="s">
        <v>24</v>
      </c>
      <c r="H551" s="1">
        <v>1</v>
      </c>
      <c r="I551" s="1" t="s">
        <v>2339</v>
      </c>
      <c r="J551" s="1"/>
      <c r="K551" s="1">
        <v>47949106.799999997</v>
      </c>
      <c r="L551" s="1">
        <v>0</v>
      </c>
      <c r="M551" s="1">
        <v>0</v>
      </c>
      <c r="N551" s="1">
        <v>5274401.7479999997</v>
      </c>
      <c r="O551" s="1">
        <v>0</v>
      </c>
      <c r="P551" s="1">
        <v>0</v>
      </c>
      <c r="Q551" s="1">
        <v>0</v>
      </c>
      <c r="R551" s="1">
        <v>53223508.548</v>
      </c>
      <c r="S551" s="1">
        <v>5673214.9199999999</v>
      </c>
      <c r="T551" s="1">
        <v>11.831742650939001</v>
      </c>
      <c r="U551" t="str">
        <f t="shared" si="8"/>
        <v>Week 1</v>
      </c>
    </row>
    <row r="552" spans="1:21" x14ac:dyDescent="0.25">
      <c r="A552" s="1">
        <v>551</v>
      </c>
      <c r="B552" s="1" t="s">
        <v>2340</v>
      </c>
      <c r="C552" s="2">
        <v>46113</v>
      </c>
      <c r="D552" s="1" t="s">
        <v>53</v>
      </c>
      <c r="E552" s="1" t="s">
        <v>54</v>
      </c>
      <c r="F552" s="1" t="s">
        <v>23</v>
      </c>
      <c r="G552" s="1" t="s">
        <v>24</v>
      </c>
      <c r="H552" s="1">
        <v>1</v>
      </c>
      <c r="I552" s="1" t="s">
        <v>266</v>
      </c>
      <c r="J552" s="1"/>
      <c r="K552" s="1">
        <v>993750</v>
      </c>
      <c r="L552" s="1">
        <v>0</v>
      </c>
      <c r="M552" s="1">
        <v>0</v>
      </c>
      <c r="N552" s="1">
        <v>109312.5</v>
      </c>
      <c r="O552" s="1">
        <v>0</v>
      </c>
      <c r="P552" s="1">
        <v>0</v>
      </c>
      <c r="Q552" s="1">
        <v>0</v>
      </c>
      <c r="R552" s="1">
        <v>1103062.5</v>
      </c>
      <c r="S552" s="1">
        <v>198750</v>
      </c>
      <c r="T552" s="1">
        <v>20</v>
      </c>
      <c r="U552" t="str">
        <f t="shared" si="8"/>
        <v>Week 1</v>
      </c>
    </row>
    <row r="553" spans="1:21" x14ac:dyDescent="0.25">
      <c r="A553" s="1">
        <v>552</v>
      </c>
      <c r="B553" s="1" t="s">
        <v>2341</v>
      </c>
      <c r="C553" s="2">
        <v>46113</v>
      </c>
      <c r="D553" s="1" t="s">
        <v>33</v>
      </c>
      <c r="E553" s="1" t="s">
        <v>34</v>
      </c>
      <c r="F553" s="1" t="s">
        <v>23</v>
      </c>
      <c r="G553" s="1" t="s">
        <v>24</v>
      </c>
      <c r="H553" s="1">
        <v>1</v>
      </c>
      <c r="I553" s="1" t="s">
        <v>2342</v>
      </c>
      <c r="J553" s="1"/>
      <c r="K553" s="1">
        <v>379434783</v>
      </c>
      <c r="L553" s="1">
        <v>0</v>
      </c>
      <c r="M553" s="1">
        <v>0</v>
      </c>
      <c r="N553" s="1">
        <v>41737826.130000003</v>
      </c>
      <c r="O553" s="1">
        <v>0</v>
      </c>
      <c r="P553" s="1">
        <v>0</v>
      </c>
      <c r="Q553" s="1">
        <v>0</v>
      </c>
      <c r="R553" s="1">
        <v>421172609.13</v>
      </c>
      <c r="S553" s="1">
        <v>58223583</v>
      </c>
      <c r="T553" s="1">
        <v>15.344819612914</v>
      </c>
      <c r="U553" t="str">
        <f t="shared" si="8"/>
        <v>Week 1</v>
      </c>
    </row>
    <row r="554" spans="1:21" x14ac:dyDescent="0.25">
      <c r="A554" s="1">
        <v>553</v>
      </c>
      <c r="B554" s="1" t="s">
        <v>2343</v>
      </c>
      <c r="C554" s="2">
        <v>46113</v>
      </c>
      <c r="D554" s="1" t="s">
        <v>33</v>
      </c>
      <c r="E554" s="1" t="s">
        <v>34</v>
      </c>
      <c r="F554" s="1" t="s">
        <v>23</v>
      </c>
      <c r="G554" s="1" t="s">
        <v>24</v>
      </c>
      <c r="H554" s="1">
        <v>1</v>
      </c>
      <c r="I554" s="1" t="s">
        <v>2344</v>
      </c>
      <c r="J554" s="1"/>
      <c r="K554" s="1">
        <v>379434783</v>
      </c>
      <c r="L554" s="1">
        <v>0</v>
      </c>
      <c r="M554" s="1">
        <v>0</v>
      </c>
      <c r="N554" s="1">
        <v>41737826.130000003</v>
      </c>
      <c r="O554" s="1">
        <v>0</v>
      </c>
      <c r="P554" s="1">
        <v>0</v>
      </c>
      <c r="Q554" s="1">
        <v>0</v>
      </c>
      <c r="R554" s="1">
        <v>421172609.13</v>
      </c>
      <c r="S554" s="1">
        <v>58223583</v>
      </c>
      <c r="T554" s="1">
        <v>15.344819612914</v>
      </c>
      <c r="U554" t="str">
        <f t="shared" si="8"/>
        <v>Week 1</v>
      </c>
    </row>
    <row r="555" spans="1:21" x14ac:dyDescent="0.25">
      <c r="A555" s="1">
        <v>554</v>
      </c>
      <c r="B555" s="1" t="s">
        <v>2345</v>
      </c>
      <c r="C555" s="2">
        <v>46113</v>
      </c>
      <c r="D555" s="1" t="s">
        <v>53</v>
      </c>
      <c r="E555" s="1" t="s">
        <v>54</v>
      </c>
      <c r="F555" s="1" t="s">
        <v>30</v>
      </c>
      <c r="G555" s="1" t="s">
        <v>24</v>
      </c>
      <c r="H555" s="1">
        <v>1</v>
      </c>
      <c r="I555" s="1" t="s">
        <v>2346</v>
      </c>
      <c r="J555" s="1"/>
      <c r="K555" s="1">
        <v>58606490</v>
      </c>
      <c r="L555" s="1">
        <v>0</v>
      </c>
      <c r="M555" s="1">
        <v>0</v>
      </c>
      <c r="N555" s="1">
        <v>6446713.9000000004</v>
      </c>
      <c r="O555" s="1">
        <v>0</v>
      </c>
      <c r="P555" s="1">
        <v>0</v>
      </c>
      <c r="Q555" s="1">
        <v>0</v>
      </c>
      <c r="R555" s="1">
        <v>65053203.899999999</v>
      </c>
      <c r="S555" s="1">
        <v>12319363.986485999</v>
      </c>
      <c r="T555" s="1">
        <v>21.020477401882001</v>
      </c>
      <c r="U555" t="str">
        <f t="shared" si="8"/>
        <v>Week 1</v>
      </c>
    </row>
    <row r="556" spans="1:21" x14ac:dyDescent="0.25">
      <c r="A556" s="1">
        <v>555</v>
      </c>
      <c r="B556" s="1" t="s">
        <v>2347</v>
      </c>
      <c r="C556" s="2">
        <v>46113</v>
      </c>
      <c r="D556" s="1" t="s">
        <v>53</v>
      </c>
      <c r="E556" s="1" t="s">
        <v>54</v>
      </c>
      <c r="F556" s="1" t="s">
        <v>30</v>
      </c>
      <c r="G556" s="1" t="s">
        <v>24</v>
      </c>
      <c r="H556" s="1">
        <v>1</v>
      </c>
      <c r="I556" s="1" t="s">
        <v>2348</v>
      </c>
      <c r="J556" s="1"/>
      <c r="K556" s="1">
        <v>7279525</v>
      </c>
      <c r="L556" s="1">
        <v>0</v>
      </c>
      <c r="M556" s="1">
        <v>0</v>
      </c>
      <c r="N556" s="1">
        <v>800747.75</v>
      </c>
      <c r="O556" s="1">
        <v>0</v>
      </c>
      <c r="P556" s="1">
        <v>0</v>
      </c>
      <c r="Q556" s="1">
        <v>0</v>
      </c>
      <c r="R556" s="1">
        <v>8080272.75</v>
      </c>
      <c r="S556" s="1">
        <v>-862975</v>
      </c>
      <c r="T556" s="1">
        <v>-11.85482569261</v>
      </c>
      <c r="U556" t="str">
        <f t="shared" si="8"/>
        <v>Week 1</v>
      </c>
    </row>
    <row r="557" spans="1:21" x14ac:dyDescent="0.25">
      <c r="A557" s="1">
        <v>556</v>
      </c>
      <c r="B557" s="1" t="s">
        <v>1075</v>
      </c>
      <c r="C557" s="2">
        <v>46113</v>
      </c>
      <c r="D557" s="1" t="s">
        <v>248</v>
      </c>
      <c r="E557" s="1" t="s">
        <v>116</v>
      </c>
      <c r="F557" s="1" t="s">
        <v>30</v>
      </c>
      <c r="G557" s="1" t="s">
        <v>24</v>
      </c>
      <c r="H557" s="1">
        <v>1</v>
      </c>
      <c r="I557" s="1" t="s">
        <v>3381</v>
      </c>
      <c r="J557" s="1" t="s">
        <v>26</v>
      </c>
      <c r="K557" s="1">
        <v>40144000</v>
      </c>
      <c r="L557" s="1">
        <v>0</v>
      </c>
      <c r="M557" s="1">
        <v>0</v>
      </c>
      <c r="N557" s="1">
        <v>4415840</v>
      </c>
      <c r="O557" s="1">
        <v>0</v>
      </c>
      <c r="P557" s="1">
        <v>0</v>
      </c>
      <c r="Q557" s="1">
        <v>0</v>
      </c>
      <c r="R557" s="1">
        <v>44559840</v>
      </c>
      <c r="S557" s="1">
        <v>2300560</v>
      </c>
      <c r="T557" s="1">
        <v>5.7307692307691998</v>
      </c>
      <c r="U557" t="str">
        <f t="shared" si="8"/>
        <v>Week 1</v>
      </c>
    </row>
    <row r="558" spans="1:21" x14ac:dyDescent="0.25">
      <c r="A558" s="1">
        <v>557</v>
      </c>
      <c r="B558" s="1" t="s">
        <v>2349</v>
      </c>
      <c r="C558" s="2">
        <v>46112</v>
      </c>
      <c r="D558" s="1" t="s">
        <v>53</v>
      </c>
      <c r="E558" s="1" t="s">
        <v>54</v>
      </c>
      <c r="F558" s="1" t="s">
        <v>30</v>
      </c>
      <c r="G558" s="1" t="s">
        <v>24</v>
      </c>
      <c r="H558" s="1">
        <v>1</v>
      </c>
      <c r="I558" s="1" t="s">
        <v>2350</v>
      </c>
      <c r="J558" s="1"/>
      <c r="K558" s="1">
        <v>19957350</v>
      </c>
      <c r="L558" s="1">
        <v>0</v>
      </c>
      <c r="M558" s="1">
        <v>0</v>
      </c>
      <c r="N558" s="1">
        <v>2195308.5</v>
      </c>
      <c r="O558" s="1">
        <v>0</v>
      </c>
      <c r="P558" s="1">
        <v>0</v>
      </c>
      <c r="Q558" s="1">
        <v>0</v>
      </c>
      <c r="R558" s="1">
        <v>22152658.5</v>
      </c>
      <c r="S558" s="1">
        <v>-4954322</v>
      </c>
      <c r="T558" s="1">
        <v>-24.824548349354998</v>
      </c>
      <c r="U558" t="str">
        <f t="shared" si="8"/>
        <v>Week 4</v>
      </c>
    </row>
    <row r="559" spans="1:21" x14ac:dyDescent="0.25">
      <c r="A559" s="1">
        <v>558</v>
      </c>
      <c r="B559" s="1" t="s">
        <v>2351</v>
      </c>
      <c r="C559" s="2">
        <v>46112</v>
      </c>
      <c r="D559" s="1" t="s">
        <v>21</v>
      </c>
      <c r="E559" s="1" t="s">
        <v>22</v>
      </c>
      <c r="F559" s="1" t="s">
        <v>30</v>
      </c>
      <c r="G559" s="1" t="s">
        <v>24</v>
      </c>
      <c r="H559" s="1">
        <v>1</v>
      </c>
      <c r="I559" s="1" t="s">
        <v>2352</v>
      </c>
      <c r="J559" s="1" t="s">
        <v>26</v>
      </c>
      <c r="K559" s="1">
        <v>43205512.840000004</v>
      </c>
      <c r="L559" s="1">
        <v>0</v>
      </c>
      <c r="M559" s="1">
        <v>0</v>
      </c>
      <c r="N559" s="1">
        <v>4752606.4123999998</v>
      </c>
      <c r="O559" s="1">
        <v>0</v>
      </c>
      <c r="P559" s="1">
        <v>0</v>
      </c>
      <c r="Q559" s="1">
        <v>0</v>
      </c>
      <c r="R559" s="1">
        <v>47958119.252400003</v>
      </c>
      <c r="S559" s="1">
        <v>8002430.3697343003</v>
      </c>
      <c r="T559" s="1">
        <v>18.521780772210999</v>
      </c>
      <c r="U559" t="str">
        <f t="shared" si="8"/>
        <v>Week 4</v>
      </c>
    </row>
    <row r="560" spans="1:21" x14ac:dyDescent="0.25">
      <c r="A560" s="1">
        <v>559</v>
      </c>
      <c r="B560" s="1" t="s">
        <v>2353</v>
      </c>
      <c r="C560" s="2">
        <v>46112</v>
      </c>
      <c r="D560" s="1" t="s">
        <v>98</v>
      </c>
      <c r="E560" s="1" t="s">
        <v>99</v>
      </c>
      <c r="F560" s="1" t="s">
        <v>23</v>
      </c>
      <c r="G560" s="1" t="s">
        <v>24</v>
      </c>
      <c r="H560" s="1">
        <v>1</v>
      </c>
      <c r="I560" s="1" t="s">
        <v>2354</v>
      </c>
      <c r="J560" s="1"/>
      <c r="K560" s="1">
        <v>4000000</v>
      </c>
      <c r="L560" s="1">
        <v>0</v>
      </c>
      <c r="M560" s="1">
        <v>0</v>
      </c>
      <c r="N560" s="1">
        <v>440000</v>
      </c>
      <c r="O560" s="1">
        <v>0</v>
      </c>
      <c r="P560" s="1">
        <v>0</v>
      </c>
      <c r="Q560" s="1">
        <v>0</v>
      </c>
      <c r="R560" s="1">
        <v>4440000</v>
      </c>
      <c r="S560" s="1">
        <v>2000000</v>
      </c>
      <c r="T560" s="1">
        <v>50</v>
      </c>
      <c r="U560" t="str">
        <f t="shared" si="8"/>
        <v>Week 4</v>
      </c>
    </row>
    <row r="561" spans="1:21" x14ac:dyDescent="0.25">
      <c r="A561" s="1">
        <v>560</v>
      </c>
      <c r="B561" s="1" t="s">
        <v>2355</v>
      </c>
      <c r="C561" s="2">
        <v>46112</v>
      </c>
      <c r="D561" s="1" t="s">
        <v>33</v>
      </c>
      <c r="E561" s="1" t="s">
        <v>34</v>
      </c>
      <c r="F561" s="1" t="s">
        <v>30</v>
      </c>
      <c r="G561" s="1" t="s">
        <v>24</v>
      </c>
      <c r="H561" s="1">
        <v>1</v>
      </c>
      <c r="I561" s="1" t="s">
        <v>2420</v>
      </c>
      <c r="J561" s="1"/>
      <c r="K561" s="1">
        <v>490000</v>
      </c>
      <c r="L561" s="1">
        <v>0</v>
      </c>
      <c r="M561" s="1">
        <v>0</v>
      </c>
      <c r="N561" s="1">
        <v>53900</v>
      </c>
      <c r="O561" s="1">
        <v>0</v>
      </c>
      <c r="P561" s="1">
        <v>0</v>
      </c>
      <c r="Q561" s="1">
        <v>0</v>
      </c>
      <c r="R561" s="1">
        <v>543900</v>
      </c>
      <c r="S561" s="1">
        <v>90000</v>
      </c>
      <c r="T561" s="1">
        <v>0</v>
      </c>
      <c r="U561" t="str">
        <f t="shared" si="8"/>
        <v>Week 4</v>
      </c>
    </row>
    <row r="562" spans="1:21" x14ac:dyDescent="0.25">
      <c r="A562" s="1">
        <v>561</v>
      </c>
      <c r="B562" s="1" t="s">
        <v>2147</v>
      </c>
      <c r="C562" s="2">
        <v>46112</v>
      </c>
      <c r="D562" s="1" t="s">
        <v>21</v>
      </c>
      <c r="E562" s="1" t="s">
        <v>22</v>
      </c>
      <c r="F562" s="1" t="s">
        <v>30</v>
      </c>
      <c r="G562" s="1" t="s">
        <v>24</v>
      </c>
      <c r="H562" s="1">
        <v>1</v>
      </c>
      <c r="I562" s="1" t="s">
        <v>2148</v>
      </c>
      <c r="J562" s="1" t="s">
        <v>26</v>
      </c>
      <c r="K562" s="1">
        <v>2158009</v>
      </c>
      <c r="L562" s="1">
        <v>0</v>
      </c>
      <c r="M562" s="1">
        <v>0</v>
      </c>
      <c r="N562" s="1">
        <v>237380.99</v>
      </c>
      <c r="O562" s="1">
        <v>0</v>
      </c>
      <c r="P562" s="1">
        <v>0</v>
      </c>
      <c r="Q562" s="1">
        <v>0</v>
      </c>
      <c r="R562" s="1">
        <v>2395389.9900000002</v>
      </c>
      <c r="S562" s="1">
        <v>646241.43153258995</v>
      </c>
      <c r="T562" s="1">
        <v>29.946187969215</v>
      </c>
      <c r="U562" t="str">
        <f t="shared" si="8"/>
        <v>Week 4</v>
      </c>
    </row>
    <row r="563" spans="1:21" x14ac:dyDescent="0.25">
      <c r="A563" s="1">
        <v>562</v>
      </c>
      <c r="B563" s="1" t="s">
        <v>2149</v>
      </c>
      <c r="C563" s="2">
        <v>46112</v>
      </c>
      <c r="D563" s="1" t="s">
        <v>184</v>
      </c>
      <c r="E563" s="1" t="s">
        <v>116</v>
      </c>
      <c r="F563" s="1" t="s">
        <v>30</v>
      </c>
      <c r="G563" s="1" t="s">
        <v>24</v>
      </c>
      <c r="H563" s="1">
        <v>1</v>
      </c>
      <c r="I563" s="1" t="s">
        <v>2150</v>
      </c>
      <c r="J563" s="1"/>
      <c r="K563" s="1">
        <v>229320</v>
      </c>
      <c r="L563" s="1">
        <v>0</v>
      </c>
      <c r="M563" s="1">
        <v>0</v>
      </c>
      <c r="N563" s="1">
        <v>25225.200000000001</v>
      </c>
      <c r="O563" s="1">
        <v>0</v>
      </c>
      <c r="P563" s="1">
        <v>0</v>
      </c>
      <c r="Q563" s="1">
        <v>0</v>
      </c>
      <c r="R563" s="1">
        <v>254545.2</v>
      </c>
      <c r="S563" s="1">
        <v>59320</v>
      </c>
      <c r="T563" s="1">
        <v>25.86778301064</v>
      </c>
      <c r="U563" t="str">
        <f t="shared" si="8"/>
        <v>Week 4</v>
      </c>
    </row>
    <row r="564" spans="1:21" x14ac:dyDescent="0.25">
      <c r="A564" s="1">
        <v>563</v>
      </c>
      <c r="B564" s="1" t="s">
        <v>2151</v>
      </c>
      <c r="C564" s="2">
        <v>46112</v>
      </c>
      <c r="D564" s="1" t="s">
        <v>349</v>
      </c>
      <c r="E564" s="1" t="s">
        <v>29</v>
      </c>
      <c r="F564" s="1" t="s">
        <v>30</v>
      </c>
      <c r="G564" s="1" t="s">
        <v>24</v>
      </c>
      <c r="H564" s="1">
        <v>1</v>
      </c>
      <c r="I564" s="1" t="s">
        <v>2152</v>
      </c>
      <c r="J564" s="1"/>
      <c r="K564" s="1">
        <v>80618720</v>
      </c>
      <c r="L564" s="1">
        <v>0</v>
      </c>
      <c r="M564" s="1">
        <v>0</v>
      </c>
      <c r="N564" s="1">
        <v>8868059.1999999993</v>
      </c>
      <c r="O564" s="1">
        <v>0</v>
      </c>
      <c r="P564" s="1">
        <v>0</v>
      </c>
      <c r="Q564" s="1">
        <v>0</v>
      </c>
      <c r="R564" s="1">
        <v>89486779.200000003</v>
      </c>
      <c r="S564" s="1">
        <v>15211224.504504999</v>
      </c>
      <c r="T564" s="1">
        <v>18.868104708813998</v>
      </c>
      <c r="U564" t="str">
        <f t="shared" si="8"/>
        <v>Week 4</v>
      </c>
    </row>
    <row r="565" spans="1:21" x14ac:dyDescent="0.25">
      <c r="A565" s="1">
        <v>564</v>
      </c>
      <c r="B565" s="1" t="s">
        <v>2153</v>
      </c>
      <c r="C565" s="2">
        <v>46111</v>
      </c>
      <c r="D565" s="1" t="s">
        <v>53</v>
      </c>
      <c r="E565" s="1" t="s">
        <v>54</v>
      </c>
      <c r="F565" s="1" t="s">
        <v>30</v>
      </c>
      <c r="G565" s="1" t="s">
        <v>24</v>
      </c>
      <c r="H565" s="1">
        <v>1</v>
      </c>
      <c r="I565" s="1" t="s">
        <v>2154</v>
      </c>
      <c r="J565" s="1"/>
      <c r="K565" s="1">
        <v>962700</v>
      </c>
      <c r="L565" s="1">
        <v>0</v>
      </c>
      <c r="M565" s="1">
        <v>0</v>
      </c>
      <c r="N565" s="1">
        <v>105897</v>
      </c>
      <c r="O565" s="1">
        <v>0</v>
      </c>
      <c r="P565" s="1">
        <v>0</v>
      </c>
      <c r="Q565" s="1">
        <v>0</v>
      </c>
      <c r="R565" s="1">
        <v>1068597</v>
      </c>
      <c r="S565" s="1">
        <v>167200</v>
      </c>
      <c r="T565" s="1">
        <v>17.367819673833999</v>
      </c>
      <c r="U565" t="str">
        <f t="shared" si="8"/>
        <v>Week 4</v>
      </c>
    </row>
    <row r="566" spans="1:21" x14ac:dyDescent="0.25">
      <c r="A566" s="1">
        <v>565</v>
      </c>
      <c r="B566" s="1" t="s">
        <v>2155</v>
      </c>
      <c r="C566" s="2">
        <v>46111</v>
      </c>
      <c r="D566" s="1" t="s">
        <v>53</v>
      </c>
      <c r="E566" s="1" t="s">
        <v>54</v>
      </c>
      <c r="F566" s="1" t="s">
        <v>30</v>
      </c>
      <c r="G566" s="1" t="s">
        <v>24</v>
      </c>
      <c r="H566" s="1">
        <v>1</v>
      </c>
      <c r="I566" s="1" t="s">
        <v>2156</v>
      </c>
      <c r="J566" s="1"/>
      <c r="K566" s="1">
        <v>614400</v>
      </c>
      <c r="L566" s="1">
        <v>0</v>
      </c>
      <c r="M566" s="1">
        <v>0</v>
      </c>
      <c r="N566" s="1">
        <v>67584</v>
      </c>
      <c r="O566" s="1">
        <v>0</v>
      </c>
      <c r="P566" s="1">
        <v>0</v>
      </c>
      <c r="Q566" s="1">
        <v>0</v>
      </c>
      <c r="R566" s="1">
        <v>681984</v>
      </c>
      <c r="S566" s="1">
        <v>63400</v>
      </c>
      <c r="T566" s="1">
        <v>10.319010416667</v>
      </c>
      <c r="U566" t="str">
        <f t="shared" si="8"/>
        <v>Week 4</v>
      </c>
    </row>
    <row r="567" spans="1:21" x14ac:dyDescent="0.25">
      <c r="A567" s="1">
        <v>566</v>
      </c>
      <c r="B567" s="1" t="s">
        <v>2157</v>
      </c>
      <c r="C567" s="2">
        <v>46111</v>
      </c>
      <c r="D567" s="1" t="s">
        <v>53</v>
      </c>
      <c r="E567" s="1" t="s">
        <v>54</v>
      </c>
      <c r="F567" s="1" t="s">
        <v>30</v>
      </c>
      <c r="G567" s="1" t="s">
        <v>24</v>
      </c>
      <c r="H567" s="1">
        <v>1</v>
      </c>
      <c r="I567" s="1" t="s">
        <v>2158</v>
      </c>
      <c r="J567" s="1"/>
      <c r="K567" s="1">
        <v>15646350</v>
      </c>
      <c r="L567" s="1">
        <v>0</v>
      </c>
      <c r="M567" s="1">
        <v>0</v>
      </c>
      <c r="N567" s="1">
        <v>1721098.5</v>
      </c>
      <c r="O567" s="1">
        <v>0</v>
      </c>
      <c r="P567" s="1">
        <v>0</v>
      </c>
      <c r="Q567" s="1">
        <v>0</v>
      </c>
      <c r="R567" s="1">
        <v>17367448.5</v>
      </c>
      <c r="S567" s="1">
        <v>249370</v>
      </c>
      <c r="T567" s="1">
        <v>1.5937902450092001</v>
      </c>
      <c r="U567" t="str">
        <f t="shared" si="8"/>
        <v>Week 4</v>
      </c>
    </row>
    <row r="568" spans="1:21" x14ac:dyDescent="0.25">
      <c r="A568" s="1">
        <v>567</v>
      </c>
      <c r="B568" s="1" t="s">
        <v>2159</v>
      </c>
      <c r="C568" s="2">
        <v>46111</v>
      </c>
      <c r="D568" s="1" t="s">
        <v>53</v>
      </c>
      <c r="E568" s="1" t="s">
        <v>54</v>
      </c>
      <c r="F568" s="1" t="s">
        <v>30</v>
      </c>
      <c r="G568" s="1" t="s">
        <v>24</v>
      </c>
      <c r="H568" s="1">
        <v>1</v>
      </c>
      <c r="I568" s="1" t="s">
        <v>2160</v>
      </c>
      <c r="J568" s="1"/>
      <c r="K568" s="1">
        <v>42759850</v>
      </c>
      <c r="L568" s="1">
        <v>0</v>
      </c>
      <c r="M568" s="1">
        <v>0</v>
      </c>
      <c r="N568" s="1">
        <v>4703583.5</v>
      </c>
      <c r="O568" s="1">
        <v>0</v>
      </c>
      <c r="P568" s="1">
        <v>0</v>
      </c>
      <c r="Q568" s="1">
        <v>0</v>
      </c>
      <c r="R568" s="1">
        <v>47463433.5</v>
      </c>
      <c r="S568" s="1">
        <v>14434436.661274999</v>
      </c>
      <c r="T568" s="1">
        <v>33.756986194466997</v>
      </c>
      <c r="U568" t="str">
        <f t="shared" si="8"/>
        <v>Week 4</v>
      </c>
    </row>
    <row r="569" spans="1:21" x14ac:dyDescent="0.25">
      <c r="A569" s="1">
        <v>568</v>
      </c>
      <c r="B569" s="1" t="s">
        <v>2161</v>
      </c>
      <c r="C569" s="2">
        <v>46111</v>
      </c>
      <c r="D569" s="1" t="s">
        <v>21</v>
      </c>
      <c r="E569" s="1" t="s">
        <v>22</v>
      </c>
      <c r="F569" s="1" t="s">
        <v>30</v>
      </c>
      <c r="G569" s="1" t="s">
        <v>24</v>
      </c>
      <c r="H569" s="1">
        <v>1</v>
      </c>
      <c r="I569" s="1" t="s">
        <v>2162</v>
      </c>
      <c r="J569" s="1" t="s">
        <v>26</v>
      </c>
      <c r="K569" s="1">
        <v>59470903.82</v>
      </c>
      <c r="L569" s="1">
        <v>0</v>
      </c>
      <c r="M569" s="1">
        <v>0</v>
      </c>
      <c r="N569" s="1">
        <v>6541799.4201999996</v>
      </c>
      <c r="O569" s="1">
        <v>0</v>
      </c>
      <c r="P569" s="1">
        <v>0</v>
      </c>
      <c r="Q569" s="1">
        <v>0</v>
      </c>
      <c r="R569" s="1">
        <v>66012703.240199998</v>
      </c>
      <c r="S569" s="1">
        <v>16994918.127298001</v>
      </c>
      <c r="T569" s="1">
        <v>28.576862021023999</v>
      </c>
      <c r="U569" t="str">
        <f t="shared" si="8"/>
        <v>Week 4</v>
      </c>
    </row>
    <row r="570" spans="1:21" x14ac:dyDescent="0.25">
      <c r="A570" s="1">
        <v>569</v>
      </c>
      <c r="B570" s="1" t="s">
        <v>2163</v>
      </c>
      <c r="C570" s="2">
        <v>46111</v>
      </c>
      <c r="D570" s="1" t="s">
        <v>53</v>
      </c>
      <c r="E570" s="1" t="s">
        <v>54</v>
      </c>
      <c r="F570" s="1" t="s">
        <v>30</v>
      </c>
      <c r="G570" s="1" t="s">
        <v>24</v>
      </c>
      <c r="H570" s="1">
        <v>1</v>
      </c>
      <c r="I570" s="1" t="s">
        <v>2481</v>
      </c>
      <c r="J570" s="1"/>
      <c r="K570" s="1">
        <v>18354000</v>
      </c>
      <c r="L570" s="1">
        <v>0</v>
      </c>
      <c r="M570" s="1">
        <v>0</v>
      </c>
      <c r="N570" s="1">
        <v>2018940</v>
      </c>
      <c r="O570" s="1">
        <v>0</v>
      </c>
      <c r="P570" s="1">
        <v>0</v>
      </c>
      <c r="Q570" s="1">
        <v>0</v>
      </c>
      <c r="R570" s="1">
        <v>20372940</v>
      </c>
      <c r="S570" s="1">
        <v>1154000</v>
      </c>
      <c r="T570" s="1">
        <v>6.2874577748720002</v>
      </c>
      <c r="U570" t="str">
        <f t="shared" si="8"/>
        <v>Week 4</v>
      </c>
    </row>
    <row r="571" spans="1:21" x14ac:dyDescent="0.25">
      <c r="A571" s="1">
        <v>570</v>
      </c>
      <c r="B571" s="1" t="s">
        <v>2164</v>
      </c>
      <c r="C571" s="2">
        <v>46111</v>
      </c>
      <c r="D571" s="1" t="s">
        <v>53</v>
      </c>
      <c r="E571" s="1" t="s">
        <v>54</v>
      </c>
      <c r="F571" s="1" t="s">
        <v>30</v>
      </c>
      <c r="G571" s="1" t="s">
        <v>24</v>
      </c>
      <c r="H571" s="1">
        <v>1</v>
      </c>
      <c r="I571" s="1" t="s">
        <v>2165</v>
      </c>
      <c r="J571" s="1"/>
      <c r="K571" s="1">
        <v>12560883.439999999</v>
      </c>
      <c r="L571" s="1">
        <v>0</v>
      </c>
      <c r="M571" s="1">
        <v>0</v>
      </c>
      <c r="N571" s="1">
        <v>1381697.1784000001</v>
      </c>
      <c r="O571" s="1">
        <v>0</v>
      </c>
      <c r="P571" s="1">
        <v>0</v>
      </c>
      <c r="Q571" s="1">
        <v>0</v>
      </c>
      <c r="R571" s="1">
        <v>13942580.6184</v>
      </c>
      <c r="S571" s="1">
        <v>3009320.5270870999</v>
      </c>
      <c r="T571" s="1">
        <v>23.957873197866999</v>
      </c>
      <c r="U571" t="str">
        <f t="shared" si="8"/>
        <v>Week 4</v>
      </c>
    </row>
    <row r="572" spans="1:21" x14ac:dyDescent="0.25">
      <c r="A572" s="1">
        <v>571</v>
      </c>
      <c r="B572" s="1" t="s">
        <v>2166</v>
      </c>
      <c r="C572" s="2">
        <v>46111</v>
      </c>
      <c r="D572" s="1" t="s">
        <v>53</v>
      </c>
      <c r="E572" s="1" t="s">
        <v>54</v>
      </c>
      <c r="F572" s="1" t="s">
        <v>30</v>
      </c>
      <c r="G572" s="1" t="s">
        <v>24</v>
      </c>
      <c r="H572" s="1">
        <v>1</v>
      </c>
      <c r="I572" s="1" t="s">
        <v>2167</v>
      </c>
      <c r="J572" s="1"/>
      <c r="K572" s="1">
        <v>101247651</v>
      </c>
      <c r="L572" s="1">
        <v>0</v>
      </c>
      <c r="M572" s="1">
        <v>0</v>
      </c>
      <c r="N572" s="1">
        <v>11137241.609999999</v>
      </c>
      <c r="O572" s="1">
        <v>0</v>
      </c>
      <c r="P572" s="1">
        <v>0</v>
      </c>
      <c r="Q572" s="1">
        <v>0</v>
      </c>
      <c r="R572" s="1">
        <v>112384892.61</v>
      </c>
      <c r="S572" s="1">
        <v>7034536</v>
      </c>
      <c r="T572" s="1">
        <v>6.947851066688</v>
      </c>
      <c r="U572" t="str">
        <f t="shared" si="8"/>
        <v>Week 4</v>
      </c>
    </row>
    <row r="573" spans="1:21" x14ac:dyDescent="0.25">
      <c r="A573" s="1">
        <v>572</v>
      </c>
      <c r="B573" s="1" t="s">
        <v>2168</v>
      </c>
      <c r="C573" s="2">
        <v>46111</v>
      </c>
      <c r="D573" s="1" t="s">
        <v>432</v>
      </c>
      <c r="E573" s="1" t="s">
        <v>116</v>
      </c>
      <c r="F573" s="1" t="s">
        <v>260</v>
      </c>
      <c r="G573" s="1" t="s">
        <v>24</v>
      </c>
      <c r="H573" s="1">
        <v>1</v>
      </c>
      <c r="I573" s="1" t="s">
        <v>2169</v>
      </c>
      <c r="J573" s="1" t="s">
        <v>26</v>
      </c>
      <c r="K573" s="1">
        <v>80752000</v>
      </c>
      <c r="L573" s="1">
        <v>0</v>
      </c>
      <c r="M573" s="1">
        <v>0</v>
      </c>
      <c r="N573" s="1">
        <v>8882720</v>
      </c>
      <c r="O573" s="1">
        <v>0</v>
      </c>
      <c r="P573" s="1">
        <v>0</v>
      </c>
      <c r="Q573" s="1">
        <v>0</v>
      </c>
      <c r="R573" s="1">
        <v>89634720</v>
      </c>
      <c r="S573" s="1">
        <v>14152000</v>
      </c>
      <c r="T573" s="1">
        <v>17.525262532197001</v>
      </c>
      <c r="U573" t="str">
        <f t="shared" si="8"/>
        <v>Week 4</v>
      </c>
    </row>
    <row r="574" spans="1:21" x14ac:dyDescent="0.25">
      <c r="A574" s="1">
        <v>573</v>
      </c>
      <c r="B574" s="1" t="s">
        <v>2170</v>
      </c>
      <c r="C574" s="2">
        <v>46111</v>
      </c>
      <c r="D574" s="1" t="s">
        <v>53</v>
      </c>
      <c r="E574" s="1" t="s">
        <v>54</v>
      </c>
      <c r="F574" s="1" t="s">
        <v>23</v>
      </c>
      <c r="G574" s="1" t="s">
        <v>24</v>
      </c>
      <c r="H574" s="1">
        <v>1</v>
      </c>
      <c r="I574" s="1" t="s">
        <v>2171</v>
      </c>
      <c r="J574" s="1"/>
      <c r="K574" s="1">
        <v>1700000</v>
      </c>
      <c r="L574" s="1">
        <v>0</v>
      </c>
      <c r="M574" s="1">
        <v>0</v>
      </c>
      <c r="N574" s="1">
        <v>187000</v>
      </c>
      <c r="O574" s="1">
        <v>0</v>
      </c>
      <c r="P574" s="1">
        <v>0</v>
      </c>
      <c r="Q574" s="1">
        <v>0</v>
      </c>
      <c r="R574" s="1">
        <v>1887000</v>
      </c>
      <c r="S574" s="1">
        <v>465765.76576575998</v>
      </c>
      <c r="T574" s="1">
        <v>27.397986221515001</v>
      </c>
      <c r="U574" t="str">
        <f t="shared" si="8"/>
        <v>Week 4</v>
      </c>
    </row>
    <row r="575" spans="1:21" x14ac:dyDescent="0.25">
      <c r="A575" s="1">
        <v>574</v>
      </c>
      <c r="B575" s="1" t="s">
        <v>2172</v>
      </c>
      <c r="C575" s="2">
        <v>46111</v>
      </c>
      <c r="D575" s="1" t="s">
        <v>33</v>
      </c>
      <c r="E575" s="1" t="s">
        <v>34</v>
      </c>
      <c r="F575" s="1" t="s">
        <v>23</v>
      </c>
      <c r="G575" s="1" t="s">
        <v>24</v>
      </c>
      <c r="H575" s="1">
        <v>1</v>
      </c>
      <c r="I575" s="1" t="s">
        <v>2173</v>
      </c>
      <c r="J575" s="1"/>
      <c r="K575" s="1">
        <v>13500000</v>
      </c>
      <c r="L575" s="1">
        <v>0</v>
      </c>
      <c r="M575" s="1">
        <v>0</v>
      </c>
      <c r="N575" s="1">
        <v>1485000</v>
      </c>
      <c r="O575" s="1">
        <v>0</v>
      </c>
      <c r="P575" s="1">
        <v>0</v>
      </c>
      <c r="Q575" s="1">
        <v>0</v>
      </c>
      <c r="R575" s="1">
        <v>14985000</v>
      </c>
      <c r="S575" s="1">
        <v>7897400</v>
      </c>
      <c r="T575" s="1">
        <v>58.499259259258999</v>
      </c>
      <c r="U575" t="str">
        <f t="shared" si="8"/>
        <v>Week 4</v>
      </c>
    </row>
    <row r="576" spans="1:21" x14ac:dyDescent="0.25">
      <c r="A576" s="1">
        <v>575</v>
      </c>
      <c r="B576" s="1" t="s">
        <v>2174</v>
      </c>
      <c r="C576" s="2">
        <v>46111</v>
      </c>
      <c r="D576" s="1" t="s">
        <v>21</v>
      </c>
      <c r="E576" s="1" t="s">
        <v>22</v>
      </c>
      <c r="F576" s="1" t="s">
        <v>23</v>
      </c>
      <c r="G576" s="1" t="s">
        <v>24</v>
      </c>
      <c r="H576" s="1">
        <v>1</v>
      </c>
      <c r="I576" s="1" t="s">
        <v>1134</v>
      </c>
      <c r="J576" s="1" t="s">
        <v>26</v>
      </c>
      <c r="K576" s="1">
        <v>4693132</v>
      </c>
      <c r="L576" s="1">
        <v>0</v>
      </c>
      <c r="M576" s="1">
        <v>0</v>
      </c>
      <c r="N576" s="1">
        <v>516244.52</v>
      </c>
      <c r="O576" s="1">
        <v>0</v>
      </c>
      <c r="P576" s="1">
        <v>0</v>
      </c>
      <c r="Q576" s="1">
        <v>0</v>
      </c>
      <c r="R576" s="1">
        <v>5209376.5199999996</v>
      </c>
      <c r="S576" s="1">
        <v>2679623.7297299998</v>
      </c>
      <c r="T576" s="1">
        <v>57.096704923918999</v>
      </c>
      <c r="U576" t="str">
        <f t="shared" si="8"/>
        <v>Week 4</v>
      </c>
    </row>
    <row r="577" spans="1:21" x14ac:dyDescent="0.25">
      <c r="A577" s="1">
        <v>576</v>
      </c>
      <c r="B577" s="1" t="s">
        <v>2175</v>
      </c>
      <c r="C577" s="2">
        <v>46111</v>
      </c>
      <c r="D577" s="1" t="s">
        <v>21</v>
      </c>
      <c r="E577" s="1" t="s">
        <v>22</v>
      </c>
      <c r="F577" s="1" t="s">
        <v>23</v>
      </c>
      <c r="G577" s="1" t="s">
        <v>24</v>
      </c>
      <c r="H577" s="1">
        <v>1</v>
      </c>
      <c r="I577" s="1" t="s">
        <v>2176</v>
      </c>
      <c r="J577" s="1" t="s">
        <v>26</v>
      </c>
      <c r="K577" s="1">
        <v>6452131</v>
      </c>
      <c r="L577" s="1">
        <v>0</v>
      </c>
      <c r="M577" s="1">
        <v>0</v>
      </c>
      <c r="N577" s="1">
        <v>709734.41</v>
      </c>
      <c r="O577" s="1">
        <v>0</v>
      </c>
      <c r="P577" s="1">
        <v>0</v>
      </c>
      <c r="Q577" s="1">
        <v>0</v>
      </c>
      <c r="R577" s="1">
        <v>7161865.4100000001</v>
      </c>
      <c r="S577" s="1">
        <v>2466617.4881080999</v>
      </c>
      <c r="T577" s="1">
        <v>38.229501045593999</v>
      </c>
      <c r="U577" t="str">
        <f t="shared" si="8"/>
        <v>Week 4</v>
      </c>
    </row>
    <row r="578" spans="1:21" x14ac:dyDescent="0.25">
      <c r="A578" s="1">
        <v>577</v>
      </c>
      <c r="B578" s="1" t="s">
        <v>2177</v>
      </c>
      <c r="C578" s="2">
        <v>46111</v>
      </c>
      <c r="D578" s="1" t="s">
        <v>21</v>
      </c>
      <c r="E578" s="1" t="s">
        <v>22</v>
      </c>
      <c r="F578" s="1" t="s">
        <v>30</v>
      </c>
      <c r="G578" s="1" t="s">
        <v>24</v>
      </c>
      <c r="H578" s="1">
        <v>1</v>
      </c>
      <c r="I578" s="1" t="s">
        <v>2178</v>
      </c>
      <c r="J578" s="1" t="s">
        <v>26</v>
      </c>
      <c r="K578" s="1">
        <v>20709180</v>
      </c>
      <c r="L578" s="1">
        <v>0</v>
      </c>
      <c r="M578" s="1">
        <v>0</v>
      </c>
      <c r="N578" s="1">
        <v>2278009.7999999998</v>
      </c>
      <c r="O578" s="1">
        <v>0</v>
      </c>
      <c r="P578" s="1">
        <v>0</v>
      </c>
      <c r="Q578" s="1">
        <v>0</v>
      </c>
      <c r="R578" s="1">
        <v>22987189.800000001</v>
      </c>
      <c r="S578" s="1">
        <v>1818180</v>
      </c>
      <c r="T578" s="1">
        <v>8.7795847059130008</v>
      </c>
      <c r="U578" t="str">
        <f t="shared" si="8"/>
        <v>Week 4</v>
      </c>
    </row>
    <row r="579" spans="1:21" x14ac:dyDescent="0.25">
      <c r="A579" s="1">
        <v>578</v>
      </c>
      <c r="B579" s="1" t="s">
        <v>2179</v>
      </c>
      <c r="C579" s="2">
        <v>46111</v>
      </c>
      <c r="D579" s="1" t="s">
        <v>202</v>
      </c>
      <c r="E579" s="1" t="s">
        <v>203</v>
      </c>
      <c r="F579" s="1" t="s">
        <v>23</v>
      </c>
      <c r="G579" s="1" t="s">
        <v>24</v>
      </c>
      <c r="H579" s="1">
        <v>1</v>
      </c>
      <c r="I579" s="1" t="s">
        <v>2180</v>
      </c>
      <c r="J579" s="1" t="s">
        <v>26</v>
      </c>
      <c r="K579" s="1">
        <v>10875248</v>
      </c>
      <c r="L579" s="1">
        <v>0</v>
      </c>
      <c r="M579" s="1">
        <v>0</v>
      </c>
      <c r="N579" s="1">
        <v>1196277.28</v>
      </c>
      <c r="O579" s="1">
        <v>0</v>
      </c>
      <c r="P579" s="1">
        <v>0</v>
      </c>
      <c r="Q579" s="1">
        <v>0</v>
      </c>
      <c r="R579" s="1">
        <v>12071525.279999999</v>
      </c>
      <c r="S579" s="1">
        <v>2677049.7999999998</v>
      </c>
      <c r="T579" s="1">
        <v>24.615988527342001</v>
      </c>
      <c r="U579" t="str">
        <f t="shared" ref="U579:U642" si="9">"Week "&amp;IF(DAY(C579)&gt;=24,4,INT((DAY(C579)-1)/7)+1)</f>
        <v>Week 4</v>
      </c>
    </row>
    <row r="580" spans="1:21" x14ac:dyDescent="0.25">
      <c r="A580" s="1">
        <v>579</v>
      </c>
      <c r="B580" s="1" t="s">
        <v>2181</v>
      </c>
      <c r="C580" s="2">
        <v>46111</v>
      </c>
      <c r="D580" s="1" t="s">
        <v>184</v>
      </c>
      <c r="E580" s="1" t="s">
        <v>116</v>
      </c>
      <c r="F580" s="1" t="s">
        <v>260</v>
      </c>
      <c r="G580" s="1" t="s">
        <v>24</v>
      </c>
      <c r="H580" s="1">
        <v>1</v>
      </c>
      <c r="I580" s="1" t="s">
        <v>1438</v>
      </c>
      <c r="J580" s="1" t="s">
        <v>26</v>
      </c>
      <c r="K580" s="1">
        <v>15580500</v>
      </c>
      <c r="L580" s="1">
        <v>0</v>
      </c>
      <c r="M580" s="1">
        <v>0</v>
      </c>
      <c r="N580" s="1">
        <v>1713855</v>
      </c>
      <c r="O580" s="1">
        <v>0</v>
      </c>
      <c r="P580" s="1">
        <v>0</v>
      </c>
      <c r="Q580" s="1">
        <v>0</v>
      </c>
      <c r="R580" s="1">
        <v>17294355</v>
      </c>
      <c r="S580" s="1">
        <v>8516581.0811016001</v>
      </c>
      <c r="T580" s="1">
        <v>54.661795713242</v>
      </c>
      <c r="U580" t="str">
        <f t="shared" si="9"/>
        <v>Week 4</v>
      </c>
    </row>
    <row r="581" spans="1:21" x14ac:dyDescent="0.25">
      <c r="A581" s="1">
        <v>580</v>
      </c>
      <c r="B581" s="1" t="s">
        <v>2182</v>
      </c>
      <c r="C581" s="2">
        <v>46111</v>
      </c>
      <c r="D581" s="1" t="s">
        <v>112</v>
      </c>
      <c r="E581" s="1" t="s">
        <v>38</v>
      </c>
      <c r="F581" s="1" t="s">
        <v>30</v>
      </c>
      <c r="G581" s="1" t="s">
        <v>24</v>
      </c>
      <c r="H581" s="1">
        <v>1</v>
      </c>
      <c r="I581" s="1" t="s">
        <v>2183</v>
      </c>
      <c r="J581" s="1"/>
      <c r="K581" s="1">
        <v>9555000</v>
      </c>
      <c r="L581" s="1">
        <v>0</v>
      </c>
      <c r="M581" s="1">
        <v>0</v>
      </c>
      <c r="N581" s="1">
        <v>1051050</v>
      </c>
      <c r="O581" s="1">
        <v>0</v>
      </c>
      <c r="P581" s="1">
        <v>0</v>
      </c>
      <c r="Q581" s="1">
        <v>0</v>
      </c>
      <c r="R581" s="1">
        <v>10606050</v>
      </c>
      <c r="S581" s="1">
        <v>9555000</v>
      </c>
      <c r="T581" s="1">
        <v>100</v>
      </c>
      <c r="U581" t="str">
        <f t="shared" si="9"/>
        <v>Week 4</v>
      </c>
    </row>
    <row r="582" spans="1:21" x14ac:dyDescent="0.25">
      <c r="A582" s="1">
        <v>581</v>
      </c>
      <c r="B582" s="1" t="s">
        <v>2184</v>
      </c>
      <c r="C582" s="2">
        <v>46111</v>
      </c>
      <c r="D582" s="1" t="s">
        <v>1317</v>
      </c>
      <c r="E582" s="1" t="s">
        <v>203</v>
      </c>
      <c r="F582" s="1" t="s">
        <v>23</v>
      </c>
      <c r="G582" s="1" t="s">
        <v>24</v>
      </c>
      <c r="H582" s="1">
        <v>1</v>
      </c>
      <c r="I582" s="1" t="s">
        <v>2185</v>
      </c>
      <c r="J582" s="1"/>
      <c r="K582" s="1">
        <v>1990500</v>
      </c>
      <c r="L582" s="1">
        <v>0</v>
      </c>
      <c r="M582" s="1">
        <v>0</v>
      </c>
      <c r="N582" s="1">
        <v>218955</v>
      </c>
      <c r="O582" s="1">
        <v>0</v>
      </c>
      <c r="P582" s="1">
        <v>0</v>
      </c>
      <c r="Q582" s="1">
        <v>0</v>
      </c>
      <c r="R582" s="1">
        <v>2209455</v>
      </c>
      <c r="S582" s="1">
        <v>400500</v>
      </c>
      <c r="T582" s="1">
        <v>20.120572720422</v>
      </c>
      <c r="U582" t="str">
        <f t="shared" si="9"/>
        <v>Week 4</v>
      </c>
    </row>
    <row r="583" spans="1:21" x14ac:dyDescent="0.25">
      <c r="A583" s="1">
        <v>582</v>
      </c>
      <c r="B583" s="1" t="s">
        <v>2186</v>
      </c>
      <c r="C583" s="2">
        <v>46111</v>
      </c>
      <c r="D583" s="1" t="s">
        <v>33</v>
      </c>
      <c r="E583" s="1" t="s">
        <v>34</v>
      </c>
      <c r="F583" s="1" t="s">
        <v>30</v>
      </c>
      <c r="G583" s="1" t="s">
        <v>24</v>
      </c>
      <c r="H583" s="1">
        <v>1</v>
      </c>
      <c r="I583" s="1" t="s">
        <v>2733</v>
      </c>
      <c r="J583" s="1"/>
      <c r="K583" s="1">
        <v>1232840</v>
      </c>
      <c r="L583" s="1">
        <v>0</v>
      </c>
      <c r="M583" s="1">
        <v>0</v>
      </c>
      <c r="N583" s="1">
        <v>135612.4</v>
      </c>
      <c r="O583" s="1">
        <v>0</v>
      </c>
      <c r="P583" s="1">
        <v>0</v>
      </c>
      <c r="Q583" s="1">
        <v>0</v>
      </c>
      <c r="R583" s="1">
        <v>1368452.4</v>
      </c>
      <c r="S583" s="1">
        <v>252840</v>
      </c>
      <c r="T583" s="1">
        <v>20.508744038155999</v>
      </c>
      <c r="U583" t="str">
        <f t="shared" si="9"/>
        <v>Week 4</v>
      </c>
    </row>
    <row r="584" spans="1:21" x14ac:dyDescent="0.25">
      <c r="A584" s="1">
        <v>583</v>
      </c>
      <c r="B584" s="1" t="s">
        <v>2187</v>
      </c>
      <c r="C584" s="2">
        <v>46111</v>
      </c>
      <c r="D584" s="1" t="s">
        <v>53</v>
      </c>
      <c r="E584" s="1" t="s">
        <v>54</v>
      </c>
      <c r="F584" s="1" t="s">
        <v>23</v>
      </c>
      <c r="G584" s="1" t="s">
        <v>24</v>
      </c>
      <c r="H584" s="1">
        <v>1</v>
      </c>
      <c r="I584" s="1" t="s">
        <v>266</v>
      </c>
      <c r="J584" s="1" t="s">
        <v>26</v>
      </c>
      <c r="K584" s="1">
        <v>11270000</v>
      </c>
      <c r="L584" s="1">
        <v>0</v>
      </c>
      <c r="M584" s="1">
        <v>0</v>
      </c>
      <c r="N584" s="1">
        <v>1239700</v>
      </c>
      <c r="O584" s="1">
        <v>0</v>
      </c>
      <c r="P584" s="1">
        <v>0</v>
      </c>
      <c r="Q584" s="1">
        <v>0</v>
      </c>
      <c r="R584" s="1">
        <v>12509700</v>
      </c>
      <c r="S584" s="1">
        <v>1325100</v>
      </c>
      <c r="T584" s="1">
        <v>11.757763975154999</v>
      </c>
      <c r="U584" t="str">
        <f t="shared" si="9"/>
        <v>Week 4</v>
      </c>
    </row>
    <row r="585" spans="1:21" x14ac:dyDescent="0.25">
      <c r="A585" s="1">
        <v>584</v>
      </c>
      <c r="B585" s="1" t="s">
        <v>2188</v>
      </c>
      <c r="C585" s="2">
        <v>46111</v>
      </c>
      <c r="D585" s="1" t="s">
        <v>21</v>
      </c>
      <c r="E585" s="1" t="s">
        <v>22</v>
      </c>
      <c r="F585" s="1" t="s">
        <v>30</v>
      </c>
      <c r="G585" s="1" t="s">
        <v>24</v>
      </c>
      <c r="H585" s="1">
        <v>1</v>
      </c>
      <c r="I585" s="1" t="s">
        <v>2189</v>
      </c>
      <c r="J585" s="1" t="s">
        <v>26</v>
      </c>
      <c r="K585" s="1">
        <v>61737239.340000004</v>
      </c>
      <c r="L585" s="1">
        <v>0</v>
      </c>
      <c r="M585" s="1">
        <v>0</v>
      </c>
      <c r="N585" s="1">
        <v>6791096.3273999998</v>
      </c>
      <c r="O585" s="1">
        <v>0</v>
      </c>
      <c r="P585" s="1">
        <v>0</v>
      </c>
      <c r="Q585" s="1">
        <v>0</v>
      </c>
      <c r="R585" s="1">
        <v>68528335.667400002</v>
      </c>
      <c r="S585" s="1">
        <v>19760164.629190002</v>
      </c>
      <c r="T585" s="1">
        <v>32.006880839563998</v>
      </c>
      <c r="U585" t="str">
        <f t="shared" si="9"/>
        <v>Week 4</v>
      </c>
    </row>
    <row r="586" spans="1:21" x14ac:dyDescent="0.25">
      <c r="A586" s="1">
        <v>585</v>
      </c>
      <c r="B586" s="1" t="s">
        <v>2190</v>
      </c>
      <c r="C586" s="2">
        <v>46111</v>
      </c>
      <c r="D586" s="1" t="s">
        <v>33</v>
      </c>
      <c r="E586" s="1" t="s">
        <v>34</v>
      </c>
      <c r="F586" s="1" t="s">
        <v>30</v>
      </c>
      <c r="G586" s="1" t="s">
        <v>24</v>
      </c>
      <c r="H586" s="1">
        <v>1</v>
      </c>
      <c r="I586" s="1" t="s">
        <v>605</v>
      </c>
      <c r="J586" s="1"/>
      <c r="K586" s="1">
        <v>161710</v>
      </c>
      <c r="L586" s="1">
        <v>0</v>
      </c>
      <c r="M586" s="1">
        <v>0</v>
      </c>
      <c r="N586" s="1">
        <v>17788.099999999999</v>
      </c>
      <c r="O586" s="1">
        <v>0</v>
      </c>
      <c r="P586" s="1">
        <v>0</v>
      </c>
      <c r="Q586" s="1">
        <v>0</v>
      </c>
      <c r="R586" s="1">
        <v>179498.1</v>
      </c>
      <c r="S586" s="1">
        <v>132430.72</v>
      </c>
      <c r="T586" s="1">
        <v>81.893958320449997</v>
      </c>
      <c r="U586" t="str">
        <f t="shared" si="9"/>
        <v>Week 4</v>
      </c>
    </row>
    <row r="587" spans="1:21" x14ac:dyDescent="0.25">
      <c r="A587" s="1">
        <v>586</v>
      </c>
      <c r="B587" s="1" t="s">
        <v>2191</v>
      </c>
      <c r="C587" s="2">
        <v>46109</v>
      </c>
      <c r="D587" s="1" t="s">
        <v>184</v>
      </c>
      <c r="E587" s="1" t="s">
        <v>116</v>
      </c>
      <c r="F587" s="1" t="s">
        <v>23</v>
      </c>
      <c r="G587" s="1" t="s">
        <v>24</v>
      </c>
      <c r="H587" s="1">
        <v>1</v>
      </c>
      <c r="I587" s="1" t="s">
        <v>2192</v>
      </c>
      <c r="J587" s="1" t="s">
        <v>26</v>
      </c>
      <c r="K587" s="1">
        <v>177500</v>
      </c>
      <c r="L587" s="1">
        <v>0</v>
      </c>
      <c r="M587" s="1">
        <v>0</v>
      </c>
      <c r="N587" s="1">
        <v>19525</v>
      </c>
      <c r="O587" s="1">
        <v>0</v>
      </c>
      <c r="P587" s="1">
        <v>0</v>
      </c>
      <c r="Q587" s="1">
        <v>0</v>
      </c>
      <c r="R587" s="1">
        <v>197025</v>
      </c>
      <c r="S587" s="1">
        <v>41689.189189190001</v>
      </c>
      <c r="T587" s="1">
        <v>23.486867148839</v>
      </c>
      <c r="U587" t="str">
        <f t="shared" si="9"/>
        <v>Week 4</v>
      </c>
    </row>
    <row r="588" spans="1:21" x14ac:dyDescent="0.25">
      <c r="A588" s="1">
        <v>587</v>
      </c>
      <c r="B588" s="1" t="s">
        <v>2193</v>
      </c>
      <c r="C588" s="2">
        <v>46109</v>
      </c>
      <c r="D588" s="1" t="s">
        <v>21</v>
      </c>
      <c r="E588" s="1" t="s">
        <v>22</v>
      </c>
      <c r="F588" s="1" t="s">
        <v>30</v>
      </c>
      <c r="G588" s="1" t="s">
        <v>24</v>
      </c>
      <c r="H588" s="1">
        <v>1</v>
      </c>
      <c r="I588" s="1" t="s">
        <v>2194</v>
      </c>
      <c r="J588" s="1" t="s">
        <v>26</v>
      </c>
      <c r="K588" s="1">
        <v>20065892</v>
      </c>
      <c r="L588" s="1">
        <v>0</v>
      </c>
      <c r="M588" s="1">
        <v>0</v>
      </c>
      <c r="N588" s="1">
        <v>2207248.12</v>
      </c>
      <c r="O588" s="1">
        <v>0</v>
      </c>
      <c r="P588" s="1">
        <v>0</v>
      </c>
      <c r="Q588" s="1">
        <v>0</v>
      </c>
      <c r="R588" s="1">
        <v>22273140.120000001</v>
      </c>
      <c r="S588" s="1">
        <v>6455272</v>
      </c>
      <c r="T588" s="1">
        <v>32.170371494076001</v>
      </c>
      <c r="U588" t="str">
        <f t="shared" si="9"/>
        <v>Week 4</v>
      </c>
    </row>
    <row r="589" spans="1:21" x14ac:dyDescent="0.25">
      <c r="A589" s="1">
        <v>588</v>
      </c>
      <c r="B589" s="1" t="s">
        <v>2195</v>
      </c>
      <c r="C589" s="2">
        <v>46109</v>
      </c>
      <c r="D589" s="1" t="s">
        <v>432</v>
      </c>
      <c r="E589" s="1" t="s">
        <v>116</v>
      </c>
      <c r="F589" s="1" t="s">
        <v>23</v>
      </c>
      <c r="G589" s="1" t="s">
        <v>24</v>
      </c>
      <c r="H589" s="1">
        <v>1</v>
      </c>
      <c r="I589" s="1" t="s">
        <v>2196</v>
      </c>
      <c r="J589" s="1" t="s">
        <v>26</v>
      </c>
      <c r="K589" s="1">
        <v>7426152</v>
      </c>
      <c r="L589" s="1">
        <v>0</v>
      </c>
      <c r="M589" s="1">
        <v>0</v>
      </c>
      <c r="N589" s="1">
        <v>816876.72</v>
      </c>
      <c r="O589" s="1">
        <v>0</v>
      </c>
      <c r="P589" s="1">
        <v>0</v>
      </c>
      <c r="Q589" s="1">
        <v>0</v>
      </c>
      <c r="R589" s="1">
        <v>8243028.7199999997</v>
      </c>
      <c r="S589" s="1">
        <v>1513234.5825825999</v>
      </c>
      <c r="T589" s="1">
        <v>20.377102200205002</v>
      </c>
      <c r="U589" t="str">
        <f t="shared" si="9"/>
        <v>Week 4</v>
      </c>
    </row>
    <row r="590" spans="1:21" x14ac:dyDescent="0.25">
      <c r="A590" s="1">
        <v>589</v>
      </c>
      <c r="B590" s="1" t="s">
        <v>2197</v>
      </c>
      <c r="C590" s="2">
        <v>46109</v>
      </c>
      <c r="D590" s="1" t="s">
        <v>33</v>
      </c>
      <c r="E590" s="1" t="s">
        <v>34</v>
      </c>
      <c r="F590" s="1" t="s">
        <v>30</v>
      </c>
      <c r="G590" s="1" t="s">
        <v>24</v>
      </c>
      <c r="H590" s="1">
        <v>1</v>
      </c>
      <c r="I590" s="1" t="s">
        <v>2198</v>
      </c>
      <c r="J590" s="1"/>
      <c r="K590" s="1">
        <v>75080343</v>
      </c>
      <c r="L590" s="1">
        <v>0</v>
      </c>
      <c r="M590" s="1">
        <v>0</v>
      </c>
      <c r="N590" s="1">
        <v>8258837.7300000004</v>
      </c>
      <c r="O590" s="1">
        <v>0</v>
      </c>
      <c r="P590" s="1">
        <v>0</v>
      </c>
      <c r="Q590" s="1">
        <v>0</v>
      </c>
      <c r="R590" s="1">
        <v>83339180.730000004</v>
      </c>
      <c r="S590" s="1">
        <v>-1549657</v>
      </c>
      <c r="T590" s="1">
        <v>-2.0639982957988998</v>
      </c>
      <c r="U590" t="str">
        <f t="shared" si="9"/>
        <v>Week 4</v>
      </c>
    </row>
    <row r="591" spans="1:21" x14ac:dyDescent="0.25">
      <c r="A591" s="1">
        <v>590</v>
      </c>
      <c r="B591" s="1" t="s">
        <v>2199</v>
      </c>
      <c r="C591" s="2">
        <v>46109</v>
      </c>
      <c r="D591" s="1" t="s">
        <v>248</v>
      </c>
      <c r="E591" s="1" t="s">
        <v>116</v>
      </c>
      <c r="F591" s="1" t="s">
        <v>30</v>
      </c>
      <c r="G591" s="1" t="s">
        <v>24</v>
      </c>
      <c r="H591" s="1">
        <v>1</v>
      </c>
      <c r="I591" s="1" t="s">
        <v>2200</v>
      </c>
      <c r="J591" s="1" t="s">
        <v>56</v>
      </c>
      <c r="K591" s="1">
        <v>236930342</v>
      </c>
      <c r="L591" s="1">
        <v>0</v>
      </c>
      <c r="M591" s="1">
        <v>0</v>
      </c>
      <c r="N591" s="1">
        <v>26062337.620000001</v>
      </c>
      <c r="O591" s="1">
        <v>0</v>
      </c>
      <c r="P591" s="1">
        <v>0</v>
      </c>
      <c r="Q591" s="1">
        <v>0</v>
      </c>
      <c r="R591" s="1">
        <v>262992679.62</v>
      </c>
      <c r="S591" s="1">
        <v>6900879</v>
      </c>
      <c r="T591" s="1">
        <v>2.9126193554391002</v>
      </c>
      <c r="U591" t="str">
        <f t="shared" si="9"/>
        <v>Week 4</v>
      </c>
    </row>
    <row r="592" spans="1:21" x14ac:dyDescent="0.25">
      <c r="A592" s="1">
        <v>591</v>
      </c>
      <c r="B592" s="1" t="s">
        <v>2201</v>
      </c>
      <c r="C592" s="2">
        <v>46109</v>
      </c>
      <c r="D592" s="1" t="s">
        <v>21</v>
      </c>
      <c r="E592" s="1" t="s">
        <v>22</v>
      </c>
      <c r="F592" s="1" t="s">
        <v>30</v>
      </c>
      <c r="G592" s="1" t="s">
        <v>24</v>
      </c>
      <c r="H592" s="1">
        <v>1</v>
      </c>
      <c r="I592" s="1" t="s">
        <v>2202</v>
      </c>
      <c r="J592" s="1" t="s">
        <v>26</v>
      </c>
      <c r="K592" s="1">
        <v>405720</v>
      </c>
      <c r="L592" s="1">
        <v>0</v>
      </c>
      <c r="M592" s="1">
        <v>0</v>
      </c>
      <c r="N592" s="1">
        <v>44629.2</v>
      </c>
      <c r="O592" s="1">
        <v>0</v>
      </c>
      <c r="P592" s="1">
        <v>0</v>
      </c>
      <c r="Q592" s="1">
        <v>0</v>
      </c>
      <c r="R592" s="1">
        <v>450349.2</v>
      </c>
      <c r="S592" s="1">
        <v>54220</v>
      </c>
      <c r="T592" s="1">
        <v>13.363896283151</v>
      </c>
      <c r="U592" t="str">
        <f t="shared" si="9"/>
        <v>Week 4</v>
      </c>
    </row>
    <row r="593" spans="1:21" x14ac:dyDescent="0.25">
      <c r="A593" s="1">
        <v>592</v>
      </c>
      <c r="B593" s="1" t="s">
        <v>2203</v>
      </c>
      <c r="C593" s="2">
        <v>46109</v>
      </c>
      <c r="D593" s="1" t="s">
        <v>33</v>
      </c>
      <c r="E593" s="1" t="s">
        <v>34</v>
      </c>
      <c r="F593" s="1" t="s">
        <v>30</v>
      </c>
      <c r="G593" s="1" t="s">
        <v>24</v>
      </c>
      <c r="H593" s="1">
        <v>1</v>
      </c>
      <c r="I593" s="1" t="s">
        <v>2204</v>
      </c>
      <c r="J593" s="1"/>
      <c r="K593" s="1">
        <v>64104019</v>
      </c>
      <c r="L593" s="1">
        <v>0</v>
      </c>
      <c r="M593" s="1">
        <v>0</v>
      </c>
      <c r="N593" s="1">
        <v>7051442.0899999999</v>
      </c>
      <c r="O593" s="1">
        <v>0</v>
      </c>
      <c r="P593" s="1">
        <v>0</v>
      </c>
      <c r="Q593" s="1">
        <v>0</v>
      </c>
      <c r="R593" s="1">
        <v>71155461.090000004</v>
      </c>
      <c r="S593" s="1">
        <v>-1178481</v>
      </c>
      <c r="T593" s="1">
        <v>-1.8383886351962</v>
      </c>
      <c r="U593" t="str">
        <f t="shared" si="9"/>
        <v>Week 4</v>
      </c>
    </row>
    <row r="594" spans="1:21" x14ac:dyDescent="0.25">
      <c r="A594" s="1">
        <v>593</v>
      </c>
      <c r="B594" s="1" t="s">
        <v>2205</v>
      </c>
      <c r="C594" s="2">
        <v>46109</v>
      </c>
      <c r="D594" s="1" t="s">
        <v>21</v>
      </c>
      <c r="E594" s="1" t="s">
        <v>22</v>
      </c>
      <c r="F594" s="1" t="s">
        <v>30</v>
      </c>
      <c r="G594" s="1" t="s">
        <v>24</v>
      </c>
      <c r="H594" s="1">
        <v>1</v>
      </c>
      <c r="I594" s="1" t="s">
        <v>2206</v>
      </c>
      <c r="J594" s="1" t="s">
        <v>26</v>
      </c>
      <c r="K594" s="1">
        <v>1199642.5</v>
      </c>
      <c r="L594" s="1">
        <v>0</v>
      </c>
      <c r="M594" s="1">
        <v>0</v>
      </c>
      <c r="N594" s="1">
        <v>131960.67499999999</v>
      </c>
      <c r="O594" s="1">
        <v>0</v>
      </c>
      <c r="P594" s="1">
        <v>0</v>
      </c>
      <c r="Q594" s="1">
        <v>0</v>
      </c>
      <c r="R594" s="1">
        <v>1331603.175</v>
      </c>
      <c r="S594" s="1">
        <v>380642.5</v>
      </c>
      <c r="T594" s="1">
        <v>31.729661128210999</v>
      </c>
      <c r="U594" t="str">
        <f t="shared" si="9"/>
        <v>Week 4</v>
      </c>
    </row>
    <row r="595" spans="1:21" x14ac:dyDescent="0.25">
      <c r="A595" s="1">
        <v>594</v>
      </c>
      <c r="B595" s="1" t="s">
        <v>2207</v>
      </c>
      <c r="C595" s="2">
        <v>46109</v>
      </c>
      <c r="D595" s="1" t="s">
        <v>21</v>
      </c>
      <c r="E595" s="1" t="s">
        <v>22</v>
      </c>
      <c r="F595" s="1" t="s">
        <v>30</v>
      </c>
      <c r="G595" s="1" t="s">
        <v>24</v>
      </c>
      <c r="H595" s="1">
        <v>1</v>
      </c>
      <c r="I595" s="1" t="s">
        <v>2208</v>
      </c>
      <c r="J595" s="1" t="s">
        <v>26</v>
      </c>
      <c r="K595" s="1">
        <v>94080</v>
      </c>
      <c r="L595" s="1">
        <v>0</v>
      </c>
      <c r="M595" s="1">
        <v>0</v>
      </c>
      <c r="N595" s="1">
        <v>10348.799999999999</v>
      </c>
      <c r="O595" s="1">
        <v>0</v>
      </c>
      <c r="P595" s="1">
        <v>0</v>
      </c>
      <c r="Q595" s="1">
        <v>0</v>
      </c>
      <c r="R595" s="1">
        <v>104428.8</v>
      </c>
      <c r="S595" s="1">
        <v>16080</v>
      </c>
      <c r="T595" s="1">
        <v>17.091836734693999</v>
      </c>
      <c r="U595" t="str">
        <f t="shared" si="9"/>
        <v>Week 4</v>
      </c>
    </row>
    <row r="596" spans="1:21" x14ac:dyDescent="0.25">
      <c r="A596" s="1">
        <v>595</v>
      </c>
      <c r="B596" s="1" t="s">
        <v>20</v>
      </c>
      <c r="C596" s="2">
        <v>46109</v>
      </c>
      <c r="D596" s="1" t="s">
        <v>21</v>
      </c>
      <c r="E596" s="1" t="s">
        <v>22</v>
      </c>
      <c r="F596" s="1" t="s">
        <v>23</v>
      </c>
      <c r="G596" s="1" t="s">
        <v>24</v>
      </c>
      <c r="H596" s="1">
        <v>1</v>
      </c>
      <c r="I596" s="1" t="s">
        <v>25</v>
      </c>
      <c r="J596" s="1" t="s">
        <v>26</v>
      </c>
      <c r="K596" s="1">
        <v>96470588</v>
      </c>
      <c r="L596" s="1">
        <v>0</v>
      </c>
      <c r="M596" s="1">
        <v>0</v>
      </c>
      <c r="N596" s="1">
        <v>10611764.68</v>
      </c>
      <c r="O596" s="1">
        <v>0</v>
      </c>
      <c r="P596" s="1">
        <v>0</v>
      </c>
      <c r="Q596" s="1">
        <v>0</v>
      </c>
      <c r="R596" s="1">
        <v>107082352.68000001</v>
      </c>
      <c r="S596" s="1">
        <v>14470588</v>
      </c>
      <c r="T596" s="1">
        <v>14.999999792683001</v>
      </c>
      <c r="U596" t="str">
        <f t="shared" si="9"/>
        <v>Week 4</v>
      </c>
    </row>
    <row r="597" spans="1:21" x14ac:dyDescent="0.25">
      <c r="A597" s="1">
        <v>596</v>
      </c>
      <c r="B597" s="1" t="s">
        <v>27</v>
      </c>
      <c r="C597" s="2">
        <v>46109</v>
      </c>
      <c r="D597" s="1" t="s">
        <v>28</v>
      </c>
      <c r="E597" s="1" t="s">
        <v>29</v>
      </c>
      <c r="F597" s="1" t="s">
        <v>30</v>
      </c>
      <c r="G597" s="1" t="s">
        <v>24</v>
      </c>
      <c r="H597" s="1">
        <v>1</v>
      </c>
      <c r="I597" s="1" t="s">
        <v>31</v>
      </c>
      <c r="J597" s="1"/>
      <c r="K597" s="1">
        <v>45509815</v>
      </c>
      <c r="L597" s="1">
        <v>0</v>
      </c>
      <c r="M597" s="1">
        <v>0</v>
      </c>
      <c r="N597" s="1">
        <v>5006079.6500000004</v>
      </c>
      <c r="O597" s="1">
        <v>0</v>
      </c>
      <c r="P597" s="1">
        <v>0</v>
      </c>
      <c r="Q597" s="1">
        <v>0</v>
      </c>
      <c r="R597" s="1">
        <v>50515894.649999999</v>
      </c>
      <c r="S597" s="1">
        <v>3079315</v>
      </c>
      <c r="T597" s="1">
        <v>6.7662656945539998</v>
      </c>
      <c r="U597" t="str">
        <f t="shared" si="9"/>
        <v>Week 4</v>
      </c>
    </row>
    <row r="598" spans="1:21" x14ac:dyDescent="0.25">
      <c r="A598" s="1">
        <v>597</v>
      </c>
      <c r="B598" s="1" t="s">
        <v>32</v>
      </c>
      <c r="C598" s="2">
        <v>46109</v>
      </c>
      <c r="D598" s="1" t="s">
        <v>33</v>
      </c>
      <c r="E598" s="1" t="s">
        <v>34</v>
      </c>
      <c r="F598" s="1" t="s">
        <v>30</v>
      </c>
      <c r="G598" s="1" t="s">
        <v>24</v>
      </c>
      <c r="H598" s="1">
        <v>1</v>
      </c>
      <c r="I598" s="1" t="s">
        <v>35</v>
      </c>
      <c r="J598" s="1"/>
      <c r="K598" s="1">
        <v>51845848</v>
      </c>
      <c r="L598" s="1">
        <v>0</v>
      </c>
      <c r="M598" s="1">
        <v>0</v>
      </c>
      <c r="N598" s="1">
        <v>5703043.2800000003</v>
      </c>
      <c r="O598" s="1">
        <v>0</v>
      </c>
      <c r="P598" s="1">
        <v>0</v>
      </c>
      <c r="Q598" s="1">
        <v>0</v>
      </c>
      <c r="R598" s="1">
        <v>57548891.280000001</v>
      </c>
      <c r="S598" s="1">
        <v>-1009152</v>
      </c>
      <c r="T598" s="1">
        <v>-1.9464470906136999</v>
      </c>
      <c r="U598" t="str">
        <f t="shared" si="9"/>
        <v>Week 4</v>
      </c>
    </row>
    <row r="599" spans="1:21" x14ac:dyDescent="0.25">
      <c r="A599" s="1">
        <v>598</v>
      </c>
      <c r="B599" s="1" t="s">
        <v>36</v>
      </c>
      <c r="C599" s="2">
        <v>46109</v>
      </c>
      <c r="D599" s="1" t="s">
        <v>37</v>
      </c>
      <c r="E599" s="1" t="s">
        <v>38</v>
      </c>
      <c r="F599" s="1" t="s">
        <v>30</v>
      </c>
      <c r="G599" s="1" t="s">
        <v>24</v>
      </c>
      <c r="H599" s="1">
        <v>1</v>
      </c>
      <c r="I599" s="1" t="s">
        <v>40</v>
      </c>
      <c r="J599" s="1"/>
      <c r="K599" s="1">
        <v>152880</v>
      </c>
      <c r="L599" s="1">
        <v>0</v>
      </c>
      <c r="M599" s="1">
        <v>0</v>
      </c>
      <c r="N599" s="1">
        <v>16816.8</v>
      </c>
      <c r="O599" s="1">
        <v>0</v>
      </c>
      <c r="P599" s="1">
        <v>0</v>
      </c>
      <c r="Q599" s="1">
        <v>0</v>
      </c>
      <c r="R599" s="1">
        <v>169696.8</v>
      </c>
      <c r="S599" s="1">
        <v>44880</v>
      </c>
      <c r="T599" s="1">
        <v>29.356357927786</v>
      </c>
      <c r="U599" t="str">
        <f t="shared" si="9"/>
        <v>Week 4</v>
      </c>
    </row>
    <row r="600" spans="1:21" x14ac:dyDescent="0.25">
      <c r="A600" s="1">
        <v>599</v>
      </c>
      <c r="B600" s="1" t="s">
        <v>41</v>
      </c>
      <c r="C600" s="2">
        <v>46109</v>
      </c>
      <c r="D600" s="1" t="s">
        <v>33</v>
      </c>
      <c r="E600" s="1" t="s">
        <v>34</v>
      </c>
      <c r="F600" s="1" t="s">
        <v>30</v>
      </c>
      <c r="G600" s="1" t="s">
        <v>24</v>
      </c>
      <c r="H600" s="1">
        <v>1</v>
      </c>
      <c r="I600" s="1" t="s">
        <v>42</v>
      </c>
      <c r="J600" s="1"/>
      <c r="K600" s="1">
        <v>364560</v>
      </c>
      <c r="L600" s="1">
        <v>0</v>
      </c>
      <c r="M600" s="1">
        <v>0</v>
      </c>
      <c r="N600" s="1">
        <v>40101.599999999999</v>
      </c>
      <c r="O600" s="1">
        <v>0</v>
      </c>
      <c r="P600" s="1">
        <v>0</v>
      </c>
      <c r="Q600" s="1">
        <v>0</v>
      </c>
      <c r="R600" s="1">
        <v>404661.6</v>
      </c>
      <c r="S600" s="1">
        <v>105100.54054053999</v>
      </c>
      <c r="T600" s="1">
        <v>28.829421916979999</v>
      </c>
      <c r="U600" t="str">
        <f t="shared" si="9"/>
        <v>Week 4</v>
      </c>
    </row>
    <row r="601" spans="1:21" x14ac:dyDescent="0.25">
      <c r="A601" s="1">
        <v>600</v>
      </c>
      <c r="B601" s="1" t="s">
        <v>43</v>
      </c>
      <c r="C601" s="2">
        <v>46109</v>
      </c>
      <c r="D601" s="1" t="s">
        <v>37</v>
      </c>
      <c r="E601" s="1" t="s">
        <v>38</v>
      </c>
      <c r="F601" s="1" t="s">
        <v>30</v>
      </c>
      <c r="G601" s="1" t="s">
        <v>24</v>
      </c>
      <c r="H601" s="1">
        <v>1</v>
      </c>
      <c r="I601" s="1" t="s">
        <v>44</v>
      </c>
      <c r="J601" s="1"/>
      <c r="K601" s="1">
        <v>10780000</v>
      </c>
      <c r="L601" s="1">
        <v>0</v>
      </c>
      <c r="M601" s="1">
        <v>0</v>
      </c>
      <c r="N601" s="1">
        <v>1185800</v>
      </c>
      <c r="O601" s="1">
        <v>0</v>
      </c>
      <c r="P601" s="1">
        <v>0</v>
      </c>
      <c r="Q601" s="1">
        <v>0</v>
      </c>
      <c r="R601" s="1">
        <v>11965800</v>
      </c>
      <c r="S601" s="1">
        <v>1910500</v>
      </c>
      <c r="T601" s="1">
        <v>17.722634508349</v>
      </c>
      <c r="U601" t="str">
        <f t="shared" si="9"/>
        <v>Week 4</v>
      </c>
    </row>
    <row r="602" spans="1:21" x14ac:dyDescent="0.25">
      <c r="A602" s="1">
        <v>601</v>
      </c>
      <c r="B602" s="1" t="s">
        <v>45</v>
      </c>
      <c r="C602" s="2">
        <v>46109</v>
      </c>
      <c r="D602" s="1" t="s">
        <v>33</v>
      </c>
      <c r="E602" s="1" t="s">
        <v>34</v>
      </c>
      <c r="F602" s="1" t="s">
        <v>23</v>
      </c>
      <c r="G602" s="1" t="s">
        <v>24</v>
      </c>
      <c r="H602" s="1">
        <v>1</v>
      </c>
      <c r="I602" s="1" t="s">
        <v>46</v>
      </c>
      <c r="J602" s="1"/>
      <c r="K602" s="1">
        <v>17162500</v>
      </c>
      <c r="L602" s="1">
        <v>0</v>
      </c>
      <c r="M602" s="1">
        <v>0</v>
      </c>
      <c r="N602" s="1">
        <v>1887875</v>
      </c>
      <c r="O602" s="1">
        <v>0</v>
      </c>
      <c r="P602" s="1">
        <v>0</v>
      </c>
      <c r="Q602" s="1">
        <v>0</v>
      </c>
      <c r="R602" s="1">
        <v>19050375</v>
      </c>
      <c r="S602" s="1">
        <v>4172500</v>
      </c>
      <c r="T602" s="1">
        <v>24.311726147123</v>
      </c>
      <c r="U602" t="str">
        <f t="shared" si="9"/>
        <v>Week 4</v>
      </c>
    </row>
    <row r="603" spans="1:21" x14ac:dyDescent="0.25">
      <c r="A603" s="1">
        <v>602</v>
      </c>
      <c r="B603" s="1" t="s">
        <v>48</v>
      </c>
      <c r="C603" s="2">
        <v>46108</v>
      </c>
      <c r="D603" s="1" t="s">
        <v>21</v>
      </c>
      <c r="E603" s="1" t="s">
        <v>22</v>
      </c>
      <c r="F603" s="1" t="s">
        <v>30</v>
      </c>
      <c r="G603" s="1" t="s">
        <v>24</v>
      </c>
      <c r="H603" s="1">
        <v>1</v>
      </c>
      <c r="I603" s="1" t="s">
        <v>49</v>
      </c>
      <c r="J603" s="1" t="s">
        <v>26</v>
      </c>
      <c r="K603" s="1">
        <v>484235.64</v>
      </c>
      <c r="L603" s="1">
        <v>0</v>
      </c>
      <c r="M603" s="1">
        <v>0</v>
      </c>
      <c r="N603" s="1">
        <v>53265.920400000003</v>
      </c>
      <c r="O603" s="1">
        <v>0</v>
      </c>
      <c r="P603" s="1">
        <v>0</v>
      </c>
      <c r="Q603" s="1">
        <v>0</v>
      </c>
      <c r="R603" s="1">
        <v>537501.56039999996</v>
      </c>
      <c r="S603" s="1">
        <v>78830.234594594993</v>
      </c>
      <c r="T603" s="1">
        <v>16.279312814438001</v>
      </c>
      <c r="U603" t="str">
        <f t="shared" si="9"/>
        <v>Week 4</v>
      </c>
    </row>
    <row r="604" spans="1:21" x14ac:dyDescent="0.25">
      <c r="A604" s="1">
        <v>603</v>
      </c>
      <c r="B604" s="1" t="s">
        <v>50</v>
      </c>
      <c r="C604" s="2">
        <v>46108</v>
      </c>
      <c r="D604" s="1" t="s">
        <v>21</v>
      </c>
      <c r="E604" s="1" t="s">
        <v>22</v>
      </c>
      <c r="F604" s="1" t="s">
        <v>30</v>
      </c>
      <c r="G604" s="1" t="s">
        <v>24</v>
      </c>
      <c r="H604" s="1">
        <v>1</v>
      </c>
      <c r="I604" s="1" t="s">
        <v>51</v>
      </c>
      <c r="J604" s="1" t="s">
        <v>26</v>
      </c>
      <c r="K604" s="1">
        <v>6610100</v>
      </c>
      <c r="L604" s="1">
        <v>0</v>
      </c>
      <c r="M604" s="1">
        <v>0</v>
      </c>
      <c r="N604" s="1">
        <v>727111</v>
      </c>
      <c r="O604" s="1">
        <v>0</v>
      </c>
      <c r="P604" s="1">
        <v>0</v>
      </c>
      <c r="Q604" s="1">
        <v>0</v>
      </c>
      <c r="R604" s="1">
        <v>7337211</v>
      </c>
      <c r="S604" s="1">
        <v>1418478</v>
      </c>
      <c r="T604" s="1">
        <v>21.459251751107999</v>
      </c>
      <c r="U604" t="str">
        <f t="shared" si="9"/>
        <v>Week 4</v>
      </c>
    </row>
    <row r="605" spans="1:21" x14ac:dyDescent="0.25">
      <c r="A605" s="1">
        <v>604</v>
      </c>
      <c r="B605" s="1" t="s">
        <v>52</v>
      </c>
      <c r="C605" s="2">
        <v>46108</v>
      </c>
      <c r="D605" s="1" t="s">
        <v>53</v>
      </c>
      <c r="E605" s="1" t="s">
        <v>54</v>
      </c>
      <c r="F605" s="1" t="s">
        <v>23</v>
      </c>
      <c r="G605" s="1" t="s">
        <v>24</v>
      </c>
      <c r="H605" s="1">
        <v>1</v>
      </c>
      <c r="I605" s="1" t="s">
        <v>55</v>
      </c>
      <c r="J605" s="1" t="s">
        <v>56</v>
      </c>
      <c r="K605" s="1">
        <v>515382000</v>
      </c>
      <c r="L605" s="1">
        <v>0</v>
      </c>
      <c r="M605" s="1">
        <v>0</v>
      </c>
      <c r="N605" s="1">
        <v>56692020</v>
      </c>
      <c r="O605" s="1">
        <v>0</v>
      </c>
      <c r="P605" s="1">
        <v>0</v>
      </c>
      <c r="Q605" s="1">
        <v>0</v>
      </c>
      <c r="R605" s="1">
        <v>572074020</v>
      </c>
      <c r="S605" s="1">
        <v>173552543.02724999</v>
      </c>
      <c r="T605" s="1">
        <v>33.674544905962001</v>
      </c>
      <c r="U605" t="str">
        <f t="shared" si="9"/>
        <v>Week 4</v>
      </c>
    </row>
    <row r="606" spans="1:21" x14ac:dyDescent="0.25">
      <c r="A606" s="1">
        <v>605</v>
      </c>
      <c r="B606" s="1" t="s">
        <v>57</v>
      </c>
      <c r="C606" s="2">
        <v>46108</v>
      </c>
      <c r="D606" s="1" t="s">
        <v>21</v>
      </c>
      <c r="E606" s="1" t="s">
        <v>22</v>
      </c>
      <c r="F606" s="1" t="s">
        <v>30</v>
      </c>
      <c r="G606" s="1" t="s">
        <v>24</v>
      </c>
      <c r="H606" s="1">
        <v>1</v>
      </c>
      <c r="I606" s="1" t="s">
        <v>58</v>
      </c>
      <c r="J606" s="1" t="s">
        <v>26</v>
      </c>
      <c r="K606" s="1">
        <v>2441267</v>
      </c>
      <c r="L606" s="1">
        <v>0</v>
      </c>
      <c r="M606" s="1">
        <v>0</v>
      </c>
      <c r="N606" s="1">
        <v>268539.37</v>
      </c>
      <c r="O606" s="1">
        <v>0</v>
      </c>
      <c r="P606" s="1">
        <v>0</v>
      </c>
      <c r="Q606" s="1">
        <v>0</v>
      </c>
      <c r="R606" s="1">
        <v>2709806.37</v>
      </c>
      <c r="S606" s="1">
        <v>-33850.81</v>
      </c>
      <c r="T606" s="1">
        <v>-1.3866082652983001</v>
      </c>
      <c r="U606" t="str">
        <f t="shared" si="9"/>
        <v>Week 4</v>
      </c>
    </row>
    <row r="607" spans="1:21" x14ac:dyDescent="0.25">
      <c r="A607" s="1">
        <v>606</v>
      </c>
      <c r="B607" s="1" t="s">
        <v>59</v>
      </c>
      <c r="C607" s="2">
        <v>46108</v>
      </c>
      <c r="D607" s="1" t="s">
        <v>21</v>
      </c>
      <c r="E607" s="1" t="s">
        <v>22</v>
      </c>
      <c r="F607" s="1" t="s">
        <v>30</v>
      </c>
      <c r="G607" s="1" t="s">
        <v>24</v>
      </c>
      <c r="H607" s="1">
        <v>1</v>
      </c>
      <c r="I607" s="1" t="s">
        <v>60</v>
      </c>
      <c r="J607" s="1" t="s">
        <v>26</v>
      </c>
      <c r="K607" s="1">
        <v>1386792</v>
      </c>
      <c r="L607" s="1">
        <v>0</v>
      </c>
      <c r="M607" s="1">
        <v>0</v>
      </c>
      <c r="N607" s="1">
        <v>152547.12</v>
      </c>
      <c r="O607" s="1">
        <v>0</v>
      </c>
      <c r="P607" s="1">
        <v>0</v>
      </c>
      <c r="Q607" s="1">
        <v>0</v>
      </c>
      <c r="R607" s="1">
        <v>1539339.12</v>
      </c>
      <c r="S607" s="1">
        <v>97075.44</v>
      </c>
      <c r="T607" s="1">
        <v>7</v>
      </c>
      <c r="U607" t="str">
        <f t="shared" si="9"/>
        <v>Week 4</v>
      </c>
    </row>
    <row r="608" spans="1:21" x14ac:dyDescent="0.25">
      <c r="A608" s="1">
        <v>607</v>
      </c>
      <c r="B608" s="1" t="s">
        <v>61</v>
      </c>
      <c r="C608" s="2">
        <v>46108</v>
      </c>
      <c r="D608" s="1" t="s">
        <v>53</v>
      </c>
      <c r="E608" s="1" t="s">
        <v>54</v>
      </c>
      <c r="F608" s="1" t="s">
        <v>30</v>
      </c>
      <c r="G608" s="1" t="s">
        <v>24</v>
      </c>
      <c r="H608" s="1">
        <v>1</v>
      </c>
      <c r="I608" s="1" t="s">
        <v>62</v>
      </c>
      <c r="J608" s="1"/>
      <c r="K608" s="1">
        <v>4782600</v>
      </c>
      <c r="L608" s="1">
        <v>0</v>
      </c>
      <c r="M608" s="1">
        <v>0</v>
      </c>
      <c r="N608" s="1">
        <v>526086</v>
      </c>
      <c r="O608" s="1">
        <v>0</v>
      </c>
      <c r="P608" s="1">
        <v>0</v>
      </c>
      <c r="Q608" s="1">
        <v>0</v>
      </c>
      <c r="R608" s="1">
        <v>5308686</v>
      </c>
      <c r="S608" s="1">
        <v>1031265</v>
      </c>
      <c r="T608" s="1">
        <v>21.562852841550999</v>
      </c>
      <c r="U608" t="str">
        <f t="shared" si="9"/>
        <v>Week 4</v>
      </c>
    </row>
    <row r="609" spans="1:21" x14ac:dyDescent="0.25">
      <c r="A609" s="1">
        <v>608</v>
      </c>
      <c r="B609" s="1" t="s">
        <v>63</v>
      </c>
      <c r="C609" s="2">
        <v>46108</v>
      </c>
      <c r="D609" s="1" t="s">
        <v>21</v>
      </c>
      <c r="E609" s="1" t="s">
        <v>22</v>
      </c>
      <c r="F609" s="1" t="s">
        <v>30</v>
      </c>
      <c r="G609" s="1" t="s">
        <v>24</v>
      </c>
      <c r="H609" s="1">
        <v>1</v>
      </c>
      <c r="I609" s="1" t="s">
        <v>64</v>
      </c>
      <c r="J609" s="1" t="s">
        <v>26</v>
      </c>
      <c r="K609" s="1">
        <v>7172199</v>
      </c>
      <c r="L609" s="1">
        <v>0</v>
      </c>
      <c r="M609" s="1">
        <v>0</v>
      </c>
      <c r="N609" s="1">
        <v>788941.89</v>
      </c>
      <c r="O609" s="1">
        <v>0</v>
      </c>
      <c r="P609" s="1">
        <v>0</v>
      </c>
      <c r="Q609" s="1">
        <v>0</v>
      </c>
      <c r="R609" s="1">
        <v>7961140.8899999997</v>
      </c>
      <c r="S609" s="1">
        <v>317636.55</v>
      </c>
      <c r="T609" s="1">
        <v>4.4287191417861997</v>
      </c>
      <c r="U609" t="str">
        <f t="shared" si="9"/>
        <v>Week 4</v>
      </c>
    </row>
    <row r="610" spans="1:21" x14ac:dyDescent="0.25">
      <c r="A610" s="1">
        <v>609</v>
      </c>
      <c r="B610" s="1" t="s">
        <v>65</v>
      </c>
      <c r="C610" s="2">
        <v>46108</v>
      </c>
      <c r="D610" s="1" t="s">
        <v>21</v>
      </c>
      <c r="E610" s="1" t="s">
        <v>22</v>
      </c>
      <c r="F610" s="1" t="s">
        <v>30</v>
      </c>
      <c r="G610" s="1" t="s">
        <v>24</v>
      </c>
      <c r="H610" s="1">
        <v>1</v>
      </c>
      <c r="I610" s="1" t="s">
        <v>66</v>
      </c>
      <c r="J610" s="1" t="s">
        <v>26</v>
      </c>
      <c r="K610" s="1">
        <v>6592000</v>
      </c>
      <c r="L610" s="1">
        <v>0</v>
      </c>
      <c r="M610" s="1">
        <v>0</v>
      </c>
      <c r="N610" s="1">
        <v>725120</v>
      </c>
      <c r="O610" s="1">
        <v>0</v>
      </c>
      <c r="P610" s="1">
        <v>0</v>
      </c>
      <c r="Q610" s="1">
        <v>0</v>
      </c>
      <c r="R610" s="1">
        <v>7317120</v>
      </c>
      <c r="S610" s="1">
        <v>6591998</v>
      </c>
      <c r="T610" s="1">
        <v>99.999969660193997</v>
      </c>
      <c r="U610" t="str">
        <f t="shared" si="9"/>
        <v>Week 4</v>
      </c>
    </row>
    <row r="611" spans="1:21" x14ac:dyDescent="0.25">
      <c r="A611" s="1">
        <v>610</v>
      </c>
      <c r="B611" s="1" t="s">
        <v>67</v>
      </c>
      <c r="C611" s="2">
        <v>46108</v>
      </c>
      <c r="D611" s="1" t="s">
        <v>21</v>
      </c>
      <c r="E611" s="1" t="s">
        <v>22</v>
      </c>
      <c r="F611" s="1" t="s">
        <v>30</v>
      </c>
      <c r="G611" s="1" t="s">
        <v>24</v>
      </c>
      <c r="H611" s="1">
        <v>1</v>
      </c>
      <c r="I611" s="1" t="s">
        <v>68</v>
      </c>
      <c r="J611" s="1" t="s">
        <v>26</v>
      </c>
      <c r="K611" s="1">
        <v>9548070</v>
      </c>
      <c r="L611" s="1">
        <v>0</v>
      </c>
      <c r="M611" s="1">
        <v>0</v>
      </c>
      <c r="N611" s="1">
        <v>1050287.7</v>
      </c>
      <c r="O611" s="1">
        <v>0</v>
      </c>
      <c r="P611" s="1">
        <v>0</v>
      </c>
      <c r="Q611" s="1">
        <v>0</v>
      </c>
      <c r="R611" s="1">
        <v>10598357.699999999</v>
      </c>
      <c r="S611" s="1">
        <v>153731.4</v>
      </c>
      <c r="T611" s="1">
        <v>1.6100782671261999</v>
      </c>
      <c r="U611" t="str">
        <f t="shared" si="9"/>
        <v>Week 4</v>
      </c>
    </row>
    <row r="612" spans="1:21" x14ac:dyDescent="0.25">
      <c r="A612" s="1">
        <v>611</v>
      </c>
      <c r="B612" s="1" t="s">
        <v>69</v>
      </c>
      <c r="C612" s="2">
        <v>46108</v>
      </c>
      <c r="D612" s="1" t="s">
        <v>37</v>
      </c>
      <c r="E612" s="1" t="s">
        <v>38</v>
      </c>
      <c r="F612" s="1" t="s">
        <v>30</v>
      </c>
      <c r="G612" s="1" t="s">
        <v>24</v>
      </c>
      <c r="H612" s="1">
        <v>1</v>
      </c>
      <c r="I612" s="1" t="s">
        <v>70</v>
      </c>
      <c r="J612" s="1"/>
      <c r="K612" s="1">
        <v>180000000</v>
      </c>
      <c r="L612" s="1">
        <v>0</v>
      </c>
      <c r="M612" s="1">
        <v>0</v>
      </c>
      <c r="N612" s="1">
        <v>19800000</v>
      </c>
      <c r="O612" s="1">
        <v>0</v>
      </c>
      <c r="P612" s="1">
        <v>0</v>
      </c>
      <c r="Q612" s="1">
        <v>0</v>
      </c>
      <c r="R612" s="1">
        <v>199800000</v>
      </c>
      <c r="S612" s="1">
        <v>10000000</v>
      </c>
      <c r="T612" s="1">
        <v>5.5555555555555998</v>
      </c>
      <c r="U612" t="str">
        <f t="shared" si="9"/>
        <v>Week 4</v>
      </c>
    </row>
    <row r="613" spans="1:21" x14ac:dyDescent="0.25">
      <c r="A613" s="1">
        <v>612</v>
      </c>
      <c r="B613" s="1" t="s">
        <v>71</v>
      </c>
      <c r="C613" s="2">
        <v>46108</v>
      </c>
      <c r="D613" s="1" t="s">
        <v>21</v>
      </c>
      <c r="E613" s="1" t="s">
        <v>22</v>
      </c>
      <c r="F613" s="1" t="s">
        <v>30</v>
      </c>
      <c r="G613" s="1" t="s">
        <v>24</v>
      </c>
      <c r="H613" s="1">
        <v>1</v>
      </c>
      <c r="I613" s="1" t="s">
        <v>72</v>
      </c>
      <c r="J613" s="1"/>
      <c r="K613" s="1">
        <v>15544820.76</v>
      </c>
      <c r="L613" s="1">
        <v>0</v>
      </c>
      <c r="M613" s="1">
        <v>0</v>
      </c>
      <c r="N613" s="1">
        <v>1709930.2836</v>
      </c>
      <c r="O613" s="1">
        <v>0</v>
      </c>
      <c r="P613" s="1">
        <v>0</v>
      </c>
      <c r="Q613" s="1">
        <v>0</v>
      </c>
      <c r="R613" s="1">
        <v>17254751.0436</v>
      </c>
      <c r="S613" s="1">
        <v>4421768.9230631003</v>
      </c>
      <c r="T613" s="1">
        <v>28.445287284631998</v>
      </c>
      <c r="U613" t="str">
        <f t="shared" si="9"/>
        <v>Week 4</v>
      </c>
    </row>
    <row r="614" spans="1:21" x14ac:dyDescent="0.25">
      <c r="A614" s="1">
        <v>613</v>
      </c>
      <c r="B614" s="1" t="s">
        <v>73</v>
      </c>
      <c r="C614" s="2">
        <v>46108</v>
      </c>
      <c r="D614" s="1" t="s">
        <v>53</v>
      </c>
      <c r="E614" s="1" t="s">
        <v>54</v>
      </c>
      <c r="F614" s="1" t="s">
        <v>30</v>
      </c>
      <c r="G614" s="1" t="s">
        <v>24</v>
      </c>
      <c r="H614" s="1">
        <v>1</v>
      </c>
      <c r="I614" s="1" t="s">
        <v>74</v>
      </c>
      <c r="J614" s="1"/>
      <c r="K614" s="1">
        <v>731902</v>
      </c>
      <c r="L614" s="1">
        <v>0</v>
      </c>
      <c r="M614" s="1">
        <v>0</v>
      </c>
      <c r="N614" s="1">
        <v>80509.22</v>
      </c>
      <c r="O614" s="1">
        <v>0</v>
      </c>
      <c r="P614" s="1">
        <v>0</v>
      </c>
      <c r="Q614" s="1">
        <v>0</v>
      </c>
      <c r="R614" s="1">
        <v>812411.22</v>
      </c>
      <c r="S614" s="1">
        <v>220884</v>
      </c>
      <c r="T614" s="1">
        <v>30.179450254269</v>
      </c>
      <c r="U614" t="str">
        <f t="shared" si="9"/>
        <v>Week 4</v>
      </c>
    </row>
    <row r="615" spans="1:21" x14ac:dyDescent="0.25">
      <c r="A615" s="1">
        <v>614</v>
      </c>
      <c r="B615" s="1" t="s">
        <v>75</v>
      </c>
      <c r="C615" s="2">
        <v>46108</v>
      </c>
      <c r="D615" s="1" t="s">
        <v>53</v>
      </c>
      <c r="E615" s="1" t="s">
        <v>54</v>
      </c>
      <c r="F615" s="1" t="s">
        <v>23</v>
      </c>
      <c r="G615" s="1" t="s">
        <v>24</v>
      </c>
      <c r="H615" s="1">
        <v>1</v>
      </c>
      <c r="I615" s="1" t="s">
        <v>76</v>
      </c>
      <c r="J615" s="1"/>
      <c r="K615" s="1">
        <v>18540</v>
      </c>
      <c r="L615" s="1">
        <v>0</v>
      </c>
      <c r="M615" s="1">
        <v>0</v>
      </c>
      <c r="N615" s="1">
        <v>2039.4</v>
      </c>
      <c r="O615" s="1">
        <v>0</v>
      </c>
      <c r="P615" s="1">
        <v>0</v>
      </c>
      <c r="Q615" s="1">
        <v>0</v>
      </c>
      <c r="R615" s="1">
        <v>20579.400000000001</v>
      </c>
      <c r="S615" s="1">
        <v>9040</v>
      </c>
      <c r="T615" s="1">
        <v>48.759439050700998</v>
      </c>
      <c r="U615" t="str">
        <f t="shared" si="9"/>
        <v>Week 4</v>
      </c>
    </row>
    <row r="616" spans="1:21" x14ac:dyDescent="0.25">
      <c r="A616" s="1">
        <v>615</v>
      </c>
      <c r="B616" s="1" t="s">
        <v>77</v>
      </c>
      <c r="C616" s="2">
        <v>46108</v>
      </c>
      <c r="D616" s="1" t="s">
        <v>33</v>
      </c>
      <c r="E616" s="1" t="s">
        <v>38</v>
      </c>
      <c r="F616" s="1" t="s">
        <v>23</v>
      </c>
      <c r="G616" s="1" t="s">
        <v>24</v>
      </c>
      <c r="H616" s="1">
        <v>1</v>
      </c>
      <c r="I616" s="1" t="s">
        <v>78</v>
      </c>
      <c r="J616" s="1" t="s">
        <v>26</v>
      </c>
      <c r="K616" s="1">
        <v>24700000</v>
      </c>
      <c r="L616" s="1">
        <v>0</v>
      </c>
      <c r="M616" s="1">
        <v>0</v>
      </c>
      <c r="N616" s="1">
        <v>2717000</v>
      </c>
      <c r="O616" s="1">
        <v>0</v>
      </c>
      <c r="P616" s="1">
        <v>0</v>
      </c>
      <c r="Q616" s="1">
        <v>0</v>
      </c>
      <c r="R616" s="1">
        <v>27417000</v>
      </c>
      <c r="S616" s="1">
        <v>5440000</v>
      </c>
      <c r="T616" s="1">
        <v>22.024291497976002</v>
      </c>
      <c r="U616" t="str">
        <f t="shared" si="9"/>
        <v>Week 4</v>
      </c>
    </row>
    <row r="617" spans="1:21" x14ac:dyDescent="0.25">
      <c r="A617" s="1">
        <v>616</v>
      </c>
      <c r="B617" s="1" t="s">
        <v>79</v>
      </c>
      <c r="C617" s="2">
        <v>46108</v>
      </c>
      <c r="D617" s="1" t="s">
        <v>53</v>
      </c>
      <c r="E617" s="1" t="s">
        <v>54</v>
      </c>
      <c r="F617" s="1" t="s">
        <v>30</v>
      </c>
      <c r="G617" s="1" t="s">
        <v>24</v>
      </c>
      <c r="H617" s="1">
        <v>1</v>
      </c>
      <c r="I617" s="1" t="s">
        <v>80</v>
      </c>
      <c r="J617" s="1"/>
      <c r="K617" s="1">
        <v>769700</v>
      </c>
      <c r="L617" s="1">
        <v>0</v>
      </c>
      <c r="M617" s="1">
        <v>0</v>
      </c>
      <c r="N617" s="1">
        <v>84667</v>
      </c>
      <c r="O617" s="1">
        <v>0</v>
      </c>
      <c r="P617" s="1">
        <v>0</v>
      </c>
      <c r="Q617" s="1">
        <v>0</v>
      </c>
      <c r="R617" s="1">
        <v>854367</v>
      </c>
      <c r="S617" s="1">
        <v>109200</v>
      </c>
      <c r="T617" s="1">
        <v>14.187345719111001</v>
      </c>
      <c r="U617" t="str">
        <f t="shared" si="9"/>
        <v>Week 4</v>
      </c>
    </row>
    <row r="618" spans="1:21" x14ac:dyDescent="0.25">
      <c r="A618" s="1">
        <v>617</v>
      </c>
      <c r="B618" s="1" t="s">
        <v>81</v>
      </c>
      <c r="C618" s="2">
        <v>46108</v>
      </c>
      <c r="D618" s="1" t="s">
        <v>53</v>
      </c>
      <c r="E618" s="1" t="s">
        <v>54</v>
      </c>
      <c r="F618" s="1" t="s">
        <v>30</v>
      </c>
      <c r="G618" s="1" t="s">
        <v>24</v>
      </c>
      <c r="H618" s="1">
        <v>1</v>
      </c>
      <c r="I618" s="1" t="s">
        <v>82</v>
      </c>
      <c r="J618" s="1"/>
      <c r="K618" s="1">
        <v>16995000</v>
      </c>
      <c r="L618" s="1">
        <v>0</v>
      </c>
      <c r="M618" s="1">
        <v>0</v>
      </c>
      <c r="N618" s="1">
        <v>1869450</v>
      </c>
      <c r="O618" s="1">
        <v>0</v>
      </c>
      <c r="P618" s="1">
        <v>0</v>
      </c>
      <c r="Q618" s="1">
        <v>0</v>
      </c>
      <c r="R618" s="1">
        <v>18864450</v>
      </c>
      <c r="S618" s="1">
        <v>2595000</v>
      </c>
      <c r="T618" s="1">
        <v>15.269196822594999</v>
      </c>
      <c r="U618" t="str">
        <f t="shared" si="9"/>
        <v>Week 4</v>
      </c>
    </row>
    <row r="619" spans="1:21" x14ac:dyDescent="0.25">
      <c r="A619" s="1">
        <v>618</v>
      </c>
      <c r="B619" s="1" t="s">
        <v>83</v>
      </c>
      <c r="C619" s="2">
        <v>46108</v>
      </c>
      <c r="D619" s="1" t="s">
        <v>53</v>
      </c>
      <c r="E619" s="1" t="s">
        <v>54</v>
      </c>
      <c r="F619" s="1" t="s">
        <v>30</v>
      </c>
      <c r="G619" s="1" t="s">
        <v>24</v>
      </c>
      <c r="H619" s="1">
        <v>1</v>
      </c>
      <c r="I619" s="1" t="s">
        <v>84</v>
      </c>
      <c r="J619" s="1"/>
      <c r="K619" s="1">
        <v>11268200</v>
      </c>
      <c r="L619" s="1">
        <v>0</v>
      </c>
      <c r="M619" s="1">
        <v>0</v>
      </c>
      <c r="N619" s="1">
        <v>1239502</v>
      </c>
      <c r="O619" s="1">
        <v>0</v>
      </c>
      <c r="P619" s="1">
        <v>0</v>
      </c>
      <c r="Q619" s="1">
        <v>0</v>
      </c>
      <c r="R619" s="1">
        <v>12507702</v>
      </c>
      <c r="S619" s="1">
        <v>1068200</v>
      </c>
      <c r="T619" s="1">
        <v>9.4797749418717991</v>
      </c>
      <c r="U619" t="str">
        <f t="shared" si="9"/>
        <v>Week 4</v>
      </c>
    </row>
    <row r="620" spans="1:21" x14ac:dyDescent="0.25">
      <c r="A620" s="1">
        <v>619</v>
      </c>
      <c r="B620" s="1" t="s">
        <v>85</v>
      </c>
      <c r="C620" s="2">
        <v>46107</v>
      </c>
      <c r="D620" s="1" t="s">
        <v>33</v>
      </c>
      <c r="E620" s="1" t="s">
        <v>38</v>
      </c>
      <c r="F620" s="1" t="s">
        <v>23</v>
      </c>
      <c r="G620" s="1" t="s">
        <v>24</v>
      </c>
      <c r="H620" s="1">
        <v>1</v>
      </c>
      <c r="I620" s="1" t="s">
        <v>86</v>
      </c>
      <c r="J620" s="1" t="s">
        <v>26</v>
      </c>
      <c r="K620" s="1">
        <v>38714735</v>
      </c>
      <c r="L620" s="1">
        <v>0</v>
      </c>
      <c r="M620" s="1">
        <v>0</v>
      </c>
      <c r="N620" s="1">
        <v>4258620.8499999996</v>
      </c>
      <c r="O620" s="1">
        <v>0</v>
      </c>
      <c r="P620" s="1">
        <v>0</v>
      </c>
      <c r="Q620" s="1">
        <v>0</v>
      </c>
      <c r="R620" s="1">
        <v>42973355.850000001</v>
      </c>
      <c r="S620" s="1">
        <v>11748312.48</v>
      </c>
      <c r="T620" s="1">
        <v>30.345842429246002</v>
      </c>
      <c r="U620" t="str">
        <f t="shared" si="9"/>
        <v>Week 4</v>
      </c>
    </row>
    <row r="621" spans="1:21" x14ac:dyDescent="0.25">
      <c r="A621" s="1">
        <v>620</v>
      </c>
      <c r="B621" s="1" t="s">
        <v>87</v>
      </c>
      <c r="C621" s="2">
        <v>46107</v>
      </c>
      <c r="D621" s="1" t="s">
        <v>33</v>
      </c>
      <c r="E621" s="1" t="s">
        <v>34</v>
      </c>
      <c r="F621" s="1" t="s">
        <v>30</v>
      </c>
      <c r="G621" s="1" t="s">
        <v>24</v>
      </c>
      <c r="H621" s="1">
        <v>1</v>
      </c>
      <c r="I621" s="1" t="s">
        <v>88</v>
      </c>
      <c r="J621" s="1"/>
      <c r="K621" s="1">
        <v>7181517</v>
      </c>
      <c r="L621" s="1">
        <v>0</v>
      </c>
      <c r="M621" s="1">
        <v>0</v>
      </c>
      <c r="N621" s="1">
        <v>789966.87</v>
      </c>
      <c r="O621" s="1">
        <v>0</v>
      </c>
      <c r="P621" s="1">
        <v>0</v>
      </c>
      <c r="Q621" s="1">
        <v>0</v>
      </c>
      <c r="R621" s="1">
        <v>7971483.8700000001</v>
      </c>
      <c r="S621" s="1">
        <v>2449838.5</v>
      </c>
      <c r="T621" s="1">
        <v>34.113105907845998</v>
      </c>
      <c r="U621" t="str">
        <f t="shared" si="9"/>
        <v>Week 4</v>
      </c>
    </row>
    <row r="622" spans="1:21" x14ac:dyDescent="0.25">
      <c r="A622" s="1">
        <v>621</v>
      </c>
      <c r="B622" s="1" t="s">
        <v>89</v>
      </c>
      <c r="C622" s="2">
        <v>46107</v>
      </c>
      <c r="D622" s="1" t="s">
        <v>21</v>
      </c>
      <c r="E622" s="1" t="s">
        <v>54</v>
      </c>
      <c r="F622" s="1" t="s">
        <v>30</v>
      </c>
      <c r="G622" s="1" t="s">
        <v>24</v>
      </c>
      <c r="H622" s="1">
        <v>1</v>
      </c>
      <c r="I622" s="1" t="s">
        <v>90</v>
      </c>
      <c r="J622" s="1"/>
      <c r="K622" s="1">
        <v>1232312400</v>
      </c>
      <c r="L622" s="1">
        <v>0</v>
      </c>
      <c r="M622" s="1">
        <v>0</v>
      </c>
      <c r="N622" s="1">
        <v>135554364</v>
      </c>
      <c r="O622" s="1">
        <v>0</v>
      </c>
      <c r="P622" s="1">
        <v>0</v>
      </c>
      <c r="Q622" s="1">
        <v>0</v>
      </c>
      <c r="R622" s="1">
        <v>1367866764</v>
      </c>
      <c r="S622" s="1">
        <v>444954100.80000001</v>
      </c>
      <c r="T622" s="1">
        <v>36.107248519126003</v>
      </c>
      <c r="U622" t="str">
        <f t="shared" si="9"/>
        <v>Week 4</v>
      </c>
    </row>
    <row r="623" spans="1:21" x14ac:dyDescent="0.25">
      <c r="A623" s="1">
        <v>622</v>
      </c>
      <c r="B623" s="1" t="s">
        <v>91</v>
      </c>
      <c r="C623" s="2">
        <v>46107</v>
      </c>
      <c r="D623" s="1" t="s">
        <v>53</v>
      </c>
      <c r="E623" s="1" t="s">
        <v>54</v>
      </c>
      <c r="F623" s="1" t="s">
        <v>30</v>
      </c>
      <c r="G623" s="1" t="s">
        <v>24</v>
      </c>
      <c r="H623" s="1">
        <v>1</v>
      </c>
      <c r="I623" s="1" t="s">
        <v>92</v>
      </c>
      <c r="J623" s="1"/>
      <c r="K623" s="1">
        <v>8148131.5999999996</v>
      </c>
      <c r="L623" s="1">
        <v>0</v>
      </c>
      <c r="M623" s="1">
        <v>0</v>
      </c>
      <c r="N623" s="1">
        <v>896294.47600000002</v>
      </c>
      <c r="O623" s="1">
        <v>0</v>
      </c>
      <c r="P623" s="1">
        <v>0</v>
      </c>
      <c r="Q623" s="1">
        <v>0</v>
      </c>
      <c r="R623" s="1">
        <v>9044426.0759999994</v>
      </c>
      <c r="S623" s="1">
        <v>1279127.5984985</v>
      </c>
      <c r="T623" s="1">
        <v>15.698416045447001</v>
      </c>
      <c r="U623" t="str">
        <f t="shared" si="9"/>
        <v>Week 4</v>
      </c>
    </row>
    <row r="624" spans="1:21" x14ac:dyDescent="0.25">
      <c r="A624" s="1">
        <v>623</v>
      </c>
      <c r="B624" s="1" t="s">
        <v>93</v>
      </c>
      <c r="C624" s="2">
        <v>46107</v>
      </c>
      <c r="D624" s="1" t="s">
        <v>37</v>
      </c>
      <c r="E624" s="1" t="s">
        <v>38</v>
      </c>
      <c r="F624" s="1" t="s">
        <v>30</v>
      </c>
      <c r="G624" s="1" t="s">
        <v>24</v>
      </c>
      <c r="H624" s="1">
        <v>1</v>
      </c>
      <c r="I624" s="1" t="s">
        <v>94</v>
      </c>
      <c r="J624" s="1"/>
      <c r="K624" s="1">
        <v>18552380</v>
      </c>
      <c r="L624" s="1">
        <v>0</v>
      </c>
      <c r="M624" s="1">
        <v>0</v>
      </c>
      <c r="N624" s="1">
        <v>2040761.8</v>
      </c>
      <c r="O624" s="1">
        <v>0</v>
      </c>
      <c r="P624" s="1">
        <v>0</v>
      </c>
      <c r="Q624" s="1">
        <v>0</v>
      </c>
      <c r="R624" s="1">
        <v>20593141.800000001</v>
      </c>
      <c r="S624" s="1">
        <v>7781321.7074776003</v>
      </c>
      <c r="T624" s="1">
        <v>41.942444621539998</v>
      </c>
      <c r="U624" t="str">
        <f t="shared" si="9"/>
        <v>Week 4</v>
      </c>
    </row>
    <row r="625" spans="1:21" x14ac:dyDescent="0.25">
      <c r="A625" s="1">
        <v>624</v>
      </c>
      <c r="B625" s="1" t="s">
        <v>95</v>
      </c>
      <c r="C625" s="2">
        <v>46107</v>
      </c>
      <c r="D625" s="1" t="s">
        <v>53</v>
      </c>
      <c r="E625" s="1" t="s">
        <v>54</v>
      </c>
      <c r="F625" s="1" t="s">
        <v>30</v>
      </c>
      <c r="G625" s="1" t="s">
        <v>24</v>
      </c>
      <c r="H625" s="1">
        <v>1</v>
      </c>
      <c r="I625" s="1" t="s">
        <v>96</v>
      </c>
      <c r="J625" s="1"/>
      <c r="K625" s="1">
        <v>10194567</v>
      </c>
      <c r="L625" s="1">
        <v>0</v>
      </c>
      <c r="M625" s="1">
        <v>0</v>
      </c>
      <c r="N625" s="1">
        <v>1121402.3700000001</v>
      </c>
      <c r="O625" s="1">
        <v>0</v>
      </c>
      <c r="P625" s="1">
        <v>0</v>
      </c>
      <c r="Q625" s="1">
        <v>0</v>
      </c>
      <c r="R625" s="1">
        <v>11315969.369999999</v>
      </c>
      <c r="S625" s="1">
        <v>-194107</v>
      </c>
      <c r="T625" s="1">
        <v>-1.9040239766927001</v>
      </c>
      <c r="U625" t="str">
        <f t="shared" si="9"/>
        <v>Week 4</v>
      </c>
    </row>
    <row r="626" spans="1:21" x14ac:dyDescent="0.25">
      <c r="A626" s="1">
        <v>625</v>
      </c>
      <c r="B626" s="1" t="s">
        <v>97</v>
      </c>
      <c r="C626" s="2">
        <v>46107</v>
      </c>
      <c r="D626" s="1" t="s">
        <v>98</v>
      </c>
      <c r="E626" s="1" t="s">
        <v>99</v>
      </c>
      <c r="F626" s="1" t="s">
        <v>30</v>
      </c>
      <c r="G626" s="1" t="s">
        <v>24</v>
      </c>
      <c r="H626" s="1">
        <v>1</v>
      </c>
      <c r="I626" s="1" t="s">
        <v>100</v>
      </c>
      <c r="J626" s="1"/>
      <c r="K626" s="1">
        <v>9690240</v>
      </c>
      <c r="L626" s="1">
        <v>0</v>
      </c>
      <c r="M626" s="1">
        <v>0</v>
      </c>
      <c r="N626" s="1">
        <v>1065926.3999999999</v>
      </c>
      <c r="O626" s="1">
        <v>0</v>
      </c>
      <c r="P626" s="1">
        <v>0</v>
      </c>
      <c r="Q626" s="1">
        <v>0</v>
      </c>
      <c r="R626" s="1">
        <v>10756166.4</v>
      </c>
      <c r="S626" s="1">
        <v>1126240</v>
      </c>
      <c r="T626" s="1">
        <v>11.622415956674001</v>
      </c>
      <c r="U626" t="str">
        <f t="shared" si="9"/>
        <v>Week 4</v>
      </c>
    </row>
    <row r="627" spans="1:21" x14ac:dyDescent="0.25">
      <c r="A627" s="1">
        <v>626</v>
      </c>
      <c r="B627" s="1" t="s">
        <v>101</v>
      </c>
      <c r="C627" s="2">
        <v>46107</v>
      </c>
      <c r="D627" s="1" t="s">
        <v>53</v>
      </c>
      <c r="E627" s="1" t="s">
        <v>54</v>
      </c>
      <c r="F627" s="1" t="s">
        <v>23</v>
      </c>
      <c r="G627" s="1" t="s">
        <v>24</v>
      </c>
      <c r="H627" s="1">
        <v>1</v>
      </c>
      <c r="I627" s="1" t="s">
        <v>102</v>
      </c>
      <c r="J627" s="1"/>
      <c r="K627" s="1">
        <v>1191287.5</v>
      </c>
      <c r="L627" s="1">
        <v>0</v>
      </c>
      <c r="M627" s="1">
        <v>0</v>
      </c>
      <c r="N627" s="1">
        <v>131041.625</v>
      </c>
      <c r="O627" s="1">
        <v>0</v>
      </c>
      <c r="P627" s="1">
        <v>0</v>
      </c>
      <c r="Q627" s="1">
        <v>0</v>
      </c>
      <c r="R627" s="1">
        <v>1322329.125</v>
      </c>
      <c r="S627" s="1">
        <v>90787.5</v>
      </c>
      <c r="T627" s="1">
        <v>7.6209563182690996</v>
      </c>
      <c r="U627" t="str">
        <f t="shared" si="9"/>
        <v>Week 4</v>
      </c>
    </row>
    <row r="628" spans="1:21" x14ac:dyDescent="0.25">
      <c r="A628" s="1">
        <v>627</v>
      </c>
      <c r="B628" s="1" t="s">
        <v>103</v>
      </c>
      <c r="C628" s="2">
        <v>46107</v>
      </c>
      <c r="D628" s="1" t="s">
        <v>33</v>
      </c>
      <c r="E628" s="1" t="s">
        <v>34</v>
      </c>
      <c r="F628" s="1" t="s">
        <v>30</v>
      </c>
      <c r="G628" s="1" t="s">
        <v>24</v>
      </c>
      <c r="H628" s="1">
        <v>1</v>
      </c>
      <c r="I628" s="1" t="s">
        <v>104</v>
      </c>
      <c r="J628" s="1"/>
      <c r="K628" s="1">
        <v>9317000</v>
      </c>
      <c r="L628" s="1">
        <v>0</v>
      </c>
      <c r="M628" s="1">
        <v>0</v>
      </c>
      <c r="N628" s="1">
        <v>1024870</v>
      </c>
      <c r="O628" s="1">
        <v>0</v>
      </c>
      <c r="P628" s="1">
        <v>0</v>
      </c>
      <c r="Q628" s="1">
        <v>0</v>
      </c>
      <c r="R628" s="1">
        <v>10341870</v>
      </c>
      <c r="S628" s="1">
        <v>1015770</v>
      </c>
      <c r="T628" s="1">
        <v>10.902329075882999</v>
      </c>
      <c r="U628" t="str">
        <f t="shared" si="9"/>
        <v>Week 4</v>
      </c>
    </row>
    <row r="629" spans="1:21" x14ac:dyDescent="0.25">
      <c r="A629" s="1">
        <v>628</v>
      </c>
      <c r="B629" s="1" t="s">
        <v>105</v>
      </c>
      <c r="C629" s="2">
        <v>46107</v>
      </c>
      <c r="D629" s="1" t="s">
        <v>37</v>
      </c>
      <c r="E629" s="1" t="s">
        <v>38</v>
      </c>
      <c r="F629" s="1" t="s">
        <v>30</v>
      </c>
      <c r="G629" s="1" t="s">
        <v>24</v>
      </c>
      <c r="H629" s="1">
        <v>1</v>
      </c>
      <c r="I629" s="1" t="s">
        <v>106</v>
      </c>
      <c r="J629" s="1"/>
      <c r="K629" s="1">
        <v>4425036</v>
      </c>
      <c r="L629" s="1">
        <v>0</v>
      </c>
      <c r="M629" s="1">
        <v>0</v>
      </c>
      <c r="N629" s="1">
        <v>486753.96</v>
      </c>
      <c r="O629" s="1">
        <v>0</v>
      </c>
      <c r="P629" s="1">
        <v>0</v>
      </c>
      <c r="Q629" s="1">
        <v>0</v>
      </c>
      <c r="R629" s="1">
        <v>4911789.96</v>
      </c>
      <c r="S629" s="1">
        <v>1506118</v>
      </c>
      <c r="T629" s="1">
        <v>34.036288066357002</v>
      </c>
      <c r="U629" t="str">
        <f t="shared" si="9"/>
        <v>Week 4</v>
      </c>
    </row>
    <row r="630" spans="1:21" x14ac:dyDescent="0.25">
      <c r="A630" s="1">
        <v>629</v>
      </c>
      <c r="B630" s="1" t="s">
        <v>107</v>
      </c>
      <c r="C630" s="2">
        <v>46107</v>
      </c>
      <c r="D630" s="1" t="s">
        <v>37</v>
      </c>
      <c r="E630" s="1" t="s">
        <v>38</v>
      </c>
      <c r="F630" s="1" t="s">
        <v>23</v>
      </c>
      <c r="G630" s="1" t="s">
        <v>24</v>
      </c>
      <c r="H630" s="1">
        <v>1</v>
      </c>
      <c r="I630" s="1" t="s">
        <v>108</v>
      </c>
      <c r="J630" s="1" t="s">
        <v>26</v>
      </c>
      <c r="K630" s="1">
        <v>2790000</v>
      </c>
      <c r="L630" s="1">
        <v>0</v>
      </c>
      <c r="M630" s="1">
        <v>0</v>
      </c>
      <c r="N630" s="1">
        <v>306900</v>
      </c>
      <c r="O630" s="1">
        <v>0</v>
      </c>
      <c r="P630" s="1">
        <v>0</v>
      </c>
      <c r="Q630" s="1">
        <v>0</v>
      </c>
      <c r="R630" s="1">
        <v>3096900</v>
      </c>
      <c r="S630" s="1">
        <v>1206000</v>
      </c>
      <c r="T630" s="1">
        <v>43.225806451613003</v>
      </c>
      <c r="U630" t="str">
        <f t="shared" si="9"/>
        <v>Week 4</v>
      </c>
    </row>
    <row r="631" spans="1:21" x14ac:dyDescent="0.25">
      <c r="A631" s="1">
        <v>630</v>
      </c>
      <c r="B631" s="1" t="s">
        <v>109</v>
      </c>
      <c r="C631" s="2">
        <v>46107</v>
      </c>
      <c r="D631" s="1" t="s">
        <v>53</v>
      </c>
      <c r="E631" s="1" t="s">
        <v>54</v>
      </c>
      <c r="F631" s="1" t="s">
        <v>30</v>
      </c>
      <c r="G631" s="1" t="s">
        <v>24</v>
      </c>
      <c r="H631" s="1">
        <v>1</v>
      </c>
      <c r="I631" s="1" t="s">
        <v>110</v>
      </c>
      <c r="J631" s="1"/>
      <c r="K631" s="1">
        <v>164053630</v>
      </c>
      <c r="L631" s="1">
        <v>0</v>
      </c>
      <c r="M631" s="1">
        <v>0</v>
      </c>
      <c r="N631" s="1">
        <v>18045899.300000001</v>
      </c>
      <c r="O631" s="1">
        <v>0</v>
      </c>
      <c r="P631" s="1">
        <v>0</v>
      </c>
      <c r="Q631" s="1">
        <v>0</v>
      </c>
      <c r="R631" s="1">
        <v>182099529.30000001</v>
      </c>
      <c r="S631" s="1">
        <v>-147770</v>
      </c>
      <c r="T631" s="1">
        <v>-9.0074203173682005E-2</v>
      </c>
      <c r="U631" t="str">
        <f t="shared" si="9"/>
        <v>Week 4</v>
      </c>
    </row>
    <row r="632" spans="1:21" x14ac:dyDescent="0.25">
      <c r="A632" s="1">
        <v>631</v>
      </c>
      <c r="B632" s="1" t="s">
        <v>111</v>
      </c>
      <c r="C632" s="2">
        <v>46106</v>
      </c>
      <c r="D632" s="1" t="s">
        <v>112</v>
      </c>
      <c r="E632" s="1" t="s">
        <v>38</v>
      </c>
      <c r="F632" s="1" t="s">
        <v>30</v>
      </c>
      <c r="G632" s="1" t="s">
        <v>24</v>
      </c>
      <c r="H632" s="1">
        <v>1</v>
      </c>
      <c r="I632" s="1" t="s">
        <v>113</v>
      </c>
      <c r="J632" s="1"/>
      <c r="K632" s="1">
        <v>14945000</v>
      </c>
      <c r="L632" s="1">
        <v>0</v>
      </c>
      <c r="M632" s="1">
        <v>0</v>
      </c>
      <c r="N632" s="1">
        <v>1643950</v>
      </c>
      <c r="O632" s="1">
        <v>0</v>
      </c>
      <c r="P632" s="1">
        <v>0</v>
      </c>
      <c r="Q632" s="1">
        <v>0</v>
      </c>
      <c r="R632" s="1">
        <v>16588950</v>
      </c>
      <c r="S632" s="1">
        <v>448350</v>
      </c>
      <c r="T632" s="1">
        <v>3</v>
      </c>
      <c r="U632" t="str">
        <f t="shared" si="9"/>
        <v>Week 4</v>
      </c>
    </row>
    <row r="633" spans="1:21" x14ac:dyDescent="0.25">
      <c r="A633" s="1">
        <v>632</v>
      </c>
      <c r="B633" s="1" t="s">
        <v>114</v>
      </c>
      <c r="C633" s="2">
        <v>46106</v>
      </c>
      <c r="D633" s="1" t="s">
        <v>115</v>
      </c>
      <c r="E633" s="1" t="s">
        <v>116</v>
      </c>
      <c r="F633" s="1" t="s">
        <v>30</v>
      </c>
      <c r="G633" s="1" t="s">
        <v>24</v>
      </c>
      <c r="H633" s="1">
        <v>1</v>
      </c>
      <c r="I633" s="1" t="s">
        <v>2734</v>
      </c>
      <c r="J633" s="1" t="s">
        <v>56</v>
      </c>
      <c r="K633" s="1">
        <v>98920676</v>
      </c>
      <c r="L633" s="1">
        <v>0</v>
      </c>
      <c r="M633" s="1">
        <v>0</v>
      </c>
      <c r="N633" s="1">
        <v>10881274.359999999</v>
      </c>
      <c r="O633" s="1">
        <v>0</v>
      </c>
      <c r="P633" s="1">
        <v>0</v>
      </c>
      <c r="Q633" s="1">
        <v>0</v>
      </c>
      <c r="R633" s="1">
        <v>109801950.36</v>
      </c>
      <c r="S633" s="1">
        <v>-16464049.959471</v>
      </c>
      <c r="T633" s="1">
        <v>-16.643689292489999</v>
      </c>
      <c r="U633" t="str">
        <f t="shared" si="9"/>
        <v>Week 4</v>
      </c>
    </row>
    <row r="634" spans="1:21" x14ac:dyDescent="0.25">
      <c r="A634" s="1">
        <v>633</v>
      </c>
      <c r="B634" s="1" t="s">
        <v>117</v>
      </c>
      <c r="C634" s="2">
        <v>46106</v>
      </c>
      <c r="D634" s="1" t="s">
        <v>37</v>
      </c>
      <c r="E634" s="1" t="s">
        <v>38</v>
      </c>
      <c r="F634" s="1" t="s">
        <v>30</v>
      </c>
      <c r="G634" s="1" t="s">
        <v>24</v>
      </c>
      <c r="H634" s="1">
        <v>1</v>
      </c>
      <c r="I634" s="1" t="s">
        <v>118</v>
      </c>
      <c r="J634" s="1"/>
      <c r="K634" s="1">
        <v>4106547.9</v>
      </c>
      <c r="L634" s="1">
        <v>0</v>
      </c>
      <c r="M634" s="1">
        <v>0</v>
      </c>
      <c r="N634" s="1">
        <v>451720.26899999997</v>
      </c>
      <c r="O634" s="1">
        <v>0</v>
      </c>
      <c r="P634" s="1">
        <v>0</v>
      </c>
      <c r="Q634" s="1">
        <v>0</v>
      </c>
      <c r="R634" s="1">
        <v>4558268.1689999998</v>
      </c>
      <c r="S634" s="1">
        <v>524378.9</v>
      </c>
      <c r="T634" s="1">
        <v>12.769336015781001</v>
      </c>
      <c r="U634" t="str">
        <f t="shared" si="9"/>
        <v>Week 4</v>
      </c>
    </row>
    <row r="635" spans="1:21" x14ac:dyDescent="0.25">
      <c r="A635" s="1">
        <v>634</v>
      </c>
      <c r="B635" s="1" t="s">
        <v>119</v>
      </c>
      <c r="C635" s="2">
        <v>46106</v>
      </c>
      <c r="D635" s="1" t="s">
        <v>115</v>
      </c>
      <c r="E635" s="1" t="s">
        <v>116</v>
      </c>
      <c r="F635" s="1" t="s">
        <v>23</v>
      </c>
      <c r="G635" s="1" t="s">
        <v>24</v>
      </c>
      <c r="H635" s="1">
        <v>1</v>
      </c>
      <c r="I635" s="1" t="s">
        <v>120</v>
      </c>
      <c r="J635" s="1" t="s">
        <v>26</v>
      </c>
      <c r="K635" s="1">
        <v>10207080</v>
      </c>
      <c r="L635" s="1">
        <v>0</v>
      </c>
      <c r="M635" s="1">
        <v>0</v>
      </c>
      <c r="N635" s="1">
        <v>1122778.8</v>
      </c>
      <c r="O635" s="1">
        <v>0</v>
      </c>
      <c r="P635" s="1">
        <v>0</v>
      </c>
      <c r="Q635" s="1">
        <v>0</v>
      </c>
      <c r="R635" s="1">
        <v>11329858.800000001</v>
      </c>
      <c r="S635" s="1">
        <v>7531989.9099115999</v>
      </c>
      <c r="T635" s="1">
        <v>73.791818129294995</v>
      </c>
      <c r="U635" t="str">
        <f t="shared" si="9"/>
        <v>Week 4</v>
      </c>
    </row>
    <row r="636" spans="1:21" x14ac:dyDescent="0.25">
      <c r="A636" s="1">
        <v>635</v>
      </c>
      <c r="B636" s="1" t="s">
        <v>121</v>
      </c>
      <c r="C636" s="2">
        <v>46106</v>
      </c>
      <c r="D636" s="1" t="s">
        <v>37</v>
      </c>
      <c r="E636" s="1" t="s">
        <v>38</v>
      </c>
      <c r="F636" s="1" t="s">
        <v>30</v>
      </c>
      <c r="G636" s="1" t="s">
        <v>24</v>
      </c>
      <c r="H636" s="1">
        <v>1</v>
      </c>
      <c r="I636" s="1" t="s">
        <v>2816</v>
      </c>
      <c r="J636" s="1"/>
      <c r="K636" s="1">
        <v>1595440</v>
      </c>
      <c r="L636" s="1">
        <v>0</v>
      </c>
      <c r="M636" s="1">
        <v>0</v>
      </c>
      <c r="N636" s="1">
        <v>175498.4</v>
      </c>
      <c r="O636" s="1">
        <v>0</v>
      </c>
      <c r="P636" s="1">
        <v>0</v>
      </c>
      <c r="Q636" s="1">
        <v>0</v>
      </c>
      <c r="R636" s="1">
        <v>1770938.4</v>
      </c>
      <c r="S636" s="1">
        <v>1231571.2162162</v>
      </c>
      <c r="T636" s="1">
        <v>77.193201638182003</v>
      </c>
      <c r="U636" t="str">
        <f t="shared" si="9"/>
        <v>Week 4</v>
      </c>
    </row>
    <row r="637" spans="1:21" x14ac:dyDescent="0.25">
      <c r="A637" s="1">
        <v>636</v>
      </c>
      <c r="B637" s="1" t="s">
        <v>123</v>
      </c>
      <c r="C637" s="2">
        <v>46106</v>
      </c>
      <c r="D637" s="1" t="s">
        <v>37</v>
      </c>
      <c r="E637" s="1" t="s">
        <v>38</v>
      </c>
      <c r="F637" s="1" t="s">
        <v>23</v>
      </c>
      <c r="G637" s="1" t="s">
        <v>24</v>
      </c>
      <c r="H637" s="1">
        <v>1</v>
      </c>
      <c r="I637" s="1" t="s">
        <v>124</v>
      </c>
      <c r="J637" s="1" t="s">
        <v>26</v>
      </c>
      <c r="K637" s="1">
        <v>900000</v>
      </c>
      <c r="L637" s="1">
        <v>0</v>
      </c>
      <c r="M637" s="1">
        <v>0</v>
      </c>
      <c r="N637" s="1">
        <v>99000</v>
      </c>
      <c r="O637" s="1">
        <v>0</v>
      </c>
      <c r="P637" s="1">
        <v>0</v>
      </c>
      <c r="Q637" s="1">
        <v>0</v>
      </c>
      <c r="R637" s="1">
        <v>999000</v>
      </c>
      <c r="S637" s="1">
        <v>536216.21621622005</v>
      </c>
      <c r="T637" s="1">
        <v>59.579579579579999</v>
      </c>
      <c r="U637" t="str">
        <f t="shared" si="9"/>
        <v>Week 4</v>
      </c>
    </row>
    <row r="638" spans="1:21" x14ac:dyDescent="0.25">
      <c r="A638" s="1">
        <v>637</v>
      </c>
      <c r="B638" s="1" t="s">
        <v>125</v>
      </c>
      <c r="C638" s="2">
        <v>46099</v>
      </c>
      <c r="D638" s="1" t="s">
        <v>33</v>
      </c>
      <c r="E638" s="1" t="s">
        <v>38</v>
      </c>
      <c r="F638" s="1" t="s">
        <v>23</v>
      </c>
      <c r="G638" s="1" t="s">
        <v>24</v>
      </c>
      <c r="H638" s="1">
        <v>1</v>
      </c>
      <c r="I638" s="1" t="s">
        <v>126</v>
      </c>
      <c r="J638" s="1" t="s">
        <v>26</v>
      </c>
      <c r="K638" s="1">
        <v>20400000</v>
      </c>
      <c r="L638" s="1">
        <v>0</v>
      </c>
      <c r="M638" s="1">
        <v>0</v>
      </c>
      <c r="N638" s="1">
        <v>2244000</v>
      </c>
      <c r="O638" s="1">
        <v>0</v>
      </c>
      <c r="P638" s="1">
        <v>0</v>
      </c>
      <c r="Q638" s="1">
        <v>0</v>
      </c>
      <c r="R638" s="1">
        <v>22644000</v>
      </c>
      <c r="S638" s="1">
        <v>4860000</v>
      </c>
      <c r="T638" s="1">
        <v>23.823529411765001</v>
      </c>
      <c r="U638" t="str">
        <f t="shared" si="9"/>
        <v>Week 3</v>
      </c>
    </row>
    <row r="639" spans="1:21" x14ac:dyDescent="0.25">
      <c r="A639" s="1">
        <v>638</v>
      </c>
      <c r="B639" s="1" t="s">
        <v>127</v>
      </c>
      <c r="C639" s="2">
        <v>46099</v>
      </c>
      <c r="D639" s="1" t="s">
        <v>53</v>
      </c>
      <c r="E639" s="1" t="s">
        <v>54</v>
      </c>
      <c r="F639" s="1" t="s">
        <v>30</v>
      </c>
      <c r="G639" s="1" t="s">
        <v>24</v>
      </c>
      <c r="H639" s="1">
        <v>1</v>
      </c>
      <c r="I639" s="1" t="s">
        <v>128</v>
      </c>
      <c r="J639" s="1" t="s">
        <v>26</v>
      </c>
      <c r="K639" s="1">
        <v>145619575</v>
      </c>
      <c r="L639" s="1">
        <v>0</v>
      </c>
      <c r="M639" s="1">
        <v>0</v>
      </c>
      <c r="N639" s="1">
        <v>16018153.25</v>
      </c>
      <c r="O639" s="1">
        <v>0</v>
      </c>
      <c r="P639" s="1">
        <v>0</v>
      </c>
      <c r="Q639" s="1">
        <v>0</v>
      </c>
      <c r="R639" s="1">
        <v>161637728.25</v>
      </c>
      <c r="S639" s="1">
        <v>33042998</v>
      </c>
      <c r="T639" s="1">
        <v>22.691316054177001</v>
      </c>
      <c r="U639" t="str">
        <f t="shared" si="9"/>
        <v>Week 3</v>
      </c>
    </row>
    <row r="640" spans="1:21" x14ac:dyDescent="0.25">
      <c r="A640" s="1">
        <v>639</v>
      </c>
      <c r="B640" s="1" t="s">
        <v>129</v>
      </c>
      <c r="C640" s="2">
        <v>46099</v>
      </c>
      <c r="D640" s="1" t="s">
        <v>21</v>
      </c>
      <c r="E640" s="1" t="s">
        <v>22</v>
      </c>
      <c r="F640" s="1" t="s">
        <v>30</v>
      </c>
      <c r="G640" s="1" t="s">
        <v>24</v>
      </c>
      <c r="H640" s="1">
        <v>1</v>
      </c>
      <c r="I640" s="1" t="s">
        <v>130</v>
      </c>
      <c r="J640" s="1" t="s">
        <v>26</v>
      </c>
      <c r="K640" s="1">
        <v>1777769</v>
      </c>
      <c r="L640" s="1">
        <v>0</v>
      </c>
      <c r="M640" s="1">
        <v>0</v>
      </c>
      <c r="N640" s="1">
        <v>195554.59</v>
      </c>
      <c r="O640" s="1">
        <v>0</v>
      </c>
      <c r="P640" s="1">
        <v>0</v>
      </c>
      <c r="Q640" s="1">
        <v>0</v>
      </c>
      <c r="R640" s="1">
        <v>1973323.59</v>
      </c>
      <c r="S640" s="1">
        <v>370442.69369369</v>
      </c>
      <c r="T640" s="1">
        <v>20.837504405448001</v>
      </c>
      <c r="U640" t="str">
        <f t="shared" si="9"/>
        <v>Week 3</v>
      </c>
    </row>
    <row r="641" spans="1:21" x14ac:dyDescent="0.25">
      <c r="A641" s="1">
        <v>640</v>
      </c>
      <c r="B641" s="1" t="s">
        <v>132</v>
      </c>
      <c r="C641" s="2">
        <v>46098</v>
      </c>
      <c r="D641" s="1" t="s">
        <v>21</v>
      </c>
      <c r="E641" s="1" t="s">
        <v>22</v>
      </c>
      <c r="F641" s="1" t="s">
        <v>30</v>
      </c>
      <c r="G641" s="1" t="s">
        <v>24</v>
      </c>
      <c r="H641" s="1">
        <v>1</v>
      </c>
      <c r="I641" s="1" t="s">
        <v>133</v>
      </c>
      <c r="J641" s="1" t="s">
        <v>26</v>
      </c>
      <c r="K641" s="1">
        <v>3555332.2</v>
      </c>
      <c r="L641" s="1">
        <v>0</v>
      </c>
      <c r="M641" s="1">
        <v>0</v>
      </c>
      <c r="N641" s="1">
        <v>391086.54200000002</v>
      </c>
      <c r="O641" s="1">
        <v>0</v>
      </c>
      <c r="P641" s="1">
        <v>0</v>
      </c>
      <c r="Q641" s="1">
        <v>0</v>
      </c>
      <c r="R641" s="1">
        <v>3946418.7420000001</v>
      </c>
      <c r="S641" s="1">
        <v>538679.44144144002</v>
      </c>
      <c r="T641" s="1">
        <v>15.151311076962999</v>
      </c>
      <c r="U641" t="str">
        <f t="shared" si="9"/>
        <v>Week 3</v>
      </c>
    </row>
    <row r="642" spans="1:21" x14ac:dyDescent="0.25">
      <c r="A642" s="1">
        <v>641</v>
      </c>
      <c r="B642" s="1" t="s">
        <v>134</v>
      </c>
      <c r="C642" s="2">
        <v>46098</v>
      </c>
      <c r="D642" s="1" t="s">
        <v>37</v>
      </c>
      <c r="E642" s="1" t="s">
        <v>38</v>
      </c>
      <c r="F642" s="1" t="s">
        <v>23</v>
      </c>
      <c r="G642" s="1" t="s">
        <v>24</v>
      </c>
      <c r="H642" s="1">
        <v>1</v>
      </c>
      <c r="I642" s="1" t="s">
        <v>135</v>
      </c>
      <c r="J642" s="1"/>
      <c r="K642" s="1">
        <v>32484618</v>
      </c>
      <c r="L642" s="1">
        <v>0</v>
      </c>
      <c r="M642" s="1">
        <v>0</v>
      </c>
      <c r="N642" s="1">
        <v>3573307.98</v>
      </c>
      <c r="O642" s="1">
        <v>0</v>
      </c>
      <c r="P642" s="1">
        <v>0</v>
      </c>
      <c r="Q642" s="1">
        <v>0</v>
      </c>
      <c r="R642" s="1">
        <v>36057925.979999997</v>
      </c>
      <c r="S642" s="1">
        <v>10886782</v>
      </c>
      <c r="T642" s="1">
        <v>33.513652523173</v>
      </c>
      <c r="U642" t="str">
        <f t="shared" si="9"/>
        <v>Week 3</v>
      </c>
    </row>
    <row r="643" spans="1:21" x14ac:dyDescent="0.25">
      <c r="A643" s="1">
        <v>642</v>
      </c>
      <c r="B643" s="1" t="s">
        <v>136</v>
      </c>
      <c r="C643" s="2">
        <v>46098</v>
      </c>
      <c r="D643" s="1" t="s">
        <v>28</v>
      </c>
      <c r="E643" s="1" t="s">
        <v>29</v>
      </c>
      <c r="F643" s="1" t="s">
        <v>30</v>
      </c>
      <c r="G643" s="1" t="s">
        <v>24</v>
      </c>
      <c r="H643" s="1">
        <v>1</v>
      </c>
      <c r="I643" s="1" t="s">
        <v>137</v>
      </c>
      <c r="J643" s="1"/>
      <c r="K643" s="1">
        <v>318588876</v>
      </c>
      <c r="L643" s="1">
        <v>0</v>
      </c>
      <c r="M643" s="1">
        <v>0</v>
      </c>
      <c r="N643" s="1">
        <v>35044776.359999999</v>
      </c>
      <c r="O643" s="1">
        <v>0</v>
      </c>
      <c r="P643" s="1">
        <v>0</v>
      </c>
      <c r="Q643" s="1">
        <v>0</v>
      </c>
      <c r="R643" s="1">
        <v>353633652.36000001</v>
      </c>
      <c r="S643" s="1">
        <v>4956776</v>
      </c>
      <c r="T643" s="1">
        <v>1.5558534441736001</v>
      </c>
      <c r="U643" t="str">
        <f t="shared" ref="U643:U706" si="10">"Week "&amp;IF(DAY(C643)&gt;=24,4,INT((DAY(C643)-1)/7)+1)</f>
        <v>Week 3</v>
      </c>
    </row>
    <row r="644" spans="1:21" x14ac:dyDescent="0.25">
      <c r="A644" s="1">
        <v>643</v>
      </c>
      <c r="B644" s="1" t="s">
        <v>138</v>
      </c>
      <c r="C644" s="2">
        <v>46098</v>
      </c>
      <c r="D644" s="1" t="s">
        <v>115</v>
      </c>
      <c r="E644" s="1" t="s">
        <v>116</v>
      </c>
      <c r="F644" s="1" t="s">
        <v>30</v>
      </c>
      <c r="G644" s="1" t="s">
        <v>24</v>
      </c>
      <c r="H644" s="1">
        <v>1</v>
      </c>
      <c r="I644" s="1" t="s">
        <v>139</v>
      </c>
      <c r="J644" s="1"/>
      <c r="K644" s="1">
        <v>371418</v>
      </c>
      <c r="L644" s="1">
        <v>0</v>
      </c>
      <c r="M644" s="1">
        <v>0</v>
      </c>
      <c r="N644" s="1">
        <v>40855.980000000003</v>
      </c>
      <c r="O644" s="1">
        <v>0</v>
      </c>
      <c r="P644" s="1">
        <v>0</v>
      </c>
      <c r="Q644" s="1">
        <v>0</v>
      </c>
      <c r="R644" s="1">
        <v>412273.98</v>
      </c>
      <c r="S644" s="1">
        <v>77418</v>
      </c>
      <c r="T644" s="1">
        <v>20.843900941796001</v>
      </c>
      <c r="U644" t="str">
        <f t="shared" si="10"/>
        <v>Week 3</v>
      </c>
    </row>
    <row r="645" spans="1:21" x14ac:dyDescent="0.25">
      <c r="A645" s="1">
        <v>644</v>
      </c>
      <c r="B645" s="1" t="s">
        <v>140</v>
      </c>
      <c r="C645" s="2">
        <v>46098</v>
      </c>
      <c r="D645" s="1" t="s">
        <v>115</v>
      </c>
      <c r="E645" s="1" t="s">
        <v>116</v>
      </c>
      <c r="F645" s="1" t="s">
        <v>30</v>
      </c>
      <c r="G645" s="1" t="s">
        <v>24</v>
      </c>
      <c r="H645" s="1">
        <v>1</v>
      </c>
      <c r="I645" s="1" t="s">
        <v>141</v>
      </c>
      <c r="J645" s="1" t="s">
        <v>26</v>
      </c>
      <c r="K645" s="1">
        <v>531480</v>
      </c>
      <c r="L645" s="1">
        <v>0</v>
      </c>
      <c r="M645" s="1">
        <v>0</v>
      </c>
      <c r="N645" s="1">
        <v>58462.8</v>
      </c>
      <c r="O645" s="1">
        <v>0</v>
      </c>
      <c r="P645" s="1">
        <v>0</v>
      </c>
      <c r="Q645" s="1">
        <v>0</v>
      </c>
      <c r="R645" s="1">
        <v>589942.80000000005</v>
      </c>
      <c r="S645" s="1">
        <v>148416.94</v>
      </c>
      <c r="T645" s="1">
        <v>27.925216376910001</v>
      </c>
      <c r="U645" t="str">
        <f t="shared" si="10"/>
        <v>Week 3</v>
      </c>
    </row>
    <row r="646" spans="1:21" x14ac:dyDescent="0.25">
      <c r="A646" s="1">
        <v>645</v>
      </c>
      <c r="B646" s="1" t="s">
        <v>142</v>
      </c>
      <c r="C646" s="2">
        <v>46098</v>
      </c>
      <c r="D646" s="1" t="s">
        <v>21</v>
      </c>
      <c r="E646" s="1" t="s">
        <v>22</v>
      </c>
      <c r="F646" s="1" t="s">
        <v>23</v>
      </c>
      <c r="G646" s="1" t="s">
        <v>24</v>
      </c>
      <c r="H646" s="1">
        <v>1</v>
      </c>
      <c r="I646" s="1" t="s">
        <v>2735</v>
      </c>
      <c r="J646" s="1" t="s">
        <v>56</v>
      </c>
      <c r="K646" s="1">
        <v>1136677040</v>
      </c>
      <c r="L646" s="1">
        <v>0</v>
      </c>
      <c r="M646" s="1">
        <v>0</v>
      </c>
      <c r="N646" s="1">
        <v>125034474.40000001</v>
      </c>
      <c r="O646" s="1">
        <v>0</v>
      </c>
      <c r="P646" s="1">
        <v>0</v>
      </c>
      <c r="Q646" s="1">
        <v>0</v>
      </c>
      <c r="R646" s="1">
        <v>1261711514.4000001</v>
      </c>
      <c r="S646" s="1">
        <v>553907480</v>
      </c>
      <c r="T646" s="1">
        <v>48.730418624449001</v>
      </c>
      <c r="U646" t="str">
        <f t="shared" si="10"/>
        <v>Week 3</v>
      </c>
    </row>
    <row r="647" spans="1:21" x14ac:dyDescent="0.25">
      <c r="A647" s="1">
        <v>646</v>
      </c>
      <c r="B647" s="1" t="s">
        <v>144</v>
      </c>
      <c r="C647" s="2">
        <v>46098</v>
      </c>
      <c r="D647" s="1" t="s">
        <v>33</v>
      </c>
      <c r="E647" s="1" t="s">
        <v>34</v>
      </c>
      <c r="F647" s="1" t="s">
        <v>23</v>
      </c>
      <c r="G647" s="1" t="s">
        <v>24</v>
      </c>
      <c r="H647" s="1">
        <v>1</v>
      </c>
      <c r="I647" s="1" t="s">
        <v>145</v>
      </c>
      <c r="J647" s="1"/>
      <c r="K647" s="1">
        <v>2650000</v>
      </c>
      <c r="L647" s="1">
        <v>0</v>
      </c>
      <c r="M647" s="1">
        <v>0</v>
      </c>
      <c r="N647" s="1">
        <v>291500</v>
      </c>
      <c r="O647" s="1">
        <v>0</v>
      </c>
      <c r="P647" s="1">
        <v>0</v>
      </c>
      <c r="Q647" s="1">
        <v>0</v>
      </c>
      <c r="R647" s="1">
        <v>2941500</v>
      </c>
      <c r="S647" s="1">
        <v>485000</v>
      </c>
      <c r="T647" s="1">
        <v>18.301886792453001</v>
      </c>
      <c r="U647" t="str">
        <f t="shared" si="10"/>
        <v>Week 3</v>
      </c>
    </row>
    <row r="648" spans="1:21" x14ac:dyDescent="0.25">
      <c r="A648" s="1">
        <v>647</v>
      </c>
      <c r="B648" s="1" t="s">
        <v>146</v>
      </c>
      <c r="C648" s="2">
        <v>46098</v>
      </c>
      <c r="D648" s="1" t="s">
        <v>21</v>
      </c>
      <c r="E648" s="1" t="s">
        <v>22</v>
      </c>
      <c r="F648" s="1" t="s">
        <v>30</v>
      </c>
      <c r="G648" s="1" t="s">
        <v>24</v>
      </c>
      <c r="H648" s="1">
        <v>1</v>
      </c>
      <c r="I648" s="1" t="s">
        <v>3382</v>
      </c>
      <c r="J648" s="1" t="s">
        <v>56</v>
      </c>
      <c r="K648" s="1">
        <v>3191397692</v>
      </c>
      <c r="L648" s="1">
        <v>0</v>
      </c>
      <c r="M648" s="1">
        <v>0</v>
      </c>
      <c r="N648" s="1">
        <v>351053746.12</v>
      </c>
      <c r="O648" s="1">
        <v>0</v>
      </c>
      <c r="P648" s="1">
        <v>0</v>
      </c>
      <c r="Q648" s="1">
        <v>0</v>
      </c>
      <c r="R648" s="1">
        <v>3542451438.1199999</v>
      </c>
      <c r="S648" s="1">
        <v>1010039924.4400001</v>
      </c>
      <c r="T648" s="1">
        <v>31.648826687187999</v>
      </c>
      <c r="U648" t="str">
        <f t="shared" si="10"/>
        <v>Week 3</v>
      </c>
    </row>
    <row r="649" spans="1:21" x14ac:dyDescent="0.25">
      <c r="A649" s="1">
        <v>648</v>
      </c>
      <c r="B649" s="1" t="s">
        <v>148</v>
      </c>
      <c r="C649" s="2">
        <v>46097</v>
      </c>
      <c r="D649" s="1" t="s">
        <v>21</v>
      </c>
      <c r="E649" s="1" t="s">
        <v>22</v>
      </c>
      <c r="F649" s="1" t="s">
        <v>30</v>
      </c>
      <c r="G649" s="1" t="s">
        <v>24</v>
      </c>
      <c r="H649" s="1">
        <v>1</v>
      </c>
      <c r="I649" s="1" t="s">
        <v>149</v>
      </c>
      <c r="J649" s="1" t="s">
        <v>26</v>
      </c>
      <c r="K649" s="1">
        <v>30224180</v>
      </c>
      <c r="L649" s="1">
        <v>0</v>
      </c>
      <c r="M649" s="1">
        <v>0</v>
      </c>
      <c r="N649" s="1">
        <v>3324659.8</v>
      </c>
      <c r="O649" s="1">
        <v>0</v>
      </c>
      <c r="P649" s="1">
        <v>0</v>
      </c>
      <c r="Q649" s="1">
        <v>0</v>
      </c>
      <c r="R649" s="1">
        <v>33548839.800000001</v>
      </c>
      <c r="S649" s="1">
        <v>14165895.837838</v>
      </c>
      <c r="T649" s="1">
        <v>46.869413290411003</v>
      </c>
      <c r="U649" t="str">
        <f t="shared" si="10"/>
        <v>Week 3</v>
      </c>
    </row>
    <row r="650" spans="1:21" x14ac:dyDescent="0.25">
      <c r="A650" s="1">
        <v>649</v>
      </c>
      <c r="B650" s="1" t="s">
        <v>150</v>
      </c>
      <c r="C650" s="2">
        <v>46097</v>
      </c>
      <c r="D650" s="1" t="s">
        <v>21</v>
      </c>
      <c r="E650" s="1" t="s">
        <v>22</v>
      </c>
      <c r="F650" s="1" t="s">
        <v>30</v>
      </c>
      <c r="G650" s="1" t="s">
        <v>24</v>
      </c>
      <c r="H650" s="1">
        <v>1</v>
      </c>
      <c r="I650" s="1" t="s">
        <v>151</v>
      </c>
      <c r="J650" s="1" t="s">
        <v>56</v>
      </c>
      <c r="K650" s="1">
        <v>116851960</v>
      </c>
      <c r="L650" s="1">
        <v>0</v>
      </c>
      <c r="M650" s="1">
        <v>0</v>
      </c>
      <c r="N650" s="1">
        <v>12853715.6</v>
      </c>
      <c r="O650" s="1">
        <v>0</v>
      </c>
      <c r="P650" s="1">
        <v>0</v>
      </c>
      <c r="Q650" s="1">
        <v>0</v>
      </c>
      <c r="R650" s="1">
        <v>129705675.59999999</v>
      </c>
      <c r="S650" s="1">
        <v>6643448.3200000003</v>
      </c>
      <c r="T650" s="1">
        <v>5.6853546316210997</v>
      </c>
      <c r="U650" t="str">
        <f t="shared" si="10"/>
        <v>Week 3</v>
      </c>
    </row>
    <row r="651" spans="1:21" x14ac:dyDescent="0.25">
      <c r="A651" s="1">
        <v>650</v>
      </c>
      <c r="B651" s="1" t="s">
        <v>152</v>
      </c>
      <c r="C651" s="2">
        <v>46097</v>
      </c>
      <c r="D651" s="1" t="s">
        <v>21</v>
      </c>
      <c r="E651" s="1" t="s">
        <v>22</v>
      </c>
      <c r="F651" s="1" t="s">
        <v>30</v>
      </c>
      <c r="G651" s="1" t="s">
        <v>24</v>
      </c>
      <c r="H651" s="1">
        <v>1</v>
      </c>
      <c r="I651" s="1" t="s">
        <v>153</v>
      </c>
      <c r="J651" s="1" t="s">
        <v>26</v>
      </c>
      <c r="K651" s="1">
        <v>873000</v>
      </c>
      <c r="L651" s="1">
        <v>0</v>
      </c>
      <c r="M651" s="1">
        <v>0</v>
      </c>
      <c r="N651" s="1">
        <v>96030</v>
      </c>
      <c r="O651" s="1">
        <v>0</v>
      </c>
      <c r="P651" s="1">
        <v>0</v>
      </c>
      <c r="Q651" s="1">
        <v>0</v>
      </c>
      <c r="R651" s="1">
        <v>969030</v>
      </c>
      <c r="S651" s="1">
        <v>123000</v>
      </c>
      <c r="T651" s="1">
        <v>14.089347079037999</v>
      </c>
      <c r="U651" t="str">
        <f t="shared" si="10"/>
        <v>Week 3</v>
      </c>
    </row>
    <row r="652" spans="1:21" x14ac:dyDescent="0.25">
      <c r="A652" s="1">
        <v>651</v>
      </c>
      <c r="B652" s="1" t="s">
        <v>154</v>
      </c>
      <c r="C652" s="2">
        <v>46097</v>
      </c>
      <c r="D652" s="1" t="s">
        <v>21</v>
      </c>
      <c r="E652" s="1" t="s">
        <v>22</v>
      </c>
      <c r="F652" s="1" t="s">
        <v>30</v>
      </c>
      <c r="G652" s="1" t="s">
        <v>24</v>
      </c>
      <c r="H652" s="1">
        <v>1</v>
      </c>
      <c r="I652" s="1" t="s">
        <v>155</v>
      </c>
      <c r="J652" s="1" t="s">
        <v>26</v>
      </c>
      <c r="K652" s="1">
        <v>9081250</v>
      </c>
      <c r="L652" s="1">
        <v>0</v>
      </c>
      <c r="M652" s="1">
        <v>0</v>
      </c>
      <c r="N652" s="1">
        <v>998937.5</v>
      </c>
      <c r="O652" s="1">
        <v>0</v>
      </c>
      <c r="P652" s="1">
        <v>0</v>
      </c>
      <c r="Q652" s="1">
        <v>0</v>
      </c>
      <c r="R652" s="1">
        <v>10080187.5</v>
      </c>
      <c r="S652" s="1">
        <v>4563907.6576576997</v>
      </c>
      <c r="T652" s="1">
        <v>50.256381639727003</v>
      </c>
      <c r="U652" t="str">
        <f t="shared" si="10"/>
        <v>Week 3</v>
      </c>
    </row>
    <row r="653" spans="1:21" x14ac:dyDescent="0.25">
      <c r="A653" s="1">
        <v>652</v>
      </c>
      <c r="B653" s="1" t="s">
        <v>156</v>
      </c>
      <c r="C653" s="2">
        <v>46097</v>
      </c>
      <c r="D653" s="1" t="s">
        <v>53</v>
      </c>
      <c r="E653" s="1" t="s">
        <v>54</v>
      </c>
      <c r="F653" s="1" t="s">
        <v>30</v>
      </c>
      <c r="G653" s="1" t="s">
        <v>24</v>
      </c>
      <c r="H653" s="1">
        <v>1</v>
      </c>
      <c r="I653" s="1" t="s">
        <v>157</v>
      </c>
      <c r="J653" s="1"/>
      <c r="K653" s="1">
        <v>4786320</v>
      </c>
      <c r="L653" s="1">
        <v>0</v>
      </c>
      <c r="M653" s="1">
        <v>0</v>
      </c>
      <c r="N653" s="1">
        <v>526495.19999999995</v>
      </c>
      <c r="O653" s="1">
        <v>0</v>
      </c>
      <c r="P653" s="1">
        <v>0</v>
      </c>
      <c r="Q653" s="1">
        <v>0</v>
      </c>
      <c r="R653" s="1">
        <v>5312815.2</v>
      </c>
      <c r="S653" s="1">
        <v>2056115.95</v>
      </c>
      <c r="T653" s="1">
        <v>42.958179770679997</v>
      </c>
      <c r="U653" t="str">
        <f t="shared" si="10"/>
        <v>Week 3</v>
      </c>
    </row>
    <row r="654" spans="1:21" x14ac:dyDescent="0.25">
      <c r="A654" s="1">
        <v>653</v>
      </c>
      <c r="B654" s="1" t="s">
        <v>158</v>
      </c>
      <c r="C654" s="2">
        <v>46097</v>
      </c>
      <c r="D654" s="1" t="s">
        <v>37</v>
      </c>
      <c r="E654" s="1" t="s">
        <v>38</v>
      </c>
      <c r="F654" s="1" t="s">
        <v>30</v>
      </c>
      <c r="G654" s="1" t="s">
        <v>24</v>
      </c>
      <c r="H654" s="1">
        <v>1</v>
      </c>
      <c r="I654" s="1" t="s">
        <v>159</v>
      </c>
      <c r="J654" s="1"/>
      <c r="K654" s="1">
        <v>9540300</v>
      </c>
      <c r="L654" s="1">
        <v>0</v>
      </c>
      <c r="M654" s="1">
        <v>0</v>
      </c>
      <c r="N654" s="1">
        <v>1049433</v>
      </c>
      <c r="O654" s="1">
        <v>0</v>
      </c>
      <c r="P654" s="1">
        <v>0</v>
      </c>
      <c r="Q654" s="1">
        <v>0</v>
      </c>
      <c r="R654" s="1">
        <v>10589733</v>
      </c>
      <c r="S654" s="1">
        <v>617310</v>
      </c>
      <c r="T654" s="1">
        <v>6.4705512405269996</v>
      </c>
      <c r="U654" t="str">
        <f t="shared" si="10"/>
        <v>Week 3</v>
      </c>
    </row>
    <row r="655" spans="1:21" x14ac:dyDescent="0.25">
      <c r="A655" s="1">
        <v>654</v>
      </c>
      <c r="B655" s="1" t="s">
        <v>160</v>
      </c>
      <c r="C655" s="2">
        <v>46097</v>
      </c>
      <c r="D655" s="1" t="s">
        <v>53</v>
      </c>
      <c r="E655" s="1" t="s">
        <v>54</v>
      </c>
      <c r="F655" s="1" t="s">
        <v>30</v>
      </c>
      <c r="G655" s="1" t="s">
        <v>24</v>
      </c>
      <c r="H655" s="1">
        <v>1</v>
      </c>
      <c r="I655" s="1" t="s">
        <v>161</v>
      </c>
      <c r="J655" s="1"/>
      <c r="K655" s="1">
        <v>112373000</v>
      </c>
      <c r="L655" s="1">
        <v>0</v>
      </c>
      <c r="M655" s="1">
        <v>0</v>
      </c>
      <c r="N655" s="1">
        <v>12361030</v>
      </c>
      <c r="O655" s="1">
        <v>0</v>
      </c>
      <c r="P655" s="1">
        <v>0</v>
      </c>
      <c r="Q655" s="1">
        <v>0</v>
      </c>
      <c r="R655" s="1">
        <v>124734030</v>
      </c>
      <c r="S655" s="1">
        <v>9028000</v>
      </c>
      <c r="T655" s="1">
        <v>8.0339583351873003</v>
      </c>
      <c r="U655" t="str">
        <f t="shared" si="10"/>
        <v>Week 3</v>
      </c>
    </row>
    <row r="656" spans="1:21" x14ac:dyDescent="0.25">
      <c r="A656" s="1">
        <v>655</v>
      </c>
      <c r="B656" s="1" t="s">
        <v>162</v>
      </c>
      <c r="C656" s="2">
        <v>46097</v>
      </c>
      <c r="D656" s="1" t="s">
        <v>33</v>
      </c>
      <c r="E656" s="1" t="s">
        <v>34</v>
      </c>
      <c r="F656" s="1" t="s">
        <v>30</v>
      </c>
      <c r="G656" s="1" t="s">
        <v>24</v>
      </c>
      <c r="H656" s="1">
        <v>1</v>
      </c>
      <c r="I656" s="1" t="s">
        <v>163</v>
      </c>
      <c r="J656" s="1"/>
      <c r="K656" s="1">
        <v>15789779.6</v>
      </c>
      <c r="L656" s="1">
        <v>0</v>
      </c>
      <c r="M656" s="1">
        <v>0</v>
      </c>
      <c r="N656" s="1">
        <v>1736875.7560000001</v>
      </c>
      <c r="O656" s="1">
        <v>0</v>
      </c>
      <c r="P656" s="1">
        <v>0</v>
      </c>
      <c r="Q656" s="1">
        <v>0</v>
      </c>
      <c r="R656" s="1">
        <v>17526655.355999999</v>
      </c>
      <c r="S656" s="1">
        <v>5968779.5999999996</v>
      </c>
      <c r="T656" s="1">
        <v>37.801538407793998</v>
      </c>
      <c r="U656" t="str">
        <f t="shared" si="10"/>
        <v>Week 3</v>
      </c>
    </row>
    <row r="657" spans="1:21" x14ac:dyDescent="0.25">
      <c r="A657" s="1">
        <v>656</v>
      </c>
      <c r="B657" s="1" t="s">
        <v>164</v>
      </c>
      <c r="C657" s="2">
        <v>46097</v>
      </c>
      <c r="D657" s="1" t="s">
        <v>33</v>
      </c>
      <c r="E657" s="1" t="s">
        <v>34</v>
      </c>
      <c r="F657" s="1" t="s">
        <v>30</v>
      </c>
      <c r="G657" s="1" t="s">
        <v>24</v>
      </c>
      <c r="H657" s="1">
        <v>1</v>
      </c>
      <c r="I657" s="1" t="s">
        <v>165</v>
      </c>
      <c r="J657" s="1"/>
      <c r="K657" s="1">
        <v>13806350</v>
      </c>
      <c r="L657" s="1">
        <v>0</v>
      </c>
      <c r="M657" s="1">
        <v>0</v>
      </c>
      <c r="N657" s="1">
        <v>1518698.5</v>
      </c>
      <c r="O657" s="1">
        <v>0</v>
      </c>
      <c r="P657" s="1">
        <v>0</v>
      </c>
      <c r="Q657" s="1">
        <v>0</v>
      </c>
      <c r="R657" s="1">
        <v>15325048.5</v>
      </c>
      <c r="S657" s="1">
        <v>7703255.5405355003</v>
      </c>
      <c r="T657" s="1">
        <v>55.795018527963997</v>
      </c>
      <c r="U657" t="str">
        <f t="shared" si="10"/>
        <v>Week 3</v>
      </c>
    </row>
    <row r="658" spans="1:21" x14ac:dyDescent="0.25">
      <c r="A658" s="1">
        <v>657</v>
      </c>
      <c r="B658" s="1" t="s">
        <v>166</v>
      </c>
      <c r="C658" s="2">
        <v>46097</v>
      </c>
      <c r="D658" s="1" t="s">
        <v>37</v>
      </c>
      <c r="E658" s="1" t="s">
        <v>38</v>
      </c>
      <c r="F658" s="1" t="s">
        <v>30</v>
      </c>
      <c r="G658" s="1" t="s">
        <v>24</v>
      </c>
      <c r="H658" s="1">
        <v>1</v>
      </c>
      <c r="I658" s="1" t="s">
        <v>167</v>
      </c>
      <c r="J658" s="1"/>
      <c r="K658" s="1">
        <v>3622736.6</v>
      </c>
      <c r="L658" s="1">
        <v>0</v>
      </c>
      <c r="M658" s="1">
        <v>0</v>
      </c>
      <c r="N658" s="1">
        <v>398501.02600000001</v>
      </c>
      <c r="O658" s="1">
        <v>0</v>
      </c>
      <c r="P658" s="1">
        <v>0</v>
      </c>
      <c r="Q658" s="1">
        <v>0</v>
      </c>
      <c r="R658" s="1">
        <v>4021237.6260000002</v>
      </c>
      <c r="S658" s="1">
        <v>-2377263.4</v>
      </c>
      <c r="T658" s="1">
        <v>-65.620652630389998</v>
      </c>
      <c r="U658" t="str">
        <f t="shared" si="10"/>
        <v>Week 3</v>
      </c>
    </row>
    <row r="659" spans="1:21" x14ac:dyDescent="0.25">
      <c r="A659" s="1">
        <v>658</v>
      </c>
      <c r="B659" s="1" t="s">
        <v>168</v>
      </c>
      <c r="C659" s="2">
        <v>46097</v>
      </c>
      <c r="D659" s="1" t="s">
        <v>169</v>
      </c>
      <c r="E659" s="1" t="s">
        <v>99</v>
      </c>
      <c r="F659" s="1" t="s">
        <v>23</v>
      </c>
      <c r="G659" s="1" t="s">
        <v>24</v>
      </c>
      <c r="H659" s="1">
        <v>1</v>
      </c>
      <c r="I659" s="1" t="s">
        <v>170</v>
      </c>
      <c r="J659" s="1" t="s">
        <v>26</v>
      </c>
      <c r="K659" s="1">
        <v>31558410</v>
      </c>
      <c r="L659" s="1">
        <v>0</v>
      </c>
      <c r="M659" s="1">
        <v>0</v>
      </c>
      <c r="N659" s="1">
        <v>3471425.1</v>
      </c>
      <c r="O659" s="1">
        <v>0</v>
      </c>
      <c r="P659" s="1">
        <v>0</v>
      </c>
      <c r="Q659" s="1">
        <v>0</v>
      </c>
      <c r="R659" s="1">
        <v>35029835.100000001</v>
      </c>
      <c r="S659" s="1">
        <v>16517942.432432</v>
      </c>
      <c r="T659" s="1">
        <v>52.340857579430001</v>
      </c>
      <c r="U659" t="str">
        <f t="shared" si="10"/>
        <v>Week 3</v>
      </c>
    </row>
    <row r="660" spans="1:21" x14ac:dyDescent="0.25">
      <c r="A660" s="1">
        <v>659</v>
      </c>
      <c r="B660" s="1" t="s">
        <v>171</v>
      </c>
      <c r="C660" s="2">
        <v>46097</v>
      </c>
      <c r="D660" s="1" t="s">
        <v>53</v>
      </c>
      <c r="E660" s="1" t="s">
        <v>54</v>
      </c>
      <c r="F660" s="1" t="s">
        <v>30</v>
      </c>
      <c r="G660" s="1" t="s">
        <v>24</v>
      </c>
      <c r="H660" s="1">
        <v>1</v>
      </c>
      <c r="I660" s="1" t="s">
        <v>172</v>
      </c>
      <c r="J660" s="1"/>
      <c r="K660" s="1">
        <v>6430000</v>
      </c>
      <c r="L660" s="1">
        <v>0</v>
      </c>
      <c r="M660" s="1">
        <v>0</v>
      </c>
      <c r="N660" s="1">
        <v>707300</v>
      </c>
      <c r="O660" s="1">
        <v>0</v>
      </c>
      <c r="P660" s="1">
        <v>0</v>
      </c>
      <c r="Q660" s="1">
        <v>0</v>
      </c>
      <c r="R660" s="1">
        <v>7137300</v>
      </c>
      <c r="S660" s="1">
        <v>2423500</v>
      </c>
      <c r="T660" s="1">
        <v>37.690513219285002</v>
      </c>
      <c r="U660" t="str">
        <f t="shared" si="10"/>
        <v>Week 3</v>
      </c>
    </row>
    <row r="661" spans="1:21" x14ac:dyDescent="0.25">
      <c r="A661" s="1">
        <v>660</v>
      </c>
      <c r="B661" s="1" t="s">
        <v>173</v>
      </c>
      <c r="C661" s="2">
        <v>46097</v>
      </c>
      <c r="D661" s="1" t="s">
        <v>33</v>
      </c>
      <c r="E661" s="1" t="s">
        <v>34</v>
      </c>
      <c r="F661" s="1" t="s">
        <v>23</v>
      </c>
      <c r="G661" s="1" t="s">
        <v>24</v>
      </c>
      <c r="H661" s="1">
        <v>1</v>
      </c>
      <c r="I661" s="1" t="s">
        <v>174</v>
      </c>
      <c r="J661" s="1"/>
      <c r="K661" s="1">
        <v>379434783</v>
      </c>
      <c r="L661" s="1">
        <v>0</v>
      </c>
      <c r="M661" s="1">
        <v>0</v>
      </c>
      <c r="N661" s="1">
        <v>41737826.130000003</v>
      </c>
      <c r="O661" s="1">
        <v>0</v>
      </c>
      <c r="P661" s="1">
        <v>0</v>
      </c>
      <c r="Q661" s="1">
        <v>0</v>
      </c>
      <c r="R661" s="1">
        <v>421172609.13</v>
      </c>
      <c r="S661" s="1">
        <v>58223583</v>
      </c>
      <c r="T661" s="1">
        <v>15.344819612914</v>
      </c>
      <c r="U661" t="str">
        <f t="shared" si="10"/>
        <v>Week 3</v>
      </c>
    </row>
    <row r="662" spans="1:21" x14ac:dyDescent="0.25">
      <c r="A662" s="1">
        <v>661</v>
      </c>
      <c r="B662" s="1" t="s">
        <v>175</v>
      </c>
      <c r="C662" s="2">
        <v>46097</v>
      </c>
      <c r="D662" s="1" t="s">
        <v>33</v>
      </c>
      <c r="E662" s="1" t="s">
        <v>34</v>
      </c>
      <c r="F662" s="1" t="s">
        <v>23</v>
      </c>
      <c r="G662" s="1" t="s">
        <v>24</v>
      </c>
      <c r="H662" s="1">
        <v>1</v>
      </c>
      <c r="I662" s="1" t="s">
        <v>176</v>
      </c>
      <c r="J662" s="1"/>
      <c r="K662" s="1">
        <v>379434783</v>
      </c>
      <c r="L662" s="1">
        <v>0</v>
      </c>
      <c r="M662" s="1">
        <v>0</v>
      </c>
      <c r="N662" s="1">
        <v>41737826.130000003</v>
      </c>
      <c r="O662" s="1">
        <v>0</v>
      </c>
      <c r="P662" s="1">
        <v>0</v>
      </c>
      <c r="Q662" s="1">
        <v>0</v>
      </c>
      <c r="R662" s="1">
        <v>421172609.13</v>
      </c>
      <c r="S662" s="1">
        <v>58223583</v>
      </c>
      <c r="T662" s="1">
        <v>15.344819612914</v>
      </c>
      <c r="U662" t="str">
        <f t="shared" si="10"/>
        <v>Week 3</v>
      </c>
    </row>
    <row r="663" spans="1:21" x14ac:dyDescent="0.25">
      <c r="A663" s="1">
        <v>662</v>
      </c>
      <c r="B663" s="1" t="s">
        <v>177</v>
      </c>
      <c r="C663" s="2">
        <v>46097</v>
      </c>
      <c r="D663" s="1" t="s">
        <v>33</v>
      </c>
      <c r="E663" s="1" t="s">
        <v>34</v>
      </c>
      <c r="F663" s="1" t="s">
        <v>23</v>
      </c>
      <c r="G663" s="1" t="s">
        <v>24</v>
      </c>
      <c r="H663" s="1">
        <v>1</v>
      </c>
      <c r="I663" s="1" t="s">
        <v>178</v>
      </c>
      <c r="J663" s="1"/>
      <c r="K663" s="1">
        <v>346489130</v>
      </c>
      <c r="L663" s="1">
        <v>0</v>
      </c>
      <c r="M663" s="1">
        <v>0</v>
      </c>
      <c r="N663" s="1">
        <v>38113804.299999997</v>
      </c>
      <c r="O663" s="1">
        <v>0</v>
      </c>
      <c r="P663" s="1">
        <v>0</v>
      </c>
      <c r="Q663" s="1">
        <v>0</v>
      </c>
      <c r="R663" s="1">
        <v>384602934.30000001</v>
      </c>
      <c r="S663" s="1">
        <v>53163130</v>
      </c>
      <c r="T663" s="1">
        <v>15.343375995662999</v>
      </c>
      <c r="U663" t="str">
        <f t="shared" si="10"/>
        <v>Week 3</v>
      </c>
    </row>
    <row r="664" spans="1:21" x14ac:dyDescent="0.25">
      <c r="A664" s="1">
        <v>663</v>
      </c>
      <c r="B664" s="1" t="s">
        <v>179</v>
      </c>
      <c r="C664" s="2">
        <v>46097</v>
      </c>
      <c r="D664" s="1" t="s">
        <v>37</v>
      </c>
      <c r="E664" s="1" t="s">
        <v>38</v>
      </c>
      <c r="F664" s="1" t="s">
        <v>23</v>
      </c>
      <c r="G664" s="1" t="s">
        <v>24</v>
      </c>
      <c r="H664" s="1">
        <v>1</v>
      </c>
      <c r="I664" s="1" t="s">
        <v>180</v>
      </c>
      <c r="J664" s="1" t="s">
        <v>56</v>
      </c>
      <c r="K664" s="1">
        <v>138280285</v>
      </c>
      <c r="L664" s="1">
        <v>0</v>
      </c>
      <c r="M664" s="1">
        <v>0</v>
      </c>
      <c r="N664" s="1">
        <v>15210831.35</v>
      </c>
      <c r="O664" s="1">
        <v>0</v>
      </c>
      <c r="P664" s="1">
        <v>0</v>
      </c>
      <c r="Q664" s="1">
        <v>0</v>
      </c>
      <c r="R664" s="1">
        <v>153491116.34999999</v>
      </c>
      <c r="S664" s="1">
        <v>31860831.317297</v>
      </c>
      <c r="T664" s="1">
        <v>23.040761969283999</v>
      </c>
      <c r="U664" t="str">
        <f t="shared" si="10"/>
        <v>Week 3</v>
      </c>
    </row>
    <row r="665" spans="1:21" x14ac:dyDescent="0.25">
      <c r="A665" s="1">
        <v>664</v>
      </c>
      <c r="B665" s="1" t="s">
        <v>181</v>
      </c>
      <c r="C665" s="2">
        <v>46097</v>
      </c>
      <c r="D665" s="1" t="s">
        <v>169</v>
      </c>
      <c r="E665" s="1" t="s">
        <v>99</v>
      </c>
      <c r="F665" s="1" t="s">
        <v>23</v>
      </c>
      <c r="G665" s="1" t="s">
        <v>24</v>
      </c>
      <c r="H665" s="1">
        <v>1</v>
      </c>
      <c r="I665" s="1" t="s">
        <v>182</v>
      </c>
      <c r="J665" s="1"/>
      <c r="K665" s="1">
        <v>50760000</v>
      </c>
      <c r="L665" s="1">
        <v>0</v>
      </c>
      <c r="M665" s="1">
        <v>0</v>
      </c>
      <c r="N665" s="1">
        <v>5583600</v>
      </c>
      <c r="O665" s="1">
        <v>0</v>
      </c>
      <c r="P665" s="1">
        <v>0</v>
      </c>
      <c r="Q665" s="1">
        <v>0</v>
      </c>
      <c r="R665" s="1">
        <v>56343600</v>
      </c>
      <c r="S665" s="1">
        <v>50760000</v>
      </c>
      <c r="T665" s="1">
        <v>100</v>
      </c>
      <c r="U665" t="str">
        <f t="shared" si="10"/>
        <v>Week 3</v>
      </c>
    </row>
    <row r="666" spans="1:21" x14ac:dyDescent="0.25">
      <c r="A666" s="1">
        <v>665</v>
      </c>
      <c r="B666" s="1" t="s">
        <v>183</v>
      </c>
      <c r="C666" s="2">
        <v>46097</v>
      </c>
      <c r="D666" s="1" t="s">
        <v>184</v>
      </c>
      <c r="E666" s="1" t="s">
        <v>116</v>
      </c>
      <c r="F666" s="1" t="s">
        <v>30</v>
      </c>
      <c r="G666" s="1" t="s">
        <v>24</v>
      </c>
      <c r="H666" s="1">
        <v>1</v>
      </c>
      <c r="I666" s="1" t="s">
        <v>185</v>
      </c>
      <c r="J666" s="1" t="s">
        <v>26</v>
      </c>
      <c r="K666" s="1">
        <v>24411000</v>
      </c>
      <c r="L666" s="1">
        <v>0</v>
      </c>
      <c r="M666" s="1">
        <v>0</v>
      </c>
      <c r="N666" s="1">
        <v>2685210</v>
      </c>
      <c r="O666" s="1">
        <v>0</v>
      </c>
      <c r="P666" s="1">
        <v>0</v>
      </c>
      <c r="Q666" s="1">
        <v>0</v>
      </c>
      <c r="R666" s="1">
        <v>27096210</v>
      </c>
      <c r="S666" s="1">
        <v>711000</v>
      </c>
      <c r="T666" s="1">
        <v>2.9126213592233001</v>
      </c>
      <c r="U666" t="str">
        <f t="shared" si="10"/>
        <v>Week 3</v>
      </c>
    </row>
    <row r="667" spans="1:21" x14ac:dyDescent="0.25">
      <c r="A667" s="1">
        <v>666</v>
      </c>
      <c r="B667" s="1" t="s">
        <v>186</v>
      </c>
      <c r="C667" s="2">
        <v>46097</v>
      </c>
      <c r="D667" s="1" t="s">
        <v>33</v>
      </c>
      <c r="E667" s="1" t="s">
        <v>34</v>
      </c>
      <c r="F667" s="1" t="s">
        <v>23</v>
      </c>
      <c r="G667" s="1" t="s">
        <v>24</v>
      </c>
      <c r="H667" s="1">
        <v>1</v>
      </c>
      <c r="I667" s="1" t="s">
        <v>187</v>
      </c>
      <c r="J667" s="1"/>
      <c r="K667" s="1">
        <v>379434783</v>
      </c>
      <c r="L667" s="1">
        <v>0</v>
      </c>
      <c r="M667" s="1">
        <v>0</v>
      </c>
      <c r="N667" s="1">
        <v>41737826.130000003</v>
      </c>
      <c r="O667" s="1">
        <v>0</v>
      </c>
      <c r="P667" s="1">
        <v>0</v>
      </c>
      <c r="Q667" s="1">
        <v>0</v>
      </c>
      <c r="R667" s="1">
        <v>421172609.13</v>
      </c>
      <c r="S667" s="1">
        <v>58223583</v>
      </c>
      <c r="T667" s="1">
        <v>15.344819612914</v>
      </c>
      <c r="U667" t="str">
        <f t="shared" si="10"/>
        <v>Week 3</v>
      </c>
    </row>
    <row r="668" spans="1:21" x14ac:dyDescent="0.25">
      <c r="A668" s="1">
        <v>667</v>
      </c>
      <c r="B668" s="1" t="s">
        <v>188</v>
      </c>
      <c r="C668" s="2">
        <v>46097</v>
      </c>
      <c r="D668" s="1" t="s">
        <v>33</v>
      </c>
      <c r="E668" s="1" t="s">
        <v>34</v>
      </c>
      <c r="F668" s="1" t="s">
        <v>30</v>
      </c>
      <c r="G668" s="1" t="s">
        <v>24</v>
      </c>
      <c r="H668" s="1">
        <v>1</v>
      </c>
      <c r="I668" s="1" t="s">
        <v>189</v>
      </c>
      <c r="J668" s="1"/>
      <c r="K668" s="1">
        <v>193256</v>
      </c>
      <c r="L668" s="1">
        <v>0</v>
      </c>
      <c r="M668" s="1">
        <v>0</v>
      </c>
      <c r="N668" s="1">
        <v>21258.16</v>
      </c>
      <c r="O668" s="1">
        <v>0</v>
      </c>
      <c r="P668" s="1">
        <v>0</v>
      </c>
      <c r="Q668" s="1">
        <v>0</v>
      </c>
      <c r="R668" s="1">
        <v>214514.16</v>
      </c>
      <c r="S668" s="1">
        <v>101292.04</v>
      </c>
      <c r="T668" s="1">
        <v>52.413399842696002</v>
      </c>
      <c r="U668" t="str">
        <f t="shared" si="10"/>
        <v>Week 3</v>
      </c>
    </row>
    <row r="669" spans="1:21" x14ac:dyDescent="0.25">
      <c r="A669" s="1">
        <v>668</v>
      </c>
      <c r="B669" s="1" t="s">
        <v>190</v>
      </c>
      <c r="C669" s="2">
        <v>46097</v>
      </c>
      <c r="D669" s="1" t="s">
        <v>33</v>
      </c>
      <c r="E669" s="1" t="s">
        <v>34</v>
      </c>
      <c r="F669" s="1" t="s">
        <v>30</v>
      </c>
      <c r="G669" s="1" t="s">
        <v>24</v>
      </c>
      <c r="H669" s="1">
        <v>1</v>
      </c>
      <c r="I669" s="1" t="s">
        <v>191</v>
      </c>
      <c r="J669" s="1"/>
      <c r="K669" s="1">
        <v>25956000</v>
      </c>
      <c r="L669" s="1">
        <v>0</v>
      </c>
      <c r="M669" s="1">
        <v>0</v>
      </c>
      <c r="N669" s="1">
        <v>2855160</v>
      </c>
      <c r="O669" s="1">
        <v>0</v>
      </c>
      <c r="P669" s="1">
        <v>0</v>
      </c>
      <c r="Q669" s="1">
        <v>0</v>
      </c>
      <c r="R669" s="1">
        <v>28811160</v>
      </c>
      <c r="S669" s="1">
        <v>1656000</v>
      </c>
      <c r="T669" s="1">
        <v>6.3800277392510001</v>
      </c>
      <c r="U669" t="str">
        <f t="shared" si="10"/>
        <v>Week 3</v>
      </c>
    </row>
    <row r="670" spans="1:21" x14ac:dyDescent="0.25">
      <c r="A670" s="1">
        <v>669</v>
      </c>
      <c r="B670" s="1" t="s">
        <v>2209</v>
      </c>
      <c r="C670" s="2">
        <v>46097</v>
      </c>
      <c r="D670" s="1" t="s">
        <v>2210</v>
      </c>
      <c r="E670" s="1" t="s">
        <v>192</v>
      </c>
      <c r="F670" s="1" t="s">
        <v>23</v>
      </c>
      <c r="G670" s="1" t="s">
        <v>24</v>
      </c>
      <c r="H670" s="1">
        <v>1</v>
      </c>
      <c r="I670" s="1" t="s">
        <v>2211</v>
      </c>
      <c r="J670" s="1" t="s">
        <v>56</v>
      </c>
      <c r="K670" s="1">
        <v>71979200</v>
      </c>
      <c r="L670" s="1">
        <v>0</v>
      </c>
      <c r="M670" s="1">
        <v>0</v>
      </c>
      <c r="N670" s="1">
        <v>7917712</v>
      </c>
      <c r="O670" s="1">
        <v>0</v>
      </c>
      <c r="P670" s="1">
        <v>0</v>
      </c>
      <c r="Q670" s="1">
        <v>0</v>
      </c>
      <c r="R670" s="1">
        <v>79896912</v>
      </c>
      <c r="S670" s="1">
        <v>17474695.495496001</v>
      </c>
      <c r="T670" s="1">
        <v>24.277423888423002</v>
      </c>
      <c r="U670" t="str">
        <f t="shared" si="10"/>
        <v>Week 3</v>
      </c>
    </row>
    <row r="671" spans="1:21" x14ac:dyDescent="0.25">
      <c r="A671" s="1">
        <v>670</v>
      </c>
      <c r="B671" s="1" t="s">
        <v>193</v>
      </c>
      <c r="C671" s="2">
        <v>46097</v>
      </c>
      <c r="D671" s="1" t="s">
        <v>53</v>
      </c>
      <c r="E671" s="1" t="s">
        <v>54</v>
      </c>
      <c r="F671" s="1" t="s">
        <v>30</v>
      </c>
      <c r="G671" s="1" t="s">
        <v>24</v>
      </c>
      <c r="H671" s="1">
        <v>1</v>
      </c>
      <c r="I671" s="1" t="s">
        <v>194</v>
      </c>
      <c r="J671" s="1"/>
      <c r="K671" s="1">
        <v>397396855</v>
      </c>
      <c r="L671" s="1">
        <v>0</v>
      </c>
      <c r="M671" s="1">
        <v>0</v>
      </c>
      <c r="N671" s="1">
        <v>43713654.049999997</v>
      </c>
      <c r="O671" s="1">
        <v>0</v>
      </c>
      <c r="P671" s="1">
        <v>0</v>
      </c>
      <c r="Q671" s="1">
        <v>0</v>
      </c>
      <c r="R671" s="1">
        <v>441110509.05000001</v>
      </c>
      <c r="S671" s="1">
        <v>2593605</v>
      </c>
      <c r="T671" s="1">
        <v>0.65264859733225999</v>
      </c>
      <c r="U671" t="str">
        <f t="shared" si="10"/>
        <v>Week 3</v>
      </c>
    </row>
    <row r="672" spans="1:21" x14ac:dyDescent="0.25">
      <c r="A672" s="1">
        <v>671</v>
      </c>
      <c r="B672" s="1" t="s">
        <v>195</v>
      </c>
      <c r="C672" s="2">
        <v>46097</v>
      </c>
      <c r="D672" s="1" t="s">
        <v>33</v>
      </c>
      <c r="E672" s="1" t="s">
        <v>34</v>
      </c>
      <c r="F672" s="1" t="s">
        <v>30</v>
      </c>
      <c r="G672" s="1" t="s">
        <v>24</v>
      </c>
      <c r="H672" s="1">
        <v>1</v>
      </c>
      <c r="I672" s="1" t="s">
        <v>196</v>
      </c>
      <c r="J672" s="1"/>
      <c r="K672" s="1">
        <v>26001515.3202</v>
      </c>
      <c r="L672" s="1">
        <v>0</v>
      </c>
      <c r="M672" s="1">
        <v>0</v>
      </c>
      <c r="N672" s="1">
        <v>2860166.6852219999</v>
      </c>
      <c r="O672" s="1">
        <v>0</v>
      </c>
      <c r="P672" s="1">
        <v>0</v>
      </c>
      <c r="Q672" s="1">
        <v>0</v>
      </c>
      <c r="R672" s="1">
        <v>28861682.005422</v>
      </c>
      <c r="S672" s="1">
        <v>11285074.608488001</v>
      </c>
      <c r="T672" s="1">
        <v>43.401603597007004</v>
      </c>
      <c r="U672" t="str">
        <f t="shared" si="10"/>
        <v>Week 3</v>
      </c>
    </row>
    <row r="673" spans="1:21" x14ac:dyDescent="0.25">
      <c r="A673" s="1">
        <v>672</v>
      </c>
      <c r="B673" s="1" t="s">
        <v>197</v>
      </c>
      <c r="C673" s="2">
        <v>46095</v>
      </c>
      <c r="D673" s="1" t="s">
        <v>53</v>
      </c>
      <c r="E673" s="1" t="s">
        <v>54</v>
      </c>
      <c r="F673" s="1" t="s">
        <v>39</v>
      </c>
      <c r="G673" s="1" t="s">
        <v>24</v>
      </c>
      <c r="H673" s="1">
        <v>1</v>
      </c>
      <c r="I673" s="1" t="s">
        <v>198</v>
      </c>
      <c r="J673" s="1"/>
      <c r="K673" s="1">
        <v>397396855</v>
      </c>
      <c r="L673" s="1">
        <v>0</v>
      </c>
      <c r="M673" s="1">
        <v>0</v>
      </c>
      <c r="N673" s="1">
        <v>43713654.049999997</v>
      </c>
      <c r="O673" s="1">
        <v>0</v>
      </c>
      <c r="P673" s="1">
        <v>0</v>
      </c>
      <c r="Q673" s="1">
        <v>0</v>
      </c>
      <c r="R673" s="1">
        <v>441110509.05000001</v>
      </c>
      <c r="S673" s="1">
        <v>2593605</v>
      </c>
      <c r="T673" s="1">
        <v>0.65264859733225999</v>
      </c>
      <c r="U673" t="str">
        <f t="shared" si="10"/>
        <v>Week 2</v>
      </c>
    </row>
    <row r="674" spans="1:21" x14ac:dyDescent="0.25">
      <c r="A674" s="1">
        <v>673</v>
      </c>
      <c r="B674" s="1" t="s">
        <v>199</v>
      </c>
      <c r="C674" s="2">
        <v>46095</v>
      </c>
      <c r="D674" s="1" t="s">
        <v>98</v>
      </c>
      <c r="E674" s="1" t="s">
        <v>99</v>
      </c>
      <c r="F674" s="1" t="s">
        <v>30</v>
      </c>
      <c r="G674" s="1" t="s">
        <v>24</v>
      </c>
      <c r="H674" s="1">
        <v>1</v>
      </c>
      <c r="I674" s="1" t="s">
        <v>200</v>
      </c>
      <c r="J674" s="1"/>
      <c r="K674" s="1">
        <v>35586500</v>
      </c>
      <c r="L674" s="1">
        <v>0</v>
      </c>
      <c r="M674" s="1">
        <v>0</v>
      </c>
      <c r="N674" s="1">
        <v>3914515</v>
      </c>
      <c r="O674" s="1">
        <v>0</v>
      </c>
      <c r="P674" s="1">
        <v>0</v>
      </c>
      <c r="Q674" s="1">
        <v>0</v>
      </c>
      <c r="R674" s="1">
        <v>39501015</v>
      </c>
      <c r="S674" s="1">
        <v>-24473500</v>
      </c>
      <c r="T674" s="1">
        <v>-68.771865735602006</v>
      </c>
      <c r="U674" t="str">
        <f t="shared" si="10"/>
        <v>Week 2</v>
      </c>
    </row>
    <row r="675" spans="1:21" x14ac:dyDescent="0.25">
      <c r="A675" s="1">
        <v>674</v>
      </c>
      <c r="B675" s="1" t="s">
        <v>201</v>
      </c>
      <c r="C675" s="2">
        <v>46095</v>
      </c>
      <c r="D675" s="1" t="s">
        <v>202</v>
      </c>
      <c r="E675" s="1" t="s">
        <v>203</v>
      </c>
      <c r="F675" s="1" t="s">
        <v>23</v>
      </c>
      <c r="G675" s="1" t="s">
        <v>24</v>
      </c>
      <c r="H675" s="1">
        <v>1</v>
      </c>
      <c r="I675" s="1" t="s">
        <v>204</v>
      </c>
      <c r="J675" s="1" t="s">
        <v>26</v>
      </c>
      <c r="K675" s="1">
        <v>752290</v>
      </c>
      <c r="L675" s="1">
        <v>0</v>
      </c>
      <c r="M675" s="1">
        <v>0</v>
      </c>
      <c r="N675" s="1">
        <v>82751.899999999994</v>
      </c>
      <c r="O675" s="1">
        <v>0</v>
      </c>
      <c r="P675" s="1">
        <v>0</v>
      </c>
      <c r="Q675" s="1">
        <v>0</v>
      </c>
      <c r="R675" s="1">
        <v>835041.9</v>
      </c>
      <c r="S675" s="1">
        <v>487017.1</v>
      </c>
      <c r="T675" s="1">
        <v>64.737946802430002</v>
      </c>
      <c r="U675" t="str">
        <f t="shared" si="10"/>
        <v>Week 2</v>
      </c>
    </row>
    <row r="676" spans="1:21" x14ac:dyDescent="0.25">
      <c r="A676" s="1">
        <v>675</v>
      </c>
      <c r="B676" s="1" t="s">
        <v>205</v>
      </c>
      <c r="C676" s="2">
        <v>46095</v>
      </c>
      <c r="D676" s="1" t="s">
        <v>53</v>
      </c>
      <c r="E676" s="1" t="s">
        <v>54</v>
      </c>
      <c r="F676" s="1" t="s">
        <v>30</v>
      </c>
      <c r="G676" s="1" t="s">
        <v>24</v>
      </c>
      <c r="H676" s="1">
        <v>1</v>
      </c>
      <c r="I676" s="1" t="s">
        <v>206</v>
      </c>
      <c r="J676" s="1"/>
      <c r="K676" s="1">
        <v>4900000</v>
      </c>
      <c r="L676" s="1">
        <v>0</v>
      </c>
      <c r="M676" s="1">
        <v>0</v>
      </c>
      <c r="N676" s="1">
        <v>539000</v>
      </c>
      <c r="O676" s="1">
        <v>0</v>
      </c>
      <c r="P676" s="1">
        <v>0</v>
      </c>
      <c r="Q676" s="1">
        <v>0</v>
      </c>
      <c r="R676" s="1">
        <v>5439000</v>
      </c>
      <c r="S676" s="1">
        <v>1716216.22</v>
      </c>
      <c r="T676" s="1">
        <v>35.024820816327001</v>
      </c>
      <c r="U676" t="str">
        <f t="shared" si="10"/>
        <v>Week 2</v>
      </c>
    </row>
    <row r="677" spans="1:21" x14ac:dyDescent="0.25">
      <c r="A677" s="1">
        <v>676</v>
      </c>
      <c r="B677" s="1" t="s">
        <v>207</v>
      </c>
      <c r="C677" s="2">
        <v>46095</v>
      </c>
      <c r="D677" s="1" t="s">
        <v>53</v>
      </c>
      <c r="E677" s="1" t="s">
        <v>54</v>
      </c>
      <c r="F677" s="1" t="s">
        <v>30</v>
      </c>
      <c r="G677" s="1" t="s">
        <v>24</v>
      </c>
      <c r="H677" s="1">
        <v>1</v>
      </c>
      <c r="I677" s="1" t="s">
        <v>208</v>
      </c>
      <c r="J677" s="1"/>
      <c r="K677" s="1">
        <v>8115625</v>
      </c>
      <c r="L677" s="1">
        <v>0</v>
      </c>
      <c r="M677" s="1">
        <v>0</v>
      </c>
      <c r="N677" s="1">
        <v>892718.75</v>
      </c>
      <c r="O677" s="1">
        <v>0</v>
      </c>
      <c r="P677" s="1">
        <v>0</v>
      </c>
      <c r="Q677" s="1">
        <v>0</v>
      </c>
      <c r="R677" s="1">
        <v>9008343.75</v>
      </c>
      <c r="S677" s="1">
        <v>2557066.4500000002</v>
      </c>
      <c r="T677" s="1">
        <v>31.507942395071002</v>
      </c>
      <c r="U677" t="str">
        <f t="shared" si="10"/>
        <v>Week 2</v>
      </c>
    </row>
    <row r="678" spans="1:21" x14ac:dyDescent="0.25">
      <c r="A678" s="1">
        <v>677</v>
      </c>
      <c r="B678" s="1" t="s">
        <v>209</v>
      </c>
      <c r="C678" s="2">
        <v>46095</v>
      </c>
      <c r="D678" s="1" t="s">
        <v>98</v>
      </c>
      <c r="E678" s="1" t="s">
        <v>99</v>
      </c>
      <c r="F678" s="1" t="s">
        <v>23</v>
      </c>
      <c r="G678" s="1" t="s">
        <v>24</v>
      </c>
      <c r="H678" s="1">
        <v>1</v>
      </c>
      <c r="I678" s="1" t="s">
        <v>210</v>
      </c>
      <c r="J678" s="1"/>
      <c r="K678" s="1">
        <v>18620000</v>
      </c>
      <c r="L678" s="1">
        <v>0</v>
      </c>
      <c r="M678" s="1">
        <v>0</v>
      </c>
      <c r="N678" s="1">
        <v>2048200</v>
      </c>
      <c r="O678" s="1">
        <v>0</v>
      </c>
      <c r="P678" s="1">
        <v>0</v>
      </c>
      <c r="Q678" s="1">
        <v>0</v>
      </c>
      <c r="R678" s="1">
        <v>20668200</v>
      </c>
      <c r="S678" s="1">
        <v>1748000</v>
      </c>
      <c r="T678" s="1">
        <v>9.3877551020407992</v>
      </c>
      <c r="U678" t="str">
        <f t="shared" si="10"/>
        <v>Week 2</v>
      </c>
    </row>
    <row r="679" spans="1:21" x14ac:dyDescent="0.25">
      <c r="A679" s="1">
        <v>678</v>
      </c>
      <c r="B679" s="1" t="s">
        <v>211</v>
      </c>
      <c r="C679" s="2">
        <v>46095</v>
      </c>
      <c r="D679" s="1" t="s">
        <v>53</v>
      </c>
      <c r="E679" s="1" t="s">
        <v>54</v>
      </c>
      <c r="F679" s="1" t="s">
        <v>30</v>
      </c>
      <c r="G679" s="1" t="s">
        <v>24</v>
      </c>
      <c r="H679" s="1">
        <v>1</v>
      </c>
      <c r="I679" s="1" t="s">
        <v>212</v>
      </c>
      <c r="J679" s="1"/>
      <c r="K679" s="1">
        <v>11153625</v>
      </c>
      <c r="L679" s="1">
        <v>0</v>
      </c>
      <c r="M679" s="1">
        <v>0</v>
      </c>
      <c r="N679" s="1">
        <v>1226898.75</v>
      </c>
      <c r="O679" s="1">
        <v>0</v>
      </c>
      <c r="P679" s="1">
        <v>0</v>
      </c>
      <c r="Q679" s="1">
        <v>0</v>
      </c>
      <c r="R679" s="1">
        <v>12380523.75</v>
      </c>
      <c r="S679" s="1">
        <v>3777453.8288288</v>
      </c>
      <c r="T679" s="1">
        <v>33.867498941633997</v>
      </c>
      <c r="U679" t="str">
        <f t="shared" si="10"/>
        <v>Week 2</v>
      </c>
    </row>
    <row r="680" spans="1:21" x14ac:dyDescent="0.25">
      <c r="A680" s="1">
        <v>679</v>
      </c>
      <c r="B680" s="1" t="s">
        <v>213</v>
      </c>
      <c r="C680" s="2">
        <v>46095</v>
      </c>
      <c r="D680" s="1" t="s">
        <v>98</v>
      </c>
      <c r="E680" s="1" t="s">
        <v>99</v>
      </c>
      <c r="F680" s="1" t="s">
        <v>30</v>
      </c>
      <c r="G680" s="1" t="s">
        <v>24</v>
      </c>
      <c r="H680" s="1">
        <v>1</v>
      </c>
      <c r="I680" s="1" t="s">
        <v>214</v>
      </c>
      <c r="J680" s="1" t="s">
        <v>26</v>
      </c>
      <c r="K680" s="1">
        <v>1847300</v>
      </c>
      <c r="L680" s="1">
        <v>0</v>
      </c>
      <c r="M680" s="1">
        <v>0</v>
      </c>
      <c r="N680" s="1">
        <v>203203</v>
      </c>
      <c r="O680" s="1">
        <v>0</v>
      </c>
      <c r="P680" s="1">
        <v>0</v>
      </c>
      <c r="Q680" s="1">
        <v>0</v>
      </c>
      <c r="R680" s="1">
        <v>2050503</v>
      </c>
      <c r="S680" s="1">
        <v>585800</v>
      </c>
      <c r="T680" s="1">
        <v>31.711145996860001</v>
      </c>
      <c r="U680" t="str">
        <f t="shared" si="10"/>
        <v>Week 2</v>
      </c>
    </row>
    <row r="681" spans="1:21" x14ac:dyDescent="0.25">
      <c r="A681" s="1">
        <v>680</v>
      </c>
      <c r="B681" s="1" t="s">
        <v>215</v>
      </c>
      <c r="C681" s="2">
        <v>46095</v>
      </c>
      <c r="D681" s="1" t="s">
        <v>98</v>
      </c>
      <c r="E681" s="1" t="s">
        <v>99</v>
      </c>
      <c r="F681" s="1" t="s">
        <v>30</v>
      </c>
      <c r="G681" s="1" t="s">
        <v>24</v>
      </c>
      <c r="H681" s="1">
        <v>1</v>
      </c>
      <c r="I681" s="1" t="s">
        <v>216</v>
      </c>
      <c r="J681" s="1"/>
      <c r="K681" s="1">
        <v>66641006.399999999</v>
      </c>
      <c r="L681" s="1">
        <v>0</v>
      </c>
      <c r="M681" s="1">
        <v>0</v>
      </c>
      <c r="N681" s="1">
        <v>7330510.7039999999</v>
      </c>
      <c r="O681" s="1">
        <v>0</v>
      </c>
      <c r="P681" s="1">
        <v>0</v>
      </c>
      <c r="Q681" s="1">
        <v>0</v>
      </c>
      <c r="R681" s="1">
        <v>73971517.104000002</v>
      </c>
      <c r="S681" s="1">
        <v>1941004.8</v>
      </c>
      <c r="T681" s="1">
        <v>2.9126282822763998</v>
      </c>
      <c r="U681" t="str">
        <f t="shared" si="10"/>
        <v>Week 2</v>
      </c>
    </row>
    <row r="682" spans="1:21" x14ac:dyDescent="0.25">
      <c r="A682" s="1">
        <v>681</v>
      </c>
      <c r="B682" s="1" t="s">
        <v>217</v>
      </c>
      <c r="C682" s="2">
        <v>46095</v>
      </c>
      <c r="D682" s="1" t="s">
        <v>169</v>
      </c>
      <c r="E682" s="1" t="s">
        <v>99</v>
      </c>
      <c r="F682" s="1" t="s">
        <v>30</v>
      </c>
      <c r="G682" s="1" t="s">
        <v>24</v>
      </c>
      <c r="H682" s="1">
        <v>1</v>
      </c>
      <c r="I682" s="1" t="s">
        <v>218</v>
      </c>
      <c r="J682" s="1"/>
      <c r="K682" s="1">
        <v>17534205</v>
      </c>
      <c r="L682" s="1">
        <v>0</v>
      </c>
      <c r="M682" s="1">
        <v>0</v>
      </c>
      <c r="N682" s="1">
        <v>1928762.55</v>
      </c>
      <c r="O682" s="1">
        <v>0</v>
      </c>
      <c r="P682" s="1">
        <v>0</v>
      </c>
      <c r="Q682" s="1">
        <v>0</v>
      </c>
      <c r="R682" s="1">
        <v>19462967.550000001</v>
      </c>
      <c r="S682" s="1">
        <v>510705</v>
      </c>
      <c r="T682" s="1">
        <v>2.9126213592233001</v>
      </c>
      <c r="U682" t="str">
        <f t="shared" si="10"/>
        <v>Week 2</v>
      </c>
    </row>
    <row r="683" spans="1:21" x14ac:dyDescent="0.25">
      <c r="A683" s="1">
        <v>682</v>
      </c>
      <c r="B683" s="1" t="s">
        <v>219</v>
      </c>
      <c r="C683" s="2">
        <v>46095</v>
      </c>
      <c r="D683" s="1" t="s">
        <v>169</v>
      </c>
      <c r="E683" s="1" t="s">
        <v>99</v>
      </c>
      <c r="F683" s="1" t="s">
        <v>30</v>
      </c>
      <c r="G683" s="1" t="s">
        <v>24</v>
      </c>
      <c r="H683" s="1">
        <v>1</v>
      </c>
      <c r="I683" s="1" t="s">
        <v>218</v>
      </c>
      <c r="J683" s="1" t="s">
        <v>26</v>
      </c>
      <c r="K683" s="1">
        <v>6074534</v>
      </c>
      <c r="L683" s="1">
        <v>0</v>
      </c>
      <c r="M683" s="1">
        <v>0</v>
      </c>
      <c r="N683" s="1">
        <v>668198.74</v>
      </c>
      <c r="O683" s="1">
        <v>0</v>
      </c>
      <c r="P683" s="1">
        <v>0</v>
      </c>
      <c r="Q683" s="1">
        <v>0</v>
      </c>
      <c r="R683" s="1">
        <v>6742732.7400000002</v>
      </c>
      <c r="S683" s="1">
        <v>554534</v>
      </c>
      <c r="T683" s="1">
        <v>9.1288319400303006</v>
      </c>
      <c r="U683" t="str">
        <f t="shared" si="10"/>
        <v>Week 2</v>
      </c>
    </row>
    <row r="684" spans="1:21" x14ac:dyDescent="0.25">
      <c r="A684" s="1">
        <v>683</v>
      </c>
      <c r="B684" s="1" t="s">
        <v>220</v>
      </c>
      <c r="C684" s="2">
        <v>46095</v>
      </c>
      <c r="D684" s="1" t="s">
        <v>169</v>
      </c>
      <c r="E684" s="1" t="s">
        <v>99</v>
      </c>
      <c r="F684" s="1" t="s">
        <v>30</v>
      </c>
      <c r="G684" s="1" t="s">
        <v>24</v>
      </c>
      <c r="H684" s="1">
        <v>1</v>
      </c>
      <c r="I684" s="1" t="s">
        <v>221</v>
      </c>
      <c r="J684" s="1"/>
      <c r="K684" s="1">
        <v>63275732.520000003</v>
      </c>
      <c r="L684" s="1">
        <v>0</v>
      </c>
      <c r="M684" s="1">
        <v>0</v>
      </c>
      <c r="N684" s="1">
        <v>6960330.5772000002</v>
      </c>
      <c r="O684" s="1">
        <v>0</v>
      </c>
      <c r="P684" s="1">
        <v>0</v>
      </c>
      <c r="Q684" s="1">
        <v>0</v>
      </c>
      <c r="R684" s="1">
        <v>70236063.097200006</v>
      </c>
      <c r="S684" s="1">
        <v>46370714.520000003</v>
      </c>
      <c r="T684" s="1">
        <v>73.283568080928006</v>
      </c>
      <c r="U684" t="str">
        <f t="shared" si="10"/>
        <v>Week 2</v>
      </c>
    </row>
    <row r="685" spans="1:21" x14ac:dyDescent="0.25">
      <c r="A685" s="1">
        <v>684</v>
      </c>
      <c r="B685" s="1" t="s">
        <v>222</v>
      </c>
      <c r="C685" s="2">
        <v>46095</v>
      </c>
      <c r="D685" s="1" t="s">
        <v>169</v>
      </c>
      <c r="E685" s="1" t="s">
        <v>99</v>
      </c>
      <c r="F685" s="1" t="s">
        <v>30</v>
      </c>
      <c r="G685" s="1" t="s">
        <v>24</v>
      </c>
      <c r="H685" s="1">
        <v>1</v>
      </c>
      <c r="I685" s="1" t="s">
        <v>221</v>
      </c>
      <c r="J685" s="1" t="s">
        <v>26</v>
      </c>
      <c r="K685" s="1">
        <v>2997300</v>
      </c>
      <c r="L685" s="1">
        <v>0</v>
      </c>
      <c r="M685" s="1">
        <v>0</v>
      </c>
      <c r="N685" s="1">
        <v>329703</v>
      </c>
      <c r="O685" s="1">
        <v>0</v>
      </c>
      <c r="P685" s="1">
        <v>0</v>
      </c>
      <c r="Q685" s="1">
        <v>0</v>
      </c>
      <c r="R685" s="1">
        <v>3327003</v>
      </c>
      <c r="S685" s="1">
        <v>669300</v>
      </c>
      <c r="T685" s="1">
        <v>22.330097087378999</v>
      </c>
      <c r="U685" t="str">
        <f t="shared" si="10"/>
        <v>Week 2</v>
      </c>
    </row>
    <row r="686" spans="1:21" x14ac:dyDescent="0.25">
      <c r="A686" s="1">
        <v>685</v>
      </c>
      <c r="B686" s="1" t="s">
        <v>223</v>
      </c>
      <c r="C686" s="2">
        <v>46094</v>
      </c>
      <c r="D686" s="1" t="s">
        <v>37</v>
      </c>
      <c r="E686" s="1" t="s">
        <v>38</v>
      </c>
      <c r="F686" s="1" t="s">
        <v>30</v>
      </c>
      <c r="G686" s="1" t="s">
        <v>24</v>
      </c>
      <c r="H686" s="1">
        <v>1</v>
      </c>
      <c r="I686" s="1" t="s">
        <v>224</v>
      </c>
      <c r="J686" s="1"/>
      <c r="K686" s="1">
        <v>539000</v>
      </c>
      <c r="L686" s="1">
        <v>0</v>
      </c>
      <c r="M686" s="1">
        <v>0</v>
      </c>
      <c r="N686" s="1">
        <v>59290</v>
      </c>
      <c r="O686" s="1">
        <v>0</v>
      </c>
      <c r="P686" s="1">
        <v>0</v>
      </c>
      <c r="Q686" s="1">
        <v>0</v>
      </c>
      <c r="R686" s="1">
        <v>598290</v>
      </c>
      <c r="S686" s="1">
        <v>39000</v>
      </c>
      <c r="T686" s="1">
        <v>0</v>
      </c>
      <c r="U686" t="str">
        <f t="shared" si="10"/>
        <v>Week 2</v>
      </c>
    </row>
    <row r="687" spans="1:21" x14ac:dyDescent="0.25">
      <c r="A687" s="1">
        <v>686</v>
      </c>
      <c r="B687" s="1" t="s">
        <v>226</v>
      </c>
      <c r="C687" s="2">
        <v>46094</v>
      </c>
      <c r="D687" s="1" t="s">
        <v>21</v>
      </c>
      <c r="E687" s="1" t="s">
        <v>22</v>
      </c>
      <c r="F687" s="1" t="s">
        <v>30</v>
      </c>
      <c r="G687" s="1" t="s">
        <v>24</v>
      </c>
      <c r="H687" s="1">
        <v>1</v>
      </c>
      <c r="I687" s="1" t="s">
        <v>227</v>
      </c>
      <c r="J687" s="1" t="s">
        <v>26</v>
      </c>
      <c r="K687" s="1">
        <v>3479000</v>
      </c>
      <c r="L687" s="1">
        <v>0</v>
      </c>
      <c r="M687" s="1">
        <v>0</v>
      </c>
      <c r="N687" s="1">
        <v>382690</v>
      </c>
      <c r="O687" s="1">
        <v>0</v>
      </c>
      <c r="P687" s="1">
        <v>0</v>
      </c>
      <c r="Q687" s="1">
        <v>0</v>
      </c>
      <c r="R687" s="1">
        <v>3861690</v>
      </c>
      <c r="S687" s="1">
        <v>737550</v>
      </c>
      <c r="T687" s="1">
        <v>0</v>
      </c>
      <c r="U687" t="str">
        <f t="shared" si="10"/>
        <v>Week 2</v>
      </c>
    </row>
    <row r="688" spans="1:21" x14ac:dyDescent="0.25">
      <c r="A688" s="1">
        <v>687</v>
      </c>
      <c r="B688" s="1" t="s">
        <v>228</v>
      </c>
      <c r="C688" s="2">
        <v>46094</v>
      </c>
      <c r="D688" s="1" t="s">
        <v>98</v>
      </c>
      <c r="E688" s="1" t="s">
        <v>99</v>
      </c>
      <c r="F688" s="1" t="s">
        <v>30</v>
      </c>
      <c r="G688" s="1" t="s">
        <v>24</v>
      </c>
      <c r="H688" s="1">
        <v>1</v>
      </c>
      <c r="I688" s="1" t="s">
        <v>229</v>
      </c>
      <c r="J688" s="1" t="s">
        <v>26</v>
      </c>
      <c r="K688" s="1">
        <v>1911000</v>
      </c>
      <c r="L688" s="1">
        <v>0</v>
      </c>
      <c r="M688" s="1">
        <v>0</v>
      </c>
      <c r="N688" s="1">
        <v>210210</v>
      </c>
      <c r="O688" s="1">
        <v>0</v>
      </c>
      <c r="P688" s="1">
        <v>0</v>
      </c>
      <c r="Q688" s="1">
        <v>0</v>
      </c>
      <c r="R688" s="1">
        <v>2121210</v>
      </c>
      <c r="S688" s="1">
        <v>667756.76</v>
      </c>
      <c r="T688" s="1">
        <v>34.942792255363997</v>
      </c>
      <c r="U688" t="str">
        <f t="shared" si="10"/>
        <v>Week 2</v>
      </c>
    </row>
    <row r="689" spans="1:21" x14ac:dyDescent="0.25">
      <c r="A689" s="1">
        <v>688</v>
      </c>
      <c r="B689" s="1" t="s">
        <v>230</v>
      </c>
      <c r="C689" s="2">
        <v>46094</v>
      </c>
      <c r="D689" s="1" t="s">
        <v>33</v>
      </c>
      <c r="E689" s="1" t="s">
        <v>34</v>
      </c>
      <c r="F689" s="1" t="s">
        <v>23</v>
      </c>
      <c r="G689" s="1" t="s">
        <v>24</v>
      </c>
      <c r="H689" s="1">
        <v>1</v>
      </c>
      <c r="I689" s="1" t="s">
        <v>231</v>
      </c>
      <c r="J689" s="1"/>
      <c r="K689" s="1">
        <v>55162500</v>
      </c>
      <c r="L689" s="1">
        <v>0</v>
      </c>
      <c r="M689" s="1">
        <v>0</v>
      </c>
      <c r="N689" s="1">
        <v>6067875</v>
      </c>
      <c r="O689" s="1">
        <v>0</v>
      </c>
      <c r="P689" s="1">
        <v>0</v>
      </c>
      <c r="Q689" s="1">
        <v>0</v>
      </c>
      <c r="R689" s="1">
        <v>61230375</v>
      </c>
      <c r="S689" s="1">
        <v>14872500</v>
      </c>
      <c r="T689" s="1">
        <v>26.961250849761999</v>
      </c>
      <c r="U689" t="str">
        <f t="shared" si="10"/>
        <v>Week 2</v>
      </c>
    </row>
    <row r="690" spans="1:21" x14ac:dyDescent="0.25">
      <c r="A690" s="1">
        <v>689</v>
      </c>
      <c r="B690" s="1" t="s">
        <v>232</v>
      </c>
      <c r="C690" s="2">
        <v>46094</v>
      </c>
      <c r="D690" s="1" t="s">
        <v>202</v>
      </c>
      <c r="E690" s="1" t="s">
        <v>203</v>
      </c>
      <c r="F690" s="1" t="s">
        <v>23</v>
      </c>
      <c r="G690" s="1" t="s">
        <v>24</v>
      </c>
      <c r="H690" s="1">
        <v>1</v>
      </c>
      <c r="I690" s="1" t="s">
        <v>233</v>
      </c>
      <c r="J690" s="1" t="s">
        <v>26</v>
      </c>
      <c r="K690" s="1">
        <v>42450000</v>
      </c>
      <c r="L690" s="1">
        <v>0</v>
      </c>
      <c r="M690" s="1">
        <v>0</v>
      </c>
      <c r="N690" s="1">
        <v>4669500</v>
      </c>
      <c r="O690" s="1">
        <v>0</v>
      </c>
      <c r="P690" s="1">
        <v>0</v>
      </c>
      <c r="Q690" s="1">
        <v>0</v>
      </c>
      <c r="R690" s="1">
        <v>47119500</v>
      </c>
      <c r="S690" s="1">
        <v>8850000</v>
      </c>
      <c r="T690" s="1">
        <v>20.848056537102</v>
      </c>
      <c r="U690" t="str">
        <f t="shared" si="10"/>
        <v>Week 2</v>
      </c>
    </row>
    <row r="691" spans="1:21" x14ac:dyDescent="0.25">
      <c r="A691" s="1">
        <v>690</v>
      </c>
      <c r="B691" s="1" t="s">
        <v>234</v>
      </c>
      <c r="C691" s="2">
        <v>46094</v>
      </c>
      <c r="D691" s="1" t="s">
        <v>53</v>
      </c>
      <c r="E691" s="1" t="s">
        <v>54</v>
      </c>
      <c r="F691" s="1" t="s">
        <v>23</v>
      </c>
      <c r="G691" s="1" t="s">
        <v>24</v>
      </c>
      <c r="H691" s="1">
        <v>1</v>
      </c>
      <c r="I691" s="1" t="s">
        <v>235</v>
      </c>
      <c r="J691" s="1"/>
      <c r="K691" s="1">
        <v>48732600</v>
      </c>
      <c r="L691" s="1">
        <v>0</v>
      </c>
      <c r="M691" s="1">
        <v>0</v>
      </c>
      <c r="N691" s="1">
        <v>5360586</v>
      </c>
      <c r="O691" s="1">
        <v>0</v>
      </c>
      <c r="P691" s="1">
        <v>0</v>
      </c>
      <c r="Q691" s="1">
        <v>0</v>
      </c>
      <c r="R691" s="1">
        <v>54093186</v>
      </c>
      <c r="S691" s="1">
        <v>17118244.621630002</v>
      </c>
      <c r="T691" s="1">
        <v>35.126885537874003</v>
      </c>
      <c r="U691" t="str">
        <f t="shared" si="10"/>
        <v>Week 2</v>
      </c>
    </row>
    <row r="692" spans="1:21" x14ac:dyDescent="0.25">
      <c r="A692" s="1">
        <v>691</v>
      </c>
      <c r="B692" s="1" t="s">
        <v>236</v>
      </c>
      <c r="C692" s="2">
        <v>46094</v>
      </c>
      <c r="D692" s="1" t="s">
        <v>33</v>
      </c>
      <c r="E692" s="1" t="s">
        <v>34</v>
      </c>
      <c r="F692" s="1" t="s">
        <v>30</v>
      </c>
      <c r="G692" s="1" t="s">
        <v>24</v>
      </c>
      <c r="H692" s="1">
        <v>1</v>
      </c>
      <c r="I692" s="1" t="s">
        <v>237</v>
      </c>
      <c r="J692" s="1"/>
      <c r="K692" s="1">
        <v>59475290</v>
      </c>
      <c r="L692" s="1">
        <v>0</v>
      </c>
      <c r="M692" s="1">
        <v>0</v>
      </c>
      <c r="N692" s="1">
        <v>6542281.9000000004</v>
      </c>
      <c r="O692" s="1">
        <v>0</v>
      </c>
      <c r="P692" s="1">
        <v>0</v>
      </c>
      <c r="Q692" s="1">
        <v>0</v>
      </c>
      <c r="R692" s="1">
        <v>66017571.899999999</v>
      </c>
      <c r="S692" s="1">
        <v>18559533.600000001</v>
      </c>
      <c r="T692" s="1">
        <v>31.2054528864</v>
      </c>
      <c r="U692" t="str">
        <f t="shared" si="10"/>
        <v>Week 2</v>
      </c>
    </row>
    <row r="693" spans="1:21" x14ac:dyDescent="0.25">
      <c r="A693" s="1">
        <v>692</v>
      </c>
      <c r="B693" s="1" t="s">
        <v>238</v>
      </c>
      <c r="C693" s="2">
        <v>46094</v>
      </c>
      <c r="D693" s="1" t="s">
        <v>98</v>
      </c>
      <c r="E693" s="1" t="s">
        <v>99</v>
      </c>
      <c r="F693" s="1" t="s">
        <v>30</v>
      </c>
      <c r="G693" s="1" t="s">
        <v>24</v>
      </c>
      <c r="H693" s="1">
        <v>1</v>
      </c>
      <c r="I693" s="1" t="s">
        <v>239</v>
      </c>
      <c r="J693" s="1" t="s">
        <v>56</v>
      </c>
      <c r="K693" s="1">
        <v>91874907</v>
      </c>
      <c r="L693" s="1">
        <v>0</v>
      </c>
      <c r="M693" s="1">
        <v>0</v>
      </c>
      <c r="N693" s="1">
        <v>10106239.77</v>
      </c>
      <c r="O693" s="1">
        <v>0</v>
      </c>
      <c r="P693" s="1">
        <v>0</v>
      </c>
      <c r="Q693" s="1">
        <v>0</v>
      </c>
      <c r="R693" s="1">
        <v>101981146.77</v>
      </c>
      <c r="S693" s="1">
        <v>-46668393</v>
      </c>
      <c r="T693" s="1">
        <v>-50.795581213486003</v>
      </c>
      <c r="U693" t="str">
        <f t="shared" si="10"/>
        <v>Week 2</v>
      </c>
    </row>
    <row r="694" spans="1:21" x14ac:dyDescent="0.25">
      <c r="A694" s="1">
        <v>693</v>
      </c>
      <c r="B694" s="1" t="s">
        <v>240</v>
      </c>
      <c r="C694" s="2">
        <v>46094</v>
      </c>
      <c r="D694" s="1" t="s">
        <v>112</v>
      </c>
      <c r="E694" s="1" t="s">
        <v>38</v>
      </c>
      <c r="F694" s="1" t="s">
        <v>30</v>
      </c>
      <c r="G694" s="1" t="s">
        <v>24</v>
      </c>
      <c r="H694" s="1">
        <v>1</v>
      </c>
      <c r="I694" s="1" t="s">
        <v>2917</v>
      </c>
      <c r="J694" s="1"/>
      <c r="K694" s="1">
        <v>3867325</v>
      </c>
      <c r="L694" s="1">
        <v>0</v>
      </c>
      <c r="M694" s="1">
        <v>0</v>
      </c>
      <c r="N694" s="1">
        <v>425405.75</v>
      </c>
      <c r="O694" s="1">
        <v>0</v>
      </c>
      <c r="P694" s="1">
        <v>0</v>
      </c>
      <c r="Q694" s="1">
        <v>0</v>
      </c>
      <c r="R694" s="1">
        <v>4292730.75</v>
      </c>
      <c r="S694" s="1">
        <v>717325</v>
      </c>
      <c r="T694" s="1">
        <v>18.548350604100001</v>
      </c>
      <c r="U694" t="str">
        <f t="shared" si="10"/>
        <v>Week 2</v>
      </c>
    </row>
    <row r="695" spans="1:21" x14ac:dyDescent="0.25">
      <c r="A695" s="1">
        <v>694</v>
      </c>
      <c r="B695" s="1" t="s">
        <v>241</v>
      </c>
      <c r="C695" s="2">
        <v>46094</v>
      </c>
      <c r="D695" s="1" t="s">
        <v>21</v>
      </c>
      <c r="E695" s="1" t="s">
        <v>22</v>
      </c>
      <c r="F695" s="1" t="s">
        <v>23</v>
      </c>
      <c r="G695" s="1" t="s">
        <v>24</v>
      </c>
      <c r="H695" s="1">
        <v>1</v>
      </c>
      <c r="I695" s="1" t="s">
        <v>242</v>
      </c>
      <c r="J695" s="1" t="s">
        <v>26</v>
      </c>
      <c r="K695" s="1">
        <v>2970000</v>
      </c>
      <c r="L695" s="1">
        <v>0</v>
      </c>
      <c r="M695" s="1">
        <v>0</v>
      </c>
      <c r="N695" s="1">
        <v>326700</v>
      </c>
      <c r="O695" s="1">
        <v>0</v>
      </c>
      <c r="P695" s="1">
        <v>0</v>
      </c>
      <c r="Q695" s="1">
        <v>0</v>
      </c>
      <c r="R695" s="1">
        <v>3296700</v>
      </c>
      <c r="S695" s="1">
        <v>595000</v>
      </c>
      <c r="T695" s="1">
        <v>20.033670033669999</v>
      </c>
      <c r="U695" t="str">
        <f t="shared" si="10"/>
        <v>Week 2</v>
      </c>
    </row>
    <row r="696" spans="1:21" x14ac:dyDescent="0.25">
      <c r="A696" s="1">
        <v>695</v>
      </c>
      <c r="B696" s="1" t="s">
        <v>243</v>
      </c>
      <c r="C696" s="2">
        <v>46094</v>
      </c>
      <c r="D696" s="1" t="s">
        <v>169</v>
      </c>
      <c r="E696" s="1" t="s">
        <v>99</v>
      </c>
      <c r="F696" s="1" t="s">
        <v>30</v>
      </c>
      <c r="G696" s="1" t="s">
        <v>24</v>
      </c>
      <c r="H696" s="1">
        <v>1</v>
      </c>
      <c r="I696" s="1" t="s">
        <v>244</v>
      </c>
      <c r="J696" s="1" t="s">
        <v>26</v>
      </c>
      <c r="K696" s="1">
        <v>56234918</v>
      </c>
      <c r="L696" s="1">
        <v>0</v>
      </c>
      <c r="M696" s="1">
        <v>0</v>
      </c>
      <c r="N696" s="1">
        <v>6185840.9800000004</v>
      </c>
      <c r="O696" s="1">
        <v>0</v>
      </c>
      <c r="P696" s="1">
        <v>0</v>
      </c>
      <c r="Q696" s="1">
        <v>0</v>
      </c>
      <c r="R696" s="1">
        <v>62420758.979999997</v>
      </c>
      <c r="S696" s="1">
        <v>4242432</v>
      </c>
      <c r="T696" s="1">
        <v>7.5441240974157999</v>
      </c>
      <c r="U696" t="str">
        <f t="shared" si="10"/>
        <v>Week 2</v>
      </c>
    </row>
    <row r="697" spans="1:21" x14ac:dyDescent="0.25">
      <c r="A697" s="1">
        <v>696</v>
      </c>
      <c r="B697" s="1" t="s">
        <v>245</v>
      </c>
      <c r="C697" s="2">
        <v>46094</v>
      </c>
      <c r="D697" s="1" t="s">
        <v>53</v>
      </c>
      <c r="E697" s="1" t="s">
        <v>54</v>
      </c>
      <c r="F697" s="1" t="s">
        <v>23</v>
      </c>
      <c r="G697" s="1" t="s">
        <v>24</v>
      </c>
      <c r="H697" s="1">
        <v>1</v>
      </c>
      <c r="I697" s="1" t="s">
        <v>246</v>
      </c>
      <c r="J697" s="1"/>
      <c r="K697" s="1">
        <v>35981698</v>
      </c>
      <c r="L697" s="1">
        <v>0</v>
      </c>
      <c r="M697" s="1">
        <v>0</v>
      </c>
      <c r="N697" s="1">
        <v>3957986.78</v>
      </c>
      <c r="O697" s="1">
        <v>0</v>
      </c>
      <c r="P697" s="1">
        <v>0</v>
      </c>
      <c r="Q697" s="1">
        <v>0</v>
      </c>
      <c r="R697" s="1">
        <v>39939684.780000001</v>
      </c>
      <c r="S697" s="1">
        <v>10293498</v>
      </c>
      <c r="T697" s="1">
        <v>28.607593782816998</v>
      </c>
      <c r="U697" t="str">
        <f t="shared" si="10"/>
        <v>Week 2</v>
      </c>
    </row>
    <row r="698" spans="1:21" x14ac:dyDescent="0.25">
      <c r="A698" s="1">
        <v>697</v>
      </c>
      <c r="B698" s="1" t="s">
        <v>247</v>
      </c>
      <c r="C698" s="2">
        <v>46094</v>
      </c>
      <c r="D698" s="1" t="s">
        <v>248</v>
      </c>
      <c r="E698" s="1" t="s">
        <v>116</v>
      </c>
      <c r="F698" s="1" t="s">
        <v>23</v>
      </c>
      <c r="G698" s="1" t="s">
        <v>24</v>
      </c>
      <c r="H698" s="1">
        <v>1</v>
      </c>
      <c r="I698" s="1" t="s">
        <v>249</v>
      </c>
      <c r="J698" s="1" t="s">
        <v>26</v>
      </c>
      <c r="K698" s="1">
        <v>19580110</v>
      </c>
      <c r="L698" s="1">
        <v>0</v>
      </c>
      <c r="M698" s="1">
        <v>0</v>
      </c>
      <c r="N698" s="1">
        <v>2153812.1</v>
      </c>
      <c r="O698" s="1">
        <v>0</v>
      </c>
      <c r="P698" s="1">
        <v>0</v>
      </c>
      <c r="Q698" s="1">
        <v>0</v>
      </c>
      <c r="R698" s="1">
        <v>21733922.100000001</v>
      </c>
      <c r="S698" s="1">
        <v>12196398.289999999</v>
      </c>
      <c r="T698" s="1">
        <v>62.289733254818003</v>
      </c>
      <c r="U698" t="str">
        <f t="shared" si="10"/>
        <v>Week 2</v>
      </c>
    </row>
    <row r="699" spans="1:21" x14ac:dyDescent="0.25">
      <c r="A699" s="1">
        <v>698</v>
      </c>
      <c r="B699" s="1" t="s">
        <v>390</v>
      </c>
      <c r="C699" s="2">
        <v>46094</v>
      </c>
      <c r="D699" s="1" t="s">
        <v>306</v>
      </c>
      <c r="E699" s="1" t="s">
        <v>99</v>
      </c>
      <c r="F699" s="1" t="s">
        <v>30</v>
      </c>
      <c r="G699" s="1" t="s">
        <v>24</v>
      </c>
      <c r="H699" s="1">
        <v>1</v>
      </c>
      <c r="I699" s="1" t="s">
        <v>2736</v>
      </c>
      <c r="J699" s="1" t="s">
        <v>56</v>
      </c>
      <c r="K699" s="1">
        <v>13996773</v>
      </c>
      <c r="L699" s="1">
        <v>0</v>
      </c>
      <c r="M699" s="1">
        <v>0</v>
      </c>
      <c r="N699" s="1">
        <v>1539645.03</v>
      </c>
      <c r="O699" s="1">
        <v>0</v>
      </c>
      <c r="P699" s="1">
        <v>0</v>
      </c>
      <c r="Q699" s="1">
        <v>0</v>
      </c>
      <c r="R699" s="1">
        <v>15536418.029999999</v>
      </c>
      <c r="S699" s="1">
        <v>407673</v>
      </c>
      <c r="T699" s="1">
        <v>2.9126213592233001</v>
      </c>
      <c r="U699" t="str">
        <f t="shared" si="10"/>
        <v>Week 2</v>
      </c>
    </row>
    <row r="700" spans="1:21" x14ac:dyDescent="0.25">
      <c r="A700" s="1">
        <v>699</v>
      </c>
      <c r="B700" s="1" t="s">
        <v>250</v>
      </c>
      <c r="C700" s="2">
        <v>46093</v>
      </c>
      <c r="D700" s="1" t="s">
        <v>2979</v>
      </c>
      <c r="E700" s="1" t="s">
        <v>203</v>
      </c>
      <c r="F700" s="1" t="s">
        <v>30</v>
      </c>
      <c r="G700" s="1" t="s">
        <v>24</v>
      </c>
      <c r="H700" s="1">
        <v>1</v>
      </c>
      <c r="I700" s="1" t="s">
        <v>251</v>
      </c>
      <c r="J700" s="1" t="s">
        <v>26</v>
      </c>
      <c r="K700" s="1">
        <v>64937290</v>
      </c>
      <c r="L700" s="1">
        <v>0</v>
      </c>
      <c r="M700" s="1">
        <v>0</v>
      </c>
      <c r="N700" s="1">
        <v>7143101.9000000004</v>
      </c>
      <c r="O700" s="1">
        <v>0</v>
      </c>
      <c r="P700" s="1">
        <v>0</v>
      </c>
      <c r="Q700" s="1">
        <v>0</v>
      </c>
      <c r="R700" s="1">
        <v>72080391.900000006</v>
      </c>
      <c r="S700" s="1">
        <v>2991118.4</v>
      </c>
      <c r="T700" s="1">
        <v>4.6061645011671999</v>
      </c>
      <c r="U700" t="str">
        <f t="shared" si="10"/>
        <v>Week 2</v>
      </c>
    </row>
    <row r="701" spans="1:21" x14ac:dyDescent="0.25">
      <c r="A701" s="1">
        <v>700</v>
      </c>
      <c r="B701" s="1" t="s">
        <v>252</v>
      </c>
      <c r="C701" s="2">
        <v>46093</v>
      </c>
      <c r="D701" s="1" t="s">
        <v>53</v>
      </c>
      <c r="E701" s="1" t="s">
        <v>54</v>
      </c>
      <c r="F701" s="1" t="s">
        <v>23</v>
      </c>
      <c r="G701" s="1" t="s">
        <v>24</v>
      </c>
      <c r="H701" s="1">
        <v>1</v>
      </c>
      <c r="I701" s="1" t="s">
        <v>253</v>
      </c>
      <c r="J701" s="1"/>
      <c r="K701" s="1">
        <v>44850000</v>
      </c>
      <c r="L701" s="1">
        <v>0</v>
      </c>
      <c r="M701" s="1">
        <v>0</v>
      </c>
      <c r="N701" s="1">
        <v>4933500</v>
      </c>
      <c r="O701" s="1">
        <v>0</v>
      </c>
      <c r="P701" s="1">
        <v>0</v>
      </c>
      <c r="Q701" s="1">
        <v>0</v>
      </c>
      <c r="R701" s="1">
        <v>49783500</v>
      </c>
      <c r="S701" s="1">
        <v>19201351.338</v>
      </c>
      <c r="T701" s="1">
        <v>42.812377565216998</v>
      </c>
      <c r="U701" t="str">
        <f t="shared" si="10"/>
        <v>Week 2</v>
      </c>
    </row>
    <row r="702" spans="1:21" x14ac:dyDescent="0.25">
      <c r="A702" s="1">
        <v>701</v>
      </c>
      <c r="B702" s="1" t="s">
        <v>254</v>
      </c>
      <c r="C702" s="2">
        <v>46093</v>
      </c>
      <c r="D702" s="1" t="s">
        <v>169</v>
      </c>
      <c r="E702" s="1" t="s">
        <v>99</v>
      </c>
      <c r="F702" s="1" t="s">
        <v>30</v>
      </c>
      <c r="G702" s="1" t="s">
        <v>24</v>
      </c>
      <c r="H702" s="1">
        <v>1</v>
      </c>
      <c r="I702" s="1" t="s">
        <v>255</v>
      </c>
      <c r="J702" s="1" t="s">
        <v>26</v>
      </c>
      <c r="K702" s="1">
        <v>17084610</v>
      </c>
      <c r="L702" s="1">
        <v>0</v>
      </c>
      <c r="M702" s="1">
        <v>0</v>
      </c>
      <c r="N702" s="1">
        <v>1879307.1</v>
      </c>
      <c r="O702" s="1">
        <v>0</v>
      </c>
      <c r="P702" s="1">
        <v>0</v>
      </c>
      <c r="Q702" s="1">
        <v>0</v>
      </c>
      <c r="R702" s="1">
        <v>18963917.100000001</v>
      </c>
      <c r="S702" s="1">
        <v>3989169</v>
      </c>
      <c r="T702" s="1">
        <v>23.349488223611999</v>
      </c>
      <c r="U702" t="str">
        <f t="shared" si="10"/>
        <v>Week 2</v>
      </c>
    </row>
    <row r="703" spans="1:21" x14ac:dyDescent="0.25">
      <c r="A703" s="1">
        <v>702</v>
      </c>
      <c r="B703" s="1" t="s">
        <v>256</v>
      </c>
      <c r="C703" s="2">
        <v>46093</v>
      </c>
      <c r="D703" s="1" t="s">
        <v>33</v>
      </c>
      <c r="E703" s="1" t="s">
        <v>34</v>
      </c>
      <c r="F703" s="1" t="s">
        <v>30</v>
      </c>
      <c r="G703" s="1" t="s">
        <v>24</v>
      </c>
      <c r="H703" s="1">
        <v>1</v>
      </c>
      <c r="I703" s="1" t="s">
        <v>257</v>
      </c>
      <c r="J703" s="1"/>
      <c r="K703" s="1">
        <v>12397990</v>
      </c>
      <c r="L703" s="1">
        <v>0</v>
      </c>
      <c r="M703" s="1">
        <v>0</v>
      </c>
      <c r="N703" s="1">
        <v>1363778.9</v>
      </c>
      <c r="O703" s="1">
        <v>0</v>
      </c>
      <c r="P703" s="1">
        <v>0</v>
      </c>
      <c r="Q703" s="1">
        <v>0</v>
      </c>
      <c r="R703" s="1">
        <v>13761768.9</v>
      </c>
      <c r="S703" s="1">
        <v>1153190</v>
      </c>
      <c r="T703" s="1">
        <v>9.3014270861648001</v>
      </c>
      <c r="U703" t="str">
        <f t="shared" si="10"/>
        <v>Week 2</v>
      </c>
    </row>
    <row r="704" spans="1:21" x14ac:dyDescent="0.25">
      <c r="A704" s="1">
        <v>703</v>
      </c>
      <c r="B704" s="1" t="s">
        <v>258</v>
      </c>
      <c r="C704" s="2">
        <v>46093</v>
      </c>
      <c r="D704" s="1" t="s">
        <v>2979</v>
      </c>
      <c r="E704" s="1" t="s">
        <v>203</v>
      </c>
      <c r="F704" s="1" t="s">
        <v>23</v>
      </c>
      <c r="G704" s="1" t="s">
        <v>24</v>
      </c>
      <c r="H704" s="1">
        <v>1</v>
      </c>
      <c r="I704" s="1" t="s">
        <v>259</v>
      </c>
      <c r="J704" s="1" t="s">
        <v>26</v>
      </c>
      <c r="K704" s="1">
        <v>53960000</v>
      </c>
      <c r="L704" s="1">
        <v>0</v>
      </c>
      <c r="M704" s="1">
        <v>0</v>
      </c>
      <c r="N704" s="1">
        <v>5935600</v>
      </c>
      <c r="O704" s="1">
        <v>0</v>
      </c>
      <c r="P704" s="1">
        <v>0</v>
      </c>
      <c r="Q704" s="1">
        <v>0</v>
      </c>
      <c r="R704" s="1">
        <v>59895600</v>
      </c>
      <c r="S704" s="1">
        <v>22481560</v>
      </c>
      <c r="T704" s="1">
        <v>41.663380281690003</v>
      </c>
      <c r="U704" t="str">
        <f t="shared" si="10"/>
        <v>Week 2</v>
      </c>
    </row>
    <row r="705" spans="1:21" x14ac:dyDescent="0.25">
      <c r="A705" s="1">
        <v>704</v>
      </c>
      <c r="B705" s="1" t="s">
        <v>2212</v>
      </c>
      <c r="C705" s="2">
        <v>46093</v>
      </c>
      <c r="D705" s="1" t="s">
        <v>2210</v>
      </c>
      <c r="E705" s="1" t="s">
        <v>192</v>
      </c>
      <c r="F705" s="1" t="s">
        <v>260</v>
      </c>
      <c r="G705" s="1" t="s">
        <v>24</v>
      </c>
      <c r="H705" s="1">
        <v>1</v>
      </c>
      <c r="I705" s="1" t="s">
        <v>2213</v>
      </c>
      <c r="J705" s="1" t="s">
        <v>56</v>
      </c>
      <c r="K705" s="1">
        <v>510620095</v>
      </c>
      <c r="L705" s="1">
        <v>0</v>
      </c>
      <c r="M705" s="1">
        <v>0</v>
      </c>
      <c r="N705" s="1">
        <v>56168210.450000003</v>
      </c>
      <c r="O705" s="1">
        <v>0</v>
      </c>
      <c r="P705" s="1">
        <v>0</v>
      </c>
      <c r="Q705" s="1">
        <v>0</v>
      </c>
      <c r="R705" s="1">
        <v>566788305.45000005</v>
      </c>
      <c r="S705" s="1">
        <v>20809282.891892999</v>
      </c>
      <c r="T705" s="1">
        <v>4.0752965062789004</v>
      </c>
      <c r="U705" t="str">
        <f t="shared" si="10"/>
        <v>Week 2</v>
      </c>
    </row>
    <row r="706" spans="1:21" x14ac:dyDescent="0.25">
      <c r="A706" s="1">
        <v>705</v>
      </c>
      <c r="B706" s="1" t="s">
        <v>2214</v>
      </c>
      <c r="C706" s="2">
        <v>46093</v>
      </c>
      <c r="D706" s="1" t="s">
        <v>2210</v>
      </c>
      <c r="E706" s="1" t="s">
        <v>192</v>
      </c>
      <c r="F706" s="1" t="s">
        <v>23</v>
      </c>
      <c r="G706" s="1" t="s">
        <v>24</v>
      </c>
      <c r="H706" s="1">
        <v>1</v>
      </c>
      <c r="I706" s="1" t="s">
        <v>2216</v>
      </c>
      <c r="J706" s="1" t="s">
        <v>56</v>
      </c>
      <c r="K706" s="1">
        <v>3761739.0989890001</v>
      </c>
      <c r="L706" s="1">
        <v>0</v>
      </c>
      <c r="M706" s="1">
        <v>0</v>
      </c>
      <c r="N706" s="1">
        <v>413791.30088878999</v>
      </c>
      <c r="O706" s="1">
        <v>0</v>
      </c>
      <c r="P706" s="1">
        <v>0</v>
      </c>
      <c r="Q706" s="1">
        <v>0</v>
      </c>
      <c r="R706" s="1">
        <v>4175530.3998778001</v>
      </c>
      <c r="S706" s="1">
        <v>1550199.0989890001</v>
      </c>
      <c r="T706" s="1">
        <v>41.209638898286002</v>
      </c>
      <c r="U706" t="str">
        <f t="shared" si="10"/>
        <v>Week 2</v>
      </c>
    </row>
    <row r="707" spans="1:21" x14ac:dyDescent="0.25">
      <c r="A707" s="1">
        <v>706</v>
      </c>
      <c r="B707" s="1" t="s">
        <v>261</v>
      </c>
      <c r="C707" s="2">
        <v>46093</v>
      </c>
      <c r="D707" s="1" t="s">
        <v>112</v>
      </c>
      <c r="E707" s="1" t="s">
        <v>38</v>
      </c>
      <c r="F707" s="1" t="s">
        <v>23</v>
      </c>
      <c r="G707" s="1" t="s">
        <v>24</v>
      </c>
      <c r="H707" s="1">
        <v>1</v>
      </c>
      <c r="I707" s="1" t="s">
        <v>262</v>
      </c>
      <c r="J707" s="1"/>
      <c r="K707" s="1">
        <v>18875000</v>
      </c>
      <c r="L707" s="1">
        <v>0</v>
      </c>
      <c r="M707" s="1">
        <v>0</v>
      </c>
      <c r="N707" s="1">
        <v>2076250</v>
      </c>
      <c r="O707" s="1">
        <v>0</v>
      </c>
      <c r="P707" s="1">
        <v>0</v>
      </c>
      <c r="Q707" s="1">
        <v>0</v>
      </c>
      <c r="R707" s="1">
        <v>20951250</v>
      </c>
      <c r="S707" s="1">
        <v>9875000</v>
      </c>
      <c r="T707" s="1">
        <v>52.317880794701999</v>
      </c>
      <c r="U707" t="str">
        <f t="shared" ref="U707:U770" si="11">"Week "&amp;IF(DAY(C707)&gt;=24,4,INT((DAY(C707)-1)/7)+1)</f>
        <v>Week 2</v>
      </c>
    </row>
    <row r="708" spans="1:21" x14ac:dyDescent="0.25">
      <c r="A708" s="1">
        <v>707</v>
      </c>
      <c r="B708" s="1" t="s">
        <v>263</v>
      </c>
      <c r="C708" s="2">
        <v>46093</v>
      </c>
      <c r="D708" s="1" t="s">
        <v>202</v>
      </c>
      <c r="E708" s="1" t="s">
        <v>203</v>
      </c>
      <c r="F708" s="1" t="s">
        <v>30</v>
      </c>
      <c r="G708" s="1" t="s">
        <v>24</v>
      </c>
      <c r="H708" s="1">
        <v>1</v>
      </c>
      <c r="I708" s="1" t="s">
        <v>264</v>
      </c>
      <c r="J708" s="1" t="s">
        <v>26</v>
      </c>
      <c r="K708" s="1">
        <v>13905000</v>
      </c>
      <c r="L708" s="1">
        <v>0</v>
      </c>
      <c r="M708" s="1">
        <v>0</v>
      </c>
      <c r="N708" s="1">
        <v>1529550</v>
      </c>
      <c r="O708" s="1">
        <v>0</v>
      </c>
      <c r="P708" s="1">
        <v>0</v>
      </c>
      <c r="Q708" s="1">
        <v>0</v>
      </c>
      <c r="R708" s="1">
        <v>15434550</v>
      </c>
      <c r="S708" s="1">
        <v>2405000</v>
      </c>
      <c r="T708" s="1">
        <v>17.295936713412001</v>
      </c>
      <c r="U708" t="str">
        <f t="shared" si="11"/>
        <v>Week 2</v>
      </c>
    </row>
    <row r="709" spans="1:21" x14ac:dyDescent="0.25">
      <c r="A709" s="1">
        <v>708</v>
      </c>
      <c r="B709" s="1" t="s">
        <v>265</v>
      </c>
      <c r="C709" s="2">
        <v>46093</v>
      </c>
      <c r="D709" s="1" t="s">
        <v>53</v>
      </c>
      <c r="E709" s="1" t="s">
        <v>54</v>
      </c>
      <c r="F709" s="1" t="s">
        <v>23</v>
      </c>
      <c r="G709" s="1" t="s">
        <v>24</v>
      </c>
      <c r="H709" s="1">
        <v>1</v>
      </c>
      <c r="I709" s="1" t="s">
        <v>266</v>
      </c>
      <c r="J709" s="1"/>
      <c r="K709" s="1">
        <v>12252252.252251999</v>
      </c>
      <c r="L709" s="1">
        <v>0</v>
      </c>
      <c r="M709" s="1">
        <v>0</v>
      </c>
      <c r="N709" s="1">
        <v>1347747.7477477</v>
      </c>
      <c r="O709" s="1">
        <v>0</v>
      </c>
      <c r="P709" s="1">
        <v>0</v>
      </c>
      <c r="Q709" s="1">
        <v>0</v>
      </c>
      <c r="R709" s="1">
        <v>13600000</v>
      </c>
      <c r="S709" s="1">
        <v>3063063.0630628001</v>
      </c>
      <c r="T709" s="1">
        <v>24.999999999998</v>
      </c>
      <c r="U709" t="str">
        <f t="shared" si="11"/>
        <v>Week 2</v>
      </c>
    </row>
    <row r="710" spans="1:21" x14ac:dyDescent="0.25">
      <c r="A710" s="1">
        <v>709</v>
      </c>
      <c r="B710" s="1" t="s">
        <v>267</v>
      </c>
      <c r="C710" s="2">
        <v>46093</v>
      </c>
      <c r="D710" s="1" t="s">
        <v>53</v>
      </c>
      <c r="E710" s="1" t="s">
        <v>54</v>
      </c>
      <c r="F710" s="1" t="s">
        <v>23</v>
      </c>
      <c r="G710" s="1" t="s">
        <v>24</v>
      </c>
      <c r="H710" s="1">
        <v>1</v>
      </c>
      <c r="I710" s="1" t="s">
        <v>266</v>
      </c>
      <c r="J710" s="1" t="s">
        <v>56</v>
      </c>
      <c r="K710" s="1">
        <v>25814974.954953998</v>
      </c>
      <c r="L710" s="1">
        <v>0</v>
      </c>
      <c r="M710" s="1">
        <v>0</v>
      </c>
      <c r="N710" s="1">
        <v>2839647.2450449001</v>
      </c>
      <c r="O710" s="1">
        <v>0</v>
      </c>
      <c r="P710" s="1">
        <v>0</v>
      </c>
      <c r="Q710" s="1">
        <v>0</v>
      </c>
      <c r="R710" s="1">
        <v>28654622.199999001</v>
      </c>
      <c r="S710" s="1">
        <v>8622215.9549540002</v>
      </c>
      <c r="T710" s="1">
        <v>33.400055471675998</v>
      </c>
      <c r="U710" t="str">
        <f t="shared" si="11"/>
        <v>Week 2</v>
      </c>
    </row>
    <row r="711" spans="1:21" x14ac:dyDescent="0.25">
      <c r="A711" s="1">
        <v>710</v>
      </c>
      <c r="B711" s="1" t="s">
        <v>268</v>
      </c>
      <c r="C711" s="2">
        <v>46093</v>
      </c>
      <c r="D711" s="1" t="s">
        <v>21</v>
      </c>
      <c r="E711" s="1" t="s">
        <v>22</v>
      </c>
      <c r="F711" s="1" t="s">
        <v>30</v>
      </c>
      <c r="G711" s="1" t="s">
        <v>24</v>
      </c>
      <c r="H711" s="1">
        <v>1</v>
      </c>
      <c r="I711" s="1" t="s">
        <v>269</v>
      </c>
      <c r="J711" s="1" t="s">
        <v>26</v>
      </c>
      <c r="K711" s="1">
        <v>1276450</v>
      </c>
      <c r="L711" s="1">
        <v>0</v>
      </c>
      <c r="M711" s="1">
        <v>0</v>
      </c>
      <c r="N711" s="1">
        <v>140409.5</v>
      </c>
      <c r="O711" s="1">
        <v>0</v>
      </c>
      <c r="P711" s="1">
        <v>0</v>
      </c>
      <c r="Q711" s="1">
        <v>0</v>
      </c>
      <c r="R711" s="1">
        <v>1416859.5</v>
      </c>
      <c r="S711" s="1">
        <v>169450</v>
      </c>
      <c r="T711" s="1">
        <v>13.275098907125001</v>
      </c>
      <c r="U711" t="str">
        <f t="shared" si="11"/>
        <v>Week 2</v>
      </c>
    </row>
    <row r="712" spans="1:21" x14ac:dyDescent="0.25">
      <c r="A712" s="1">
        <v>711</v>
      </c>
      <c r="B712" s="1" t="s">
        <v>270</v>
      </c>
      <c r="C712" s="2">
        <v>46093</v>
      </c>
      <c r="D712" s="1" t="s">
        <v>21</v>
      </c>
      <c r="E712" s="1" t="s">
        <v>22</v>
      </c>
      <c r="F712" s="1" t="s">
        <v>30</v>
      </c>
      <c r="G712" s="1" t="s">
        <v>24</v>
      </c>
      <c r="H712" s="1">
        <v>1</v>
      </c>
      <c r="I712" s="1" t="s">
        <v>271</v>
      </c>
      <c r="J712" s="1" t="s">
        <v>26</v>
      </c>
      <c r="K712" s="1">
        <v>2158450</v>
      </c>
      <c r="L712" s="1">
        <v>0</v>
      </c>
      <c r="M712" s="1">
        <v>0</v>
      </c>
      <c r="N712" s="1">
        <v>237429.5</v>
      </c>
      <c r="O712" s="1">
        <v>0</v>
      </c>
      <c r="P712" s="1">
        <v>0</v>
      </c>
      <c r="Q712" s="1">
        <v>0</v>
      </c>
      <c r="R712" s="1">
        <v>2395879.5</v>
      </c>
      <c r="S712" s="1">
        <v>371450</v>
      </c>
      <c r="T712" s="1">
        <v>17.209108387964001</v>
      </c>
      <c r="U712" t="str">
        <f t="shared" si="11"/>
        <v>Week 2</v>
      </c>
    </row>
    <row r="713" spans="1:21" x14ac:dyDescent="0.25">
      <c r="A713" s="1">
        <v>712</v>
      </c>
      <c r="B713" s="1" t="s">
        <v>272</v>
      </c>
      <c r="C713" s="2">
        <v>46093</v>
      </c>
      <c r="D713" s="1" t="s">
        <v>53</v>
      </c>
      <c r="E713" s="1" t="s">
        <v>54</v>
      </c>
      <c r="F713" s="1" t="s">
        <v>23</v>
      </c>
      <c r="G713" s="1" t="s">
        <v>24</v>
      </c>
      <c r="H713" s="1">
        <v>1</v>
      </c>
      <c r="I713" s="1" t="s">
        <v>266</v>
      </c>
      <c r="J713" s="1"/>
      <c r="K713" s="1">
        <v>64520000</v>
      </c>
      <c r="L713" s="1">
        <v>0</v>
      </c>
      <c r="M713" s="1">
        <v>0</v>
      </c>
      <c r="N713" s="1">
        <v>7097200</v>
      </c>
      <c r="O713" s="1">
        <v>0</v>
      </c>
      <c r="P713" s="1">
        <v>0</v>
      </c>
      <c r="Q713" s="1">
        <v>0</v>
      </c>
      <c r="R713" s="1">
        <v>71617200</v>
      </c>
      <c r="S713" s="1">
        <v>11263500</v>
      </c>
      <c r="T713" s="1">
        <v>17.457377557347002</v>
      </c>
      <c r="U713" t="str">
        <f t="shared" si="11"/>
        <v>Week 2</v>
      </c>
    </row>
    <row r="714" spans="1:21" x14ac:dyDescent="0.25">
      <c r="A714" s="1">
        <v>713</v>
      </c>
      <c r="B714" s="1" t="s">
        <v>273</v>
      </c>
      <c r="C714" s="2">
        <v>46093</v>
      </c>
      <c r="D714" s="1" t="s">
        <v>98</v>
      </c>
      <c r="E714" s="1" t="s">
        <v>99</v>
      </c>
      <c r="F714" s="1" t="s">
        <v>30</v>
      </c>
      <c r="G714" s="1" t="s">
        <v>24</v>
      </c>
      <c r="H714" s="1">
        <v>1</v>
      </c>
      <c r="I714" s="1" t="s">
        <v>274</v>
      </c>
      <c r="J714" s="1" t="s">
        <v>56</v>
      </c>
      <c r="K714" s="1">
        <v>114924480</v>
      </c>
      <c r="L714" s="1">
        <v>0</v>
      </c>
      <c r="M714" s="1">
        <v>0</v>
      </c>
      <c r="N714" s="1">
        <v>12641692.800000001</v>
      </c>
      <c r="O714" s="1">
        <v>0</v>
      </c>
      <c r="P714" s="1">
        <v>0</v>
      </c>
      <c r="Q714" s="1">
        <v>0</v>
      </c>
      <c r="R714" s="1">
        <v>127566172.8</v>
      </c>
      <c r="S714" s="1">
        <v>13306515.000009</v>
      </c>
      <c r="T714" s="1">
        <v>11.578486150217</v>
      </c>
      <c r="U714" t="str">
        <f t="shared" si="11"/>
        <v>Week 2</v>
      </c>
    </row>
    <row r="715" spans="1:21" x14ac:dyDescent="0.25">
      <c r="A715" s="1">
        <v>714</v>
      </c>
      <c r="B715" s="1" t="s">
        <v>275</v>
      </c>
      <c r="C715" s="2">
        <v>46093</v>
      </c>
      <c r="D715" s="1" t="s">
        <v>37</v>
      </c>
      <c r="E715" s="1" t="s">
        <v>38</v>
      </c>
      <c r="F715" s="1" t="s">
        <v>30</v>
      </c>
      <c r="G715" s="1" t="s">
        <v>24</v>
      </c>
      <c r="H715" s="1">
        <v>1</v>
      </c>
      <c r="I715" s="1" t="s">
        <v>276</v>
      </c>
      <c r="J715" s="1"/>
      <c r="K715" s="1">
        <v>2161880</v>
      </c>
      <c r="L715" s="1">
        <v>0</v>
      </c>
      <c r="M715" s="1">
        <v>0</v>
      </c>
      <c r="N715" s="1">
        <v>237806.8</v>
      </c>
      <c r="O715" s="1">
        <v>0</v>
      </c>
      <c r="P715" s="1">
        <v>0</v>
      </c>
      <c r="Q715" s="1">
        <v>0</v>
      </c>
      <c r="R715" s="1">
        <v>2399686.7999999998</v>
      </c>
      <c r="S715" s="1">
        <v>432185.94594676001</v>
      </c>
      <c r="T715" s="1">
        <v>19.991208852793001</v>
      </c>
      <c r="U715" t="str">
        <f t="shared" si="11"/>
        <v>Week 2</v>
      </c>
    </row>
    <row r="716" spans="1:21" x14ac:dyDescent="0.25">
      <c r="A716" s="1">
        <v>715</v>
      </c>
      <c r="B716" s="1" t="s">
        <v>277</v>
      </c>
      <c r="C716" s="2">
        <v>46092</v>
      </c>
      <c r="D716" s="1" t="s">
        <v>98</v>
      </c>
      <c r="E716" s="1" t="s">
        <v>99</v>
      </c>
      <c r="F716" s="1" t="s">
        <v>30</v>
      </c>
      <c r="G716" s="1" t="s">
        <v>24</v>
      </c>
      <c r="H716" s="1">
        <v>1</v>
      </c>
      <c r="I716" s="1" t="s">
        <v>278</v>
      </c>
      <c r="J716" s="1" t="s">
        <v>26</v>
      </c>
      <c r="K716" s="1">
        <v>38443000</v>
      </c>
      <c r="L716" s="1">
        <v>0</v>
      </c>
      <c r="M716" s="1">
        <v>0</v>
      </c>
      <c r="N716" s="1">
        <v>4228730</v>
      </c>
      <c r="O716" s="1">
        <v>0</v>
      </c>
      <c r="P716" s="1">
        <v>0</v>
      </c>
      <c r="Q716" s="1">
        <v>0</v>
      </c>
      <c r="R716" s="1">
        <v>42671730</v>
      </c>
      <c r="S716" s="1">
        <v>1153290</v>
      </c>
      <c r="T716" s="1">
        <v>3</v>
      </c>
      <c r="U716" t="str">
        <f t="shared" si="11"/>
        <v>Week 2</v>
      </c>
    </row>
    <row r="717" spans="1:21" x14ac:dyDescent="0.25">
      <c r="A717" s="1">
        <v>716</v>
      </c>
      <c r="B717" s="1" t="s">
        <v>279</v>
      </c>
      <c r="C717" s="2">
        <v>46092</v>
      </c>
      <c r="D717" s="1" t="s">
        <v>53</v>
      </c>
      <c r="E717" s="1" t="s">
        <v>54</v>
      </c>
      <c r="F717" s="1" t="s">
        <v>30</v>
      </c>
      <c r="G717" s="1" t="s">
        <v>24</v>
      </c>
      <c r="H717" s="1">
        <v>1</v>
      </c>
      <c r="I717" s="1" t="s">
        <v>280</v>
      </c>
      <c r="J717" s="1"/>
      <c r="K717" s="1">
        <v>19267000</v>
      </c>
      <c r="L717" s="1">
        <v>0</v>
      </c>
      <c r="M717" s="1">
        <v>0</v>
      </c>
      <c r="N717" s="1">
        <v>2119370</v>
      </c>
      <c r="O717" s="1">
        <v>0</v>
      </c>
      <c r="P717" s="1">
        <v>0</v>
      </c>
      <c r="Q717" s="1">
        <v>0</v>
      </c>
      <c r="R717" s="1">
        <v>21386370</v>
      </c>
      <c r="S717" s="1">
        <v>578010</v>
      </c>
      <c r="T717" s="1">
        <v>3</v>
      </c>
      <c r="U717" t="str">
        <f t="shared" si="11"/>
        <v>Week 2</v>
      </c>
    </row>
    <row r="718" spans="1:21" x14ac:dyDescent="0.25">
      <c r="A718" s="1">
        <v>717</v>
      </c>
      <c r="B718" s="1" t="s">
        <v>281</v>
      </c>
      <c r="C718" s="2">
        <v>46092</v>
      </c>
      <c r="D718" s="1" t="s">
        <v>53</v>
      </c>
      <c r="E718" s="1" t="s">
        <v>54</v>
      </c>
      <c r="F718" s="1" t="s">
        <v>30</v>
      </c>
      <c r="G718" s="1" t="s">
        <v>24</v>
      </c>
      <c r="H718" s="1">
        <v>1</v>
      </c>
      <c r="I718" s="1" t="s">
        <v>282</v>
      </c>
      <c r="J718" s="1"/>
      <c r="K718" s="1">
        <v>652100</v>
      </c>
      <c r="L718" s="1">
        <v>0</v>
      </c>
      <c r="M718" s="1">
        <v>0</v>
      </c>
      <c r="N718" s="1">
        <v>71731</v>
      </c>
      <c r="O718" s="1">
        <v>0</v>
      </c>
      <c r="P718" s="1">
        <v>0</v>
      </c>
      <c r="Q718" s="1">
        <v>0</v>
      </c>
      <c r="R718" s="1">
        <v>723831</v>
      </c>
      <c r="S718" s="1">
        <v>75600</v>
      </c>
      <c r="T718" s="1">
        <v>11.59331390891</v>
      </c>
      <c r="U718" t="str">
        <f t="shared" si="11"/>
        <v>Week 2</v>
      </c>
    </row>
    <row r="719" spans="1:21" x14ac:dyDescent="0.25">
      <c r="A719" s="1">
        <v>718</v>
      </c>
      <c r="B719" s="1" t="s">
        <v>283</v>
      </c>
      <c r="C719" s="2">
        <v>46092</v>
      </c>
      <c r="D719" s="1" t="s">
        <v>53</v>
      </c>
      <c r="E719" s="1" t="s">
        <v>54</v>
      </c>
      <c r="F719" s="1" t="s">
        <v>30</v>
      </c>
      <c r="G719" s="1" t="s">
        <v>24</v>
      </c>
      <c r="H719" s="1">
        <v>1</v>
      </c>
      <c r="I719" s="1" t="s">
        <v>284</v>
      </c>
      <c r="J719" s="1"/>
      <c r="K719" s="1">
        <v>2616000</v>
      </c>
      <c r="L719" s="1">
        <v>0</v>
      </c>
      <c r="M719" s="1">
        <v>0</v>
      </c>
      <c r="N719" s="1">
        <v>287760</v>
      </c>
      <c r="O719" s="1">
        <v>0</v>
      </c>
      <c r="P719" s="1">
        <v>0</v>
      </c>
      <c r="Q719" s="1">
        <v>0</v>
      </c>
      <c r="R719" s="1">
        <v>2903760</v>
      </c>
      <c r="S719" s="1">
        <v>363500</v>
      </c>
      <c r="T719" s="1">
        <v>13.895259938838</v>
      </c>
      <c r="U719" t="str">
        <f t="shared" si="11"/>
        <v>Week 2</v>
      </c>
    </row>
    <row r="720" spans="1:21" x14ac:dyDescent="0.25">
      <c r="A720" s="1">
        <v>719</v>
      </c>
      <c r="B720" s="1" t="s">
        <v>285</v>
      </c>
      <c r="C720" s="2">
        <v>46092</v>
      </c>
      <c r="D720" s="1" t="s">
        <v>53</v>
      </c>
      <c r="E720" s="1" t="s">
        <v>54</v>
      </c>
      <c r="F720" s="1" t="s">
        <v>30</v>
      </c>
      <c r="G720" s="1" t="s">
        <v>24</v>
      </c>
      <c r="H720" s="1">
        <v>1</v>
      </c>
      <c r="I720" s="1" t="s">
        <v>286</v>
      </c>
      <c r="J720" s="1"/>
      <c r="K720" s="1">
        <v>1723500</v>
      </c>
      <c r="L720" s="1">
        <v>0</v>
      </c>
      <c r="M720" s="1">
        <v>0</v>
      </c>
      <c r="N720" s="1">
        <v>189585</v>
      </c>
      <c r="O720" s="1">
        <v>0</v>
      </c>
      <c r="P720" s="1">
        <v>0</v>
      </c>
      <c r="Q720" s="1">
        <v>0</v>
      </c>
      <c r="R720" s="1">
        <v>1913085</v>
      </c>
      <c r="S720" s="1">
        <v>50300</v>
      </c>
      <c r="T720" s="1">
        <v>2.9184798375399001</v>
      </c>
      <c r="U720" t="str">
        <f t="shared" si="11"/>
        <v>Week 2</v>
      </c>
    </row>
    <row r="721" spans="1:21" x14ac:dyDescent="0.25">
      <c r="A721" s="1">
        <v>720</v>
      </c>
      <c r="B721" s="1" t="s">
        <v>287</v>
      </c>
      <c r="C721" s="2">
        <v>46092</v>
      </c>
      <c r="D721" s="1" t="s">
        <v>53</v>
      </c>
      <c r="E721" s="1" t="s">
        <v>54</v>
      </c>
      <c r="F721" s="1" t="s">
        <v>30</v>
      </c>
      <c r="G721" s="1" t="s">
        <v>24</v>
      </c>
      <c r="H721" s="1">
        <v>1</v>
      </c>
      <c r="I721" s="1" t="s">
        <v>288</v>
      </c>
      <c r="J721" s="1"/>
      <c r="K721" s="1">
        <v>1660600</v>
      </c>
      <c r="L721" s="1">
        <v>0</v>
      </c>
      <c r="M721" s="1">
        <v>0</v>
      </c>
      <c r="N721" s="1">
        <v>182666</v>
      </c>
      <c r="O721" s="1">
        <v>0</v>
      </c>
      <c r="P721" s="1">
        <v>0</v>
      </c>
      <c r="Q721" s="1">
        <v>0</v>
      </c>
      <c r="R721" s="1">
        <v>1843266</v>
      </c>
      <c r="S721" s="1">
        <v>246300</v>
      </c>
      <c r="T721" s="1">
        <v>14.831988437913999</v>
      </c>
      <c r="U721" t="str">
        <f t="shared" si="11"/>
        <v>Week 2</v>
      </c>
    </row>
    <row r="722" spans="1:21" x14ac:dyDescent="0.25">
      <c r="A722" s="1">
        <v>721</v>
      </c>
      <c r="B722" s="1" t="s">
        <v>289</v>
      </c>
      <c r="C722" s="2">
        <v>46092</v>
      </c>
      <c r="D722" s="1" t="s">
        <v>248</v>
      </c>
      <c r="E722" s="1" t="s">
        <v>116</v>
      </c>
      <c r="F722" s="1" t="s">
        <v>23</v>
      </c>
      <c r="G722" s="1" t="s">
        <v>24</v>
      </c>
      <c r="H722" s="1">
        <v>1</v>
      </c>
      <c r="I722" s="1" t="s">
        <v>290</v>
      </c>
      <c r="J722" s="1" t="s">
        <v>26</v>
      </c>
      <c r="K722" s="1">
        <v>2602543.75</v>
      </c>
      <c r="L722" s="1">
        <v>0</v>
      </c>
      <c r="M722" s="1">
        <v>0</v>
      </c>
      <c r="N722" s="1">
        <v>286279.8125</v>
      </c>
      <c r="O722" s="1">
        <v>0</v>
      </c>
      <c r="P722" s="1">
        <v>0</v>
      </c>
      <c r="Q722" s="1">
        <v>0</v>
      </c>
      <c r="R722" s="1">
        <v>2888823.5625</v>
      </c>
      <c r="S722" s="1">
        <v>619243.75</v>
      </c>
      <c r="T722" s="1">
        <v>23.793788288862</v>
      </c>
      <c r="U722" t="str">
        <f t="shared" si="11"/>
        <v>Week 2</v>
      </c>
    </row>
    <row r="723" spans="1:21" x14ac:dyDescent="0.25">
      <c r="A723" s="1">
        <v>722</v>
      </c>
      <c r="B723" s="1" t="s">
        <v>291</v>
      </c>
      <c r="C723" s="2">
        <v>46092</v>
      </c>
      <c r="D723" s="1" t="s">
        <v>53</v>
      </c>
      <c r="E723" s="1" t="s">
        <v>54</v>
      </c>
      <c r="F723" s="1" t="s">
        <v>30</v>
      </c>
      <c r="G723" s="1" t="s">
        <v>24</v>
      </c>
      <c r="H723" s="1">
        <v>1</v>
      </c>
      <c r="I723" s="1" t="s">
        <v>292</v>
      </c>
      <c r="J723" s="1"/>
      <c r="K723" s="1">
        <v>11382300</v>
      </c>
      <c r="L723" s="1">
        <v>0</v>
      </c>
      <c r="M723" s="1">
        <v>0</v>
      </c>
      <c r="N723" s="1">
        <v>1252053</v>
      </c>
      <c r="O723" s="1">
        <v>0</v>
      </c>
      <c r="P723" s="1">
        <v>0</v>
      </c>
      <c r="Q723" s="1">
        <v>0</v>
      </c>
      <c r="R723" s="1">
        <v>12634353</v>
      </c>
      <c r="S723" s="1">
        <v>1885100</v>
      </c>
      <c r="T723" s="1">
        <v>16.561679098249002</v>
      </c>
      <c r="U723" t="str">
        <f t="shared" si="11"/>
        <v>Week 2</v>
      </c>
    </row>
    <row r="724" spans="1:21" x14ac:dyDescent="0.25">
      <c r="A724" s="1">
        <v>723</v>
      </c>
      <c r="B724" s="1" t="s">
        <v>293</v>
      </c>
      <c r="C724" s="2">
        <v>46092</v>
      </c>
      <c r="D724" s="1" t="s">
        <v>53</v>
      </c>
      <c r="E724" s="1" t="s">
        <v>54</v>
      </c>
      <c r="F724" s="1" t="s">
        <v>30</v>
      </c>
      <c r="G724" s="1" t="s">
        <v>24</v>
      </c>
      <c r="H724" s="1">
        <v>1</v>
      </c>
      <c r="I724" s="1" t="s">
        <v>294</v>
      </c>
      <c r="J724" s="1"/>
      <c r="K724" s="1">
        <v>6268510</v>
      </c>
      <c r="L724" s="1">
        <v>0</v>
      </c>
      <c r="M724" s="1">
        <v>0</v>
      </c>
      <c r="N724" s="1">
        <v>689536.1</v>
      </c>
      <c r="O724" s="1">
        <v>0</v>
      </c>
      <c r="P724" s="1">
        <v>0</v>
      </c>
      <c r="Q724" s="1">
        <v>0</v>
      </c>
      <c r="R724" s="1">
        <v>6958046.0999999996</v>
      </c>
      <c r="S724" s="1">
        <v>252610</v>
      </c>
      <c r="T724" s="1">
        <v>4.0298252694818997</v>
      </c>
      <c r="U724" t="str">
        <f t="shared" si="11"/>
        <v>Week 2</v>
      </c>
    </row>
    <row r="725" spans="1:21" x14ac:dyDescent="0.25">
      <c r="A725" s="1">
        <v>724</v>
      </c>
      <c r="B725" s="1" t="s">
        <v>295</v>
      </c>
      <c r="C725" s="2">
        <v>46092</v>
      </c>
      <c r="D725" s="1" t="s">
        <v>202</v>
      </c>
      <c r="E725" s="1" t="s">
        <v>203</v>
      </c>
      <c r="F725" s="1" t="s">
        <v>23</v>
      </c>
      <c r="G725" s="1" t="s">
        <v>24</v>
      </c>
      <c r="H725" s="1">
        <v>1</v>
      </c>
      <c r="I725" s="1" t="s">
        <v>296</v>
      </c>
      <c r="J725" s="1" t="s">
        <v>26</v>
      </c>
      <c r="K725" s="1">
        <v>19900000</v>
      </c>
      <c r="L725" s="1">
        <v>0</v>
      </c>
      <c r="M725" s="1">
        <v>0</v>
      </c>
      <c r="N725" s="1">
        <v>2189000</v>
      </c>
      <c r="O725" s="1">
        <v>0</v>
      </c>
      <c r="P725" s="1">
        <v>0</v>
      </c>
      <c r="Q725" s="1">
        <v>0</v>
      </c>
      <c r="R725" s="1">
        <v>22089000</v>
      </c>
      <c r="S725" s="1">
        <v>3721621.6168</v>
      </c>
      <c r="T725" s="1">
        <v>18.701616164823999</v>
      </c>
      <c r="U725" t="str">
        <f t="shared" si="11"/>
        <v>Week 2</v>
      </c>
    </row>
    <row r="726" spans="1:21" x14ac:dyDescent="0.25">
      <c r="A726" s="1">
        <v>725</v>
      </c>
      <c r="B726" s="1" t="s">
        <v>297</v>
      </c>
      <c r="C726" s="2">
        <v>46092</v>
      </c>
      <c r="D726" s="1" t="s">
        <v>33</v>
      </c>
      <c r="E726" s="1" t="s">
        <v>34</v>
      </c>
      <c r="F726" s="1" t="s">
        <v>30</v>
      </c>
      <c r="G726" s="1" t="s">
        <v>24</v>
      </c>
      <c r="H726" s="1">
        <v>1</v>
      </c>
      <c r="I726" s="1" t="s">
        <v>298</v>
      </c>
      <c r="J726" s="1"/>
      <c r="K726" s="1">
        <v>3636415</v>
      </c>
      <c r="L726" s="1">
        <v>0</v>
      </c>
      <c r="M726" s="1">
        <v>0</v>
      </c>
      <c r="N726" s="1">
        <v>400005.65</v>
      </c>
      <c r="O726" s="1">
        <v>0</v>
      </c>
      <c r="P726" s="1">
        <v>0</v>
      </c>
      <c r="Q726" s="1">
        <v>0</v>
      </c>
      <c r="R726" s="1">
        <v>4036420.65</v>
      </c>
      <c r="S726" s="1">
        <v>512766.35135136999</v>
      </c>
      <c r="T726" s="1">
        <v>14.100875487295999</v>
      </c>
      <c r="U726" t="str">
        <f t="shared" si="11"/>
        <v>Week 2</v>
      </c>
    </row>
    <row r="727" spans="1:21" x14ac:dyDescent="0.25">
      <c r="A727" s="1">
        <v>726</v>
      </c>
      <c r="B727" s="1" t="s">
        <v>299</v>
      </c>
      <c r="C727" s="2">
        <v>46092</v>
      </c>
      <c r="D727" s="1" t="s">
        <v>37</v>
      </c>
      <c r="E727" s="1" t="s">
        <v>38</v>
      </c>
      <c r="F727" s="1" t="s">
        <v>23</v>
      </c>
      <c r="G727" s="1" t="s">
        <v>24</v>
      </c>
      <c r="H727" s="1">
        <v>1</v>
      </c>
      <c r="I727" s="1" t="s">
        <v>180</v>
      </c>
      <c r="J727" s="1" t="s">
        <v>26</v>
      </c>
      <c r="K727" s="1">
        <v>48248095</v>
      </c>
      <c r="L727" s="1">
        <v>0</v>
      </c>
      <c r="M727" s="1">
        <v>0</v>
      </c>
      <c r="N727" s="1">
        <v>5307290.45</v>
      </c>
      <c r="O727" s="1">
        <v>0</v>
      </c>
      <c r="P727" s="1">
        <v>0</v>
      </c>
      <c r="Q727" s="1">
        <v>0</v>
      </c>
      <c r="R727" s="1">
        <v>53555385.450000003</v>
      </c>
      <c r="S727" s="1">
        <v>11265933.73</v>
      </c>
      <c r="T727" s="1">
        <v>23.350007352622001</v>
      </c>
      <c r="U727" t="str">
        <f t="shared" si="11"/>
        <v>Week 2</v>
      </c>
    </row>
    <row r="728" spans="1:21" x14ac:dyDescent="0.25">
      <c r="A728" s="1">
        <v>727</v>
      </c>
      <c r="B728" s="1" t="s">
        <v>300</v>
      </c>
      <c r="C728" s="2">
        <v>46092</v>
      </c>
      <c r="D728" s="1" t="s">
        <v>248</v>
      </c>
      <c r="E728" s="1" t="s">
        <v>116</v>
      </c>
      <c r="F728" s="1" t="s">
        <v>30</v>
      </c>
      <c r="G728" s="1" t="s">
        <v>24</v>
      </c>
      <c r="H728" s="1">
        <v>1</v>
      </c>
      <c r="I728" s="1" t="s">
        <v>2356</v>
      </c>
      <c r="J728" s="1" t="s">
        <v>26</v>
      </c>
      <c r="K728" s="1">
        <v>11469670</v>
      </c>
      <c r="L728" s="1">
        <v>0</v>
      </c>
      <c r="M728" s="1">
        <v>0</v>
      </c>
      <c r="N728" s="1">
        <v>1261663.7</v>
      </c>
      <c r="O728" s="1">
        <v>0</v>
      </c>
      <c r="P728" s="1">
        <v>0</v>
      </c>
      <c r="Q728" s="1">
        <v>0</v>
      </c>
      <c r="R728" s="1">
        <v>12731333.699999999</v>
      </c>
      <c r="S728" s="1">
        <v>994670</v>
      </c>
      <c r="T728" s="1">
        <v>8.6721762701106009</v>
      </c>
      <c r="U728" t="str">
        <f t="shared" si="11"/>
        <v>Week 2</v>
      </c>
    </row>
    <row r="729" spans="1:21" x14ac:dyDescent="0.25">
      <c r="A729" s="1">
        <v>728</v>
      </c>
      <c r="B729" s="1" t="s">
        <v>301</v>
      </c>
      <c r="C729" s="2">
        <v>46092</v>
      </c>
      <c r="D729" s="1" t="s">
        <v>53</v>
      </c>
      <c r="E729" s="1" t="s">
        <v>54</v>
      </c>
      <c r="F729" s="1" t="s">
        <v>23</v>
      </c>
      <c r="G729" s="1" t="s">
        <v>24</v>
      </c>
      <c r="H729" s="1">
        <v>1</v>
      </c>
      <c r="I729" s="1" t="s">
        <v>302</v>
      </c>
      <c r="J729" s="1"/>
      <c r="K729" s="1">
        <v>150000</v>
      </c>
      <c r="L729" s="1">
        <v>0</v>
      </c>
      <c r="M729" s="1">
        <v>0</v>
      </c>
      <c r="N729" s="1">
        <v>16500</v>
      </c>
      <c r="O729" s="1">
        <v>0</v>
      </c>
      <c r="P729" s="1">
        <v>0</v>
      </c>
      <c r="Q729" s="1">
        <v>0</v>
      </c>
      <c r="R729" s="1">
        <v>166500</v>
      </c>
      <c r="S729" s="1">
        <v>33445.949999999997</v>
      </c>
      <c r="T729" s="1">
        <v>22.2973</v>
      </c>
      <c r="U729" t="str">
        <f t="shared" si="11"/>
        <v>Week 2</v>
      </c>
    </row>
    <row r="730" spans="1:21" x14ac:dyDescent="0.25">
      <c r="A730" s="1">
        <v>729</v>
      </c>
      <c r="B730" s="1" t="s">
        <v>303</v>
      </c>
      <c r="C730" s="2">
        <v>46092</v>
      </c>
      <c r="D730" s="1" t="s">
        <v>98</v>
      </c>
      <c r="E730" s="1" t="s">
        <v>99</v>
      </c>
      <c r="F730" s="1" t="s">
        <v>30</v>
      </c>
      <c r="G730" s="1" t="s">
        <v>24</v>
      </c>
      <c r="H730" s="1">
        <v>1</v>
      </c>
      <c r="I730" s="1" t="s">
        <v>304</v>
      </c>
      <c r="J730" s="1"/>
      <c r="K730" s="1">
        <v>1994300</v>
      </c>
      <c r="L730" s="1">
        <v>0</v>
      </c>
      <c r="M730" s="1">
        <v>0</v>
      </c>
      <c r="N730" s="1">
        <v>219373</v>
      </c>
      <c r="O730" s="1">
        <v>0</v>
      </c>
      <c r="P730" s="1">
        <v>0</v>
      </c>
      <c r="Q730" s="1">
        <v>0</v>
      </c>
      <c r="R730" s="1">
        <v>2213673</v>
      </c>
      <c r="S730" s="1">
        <v>28350</v>
      </c>
      <c r="T730" s="1">
        <v>1.4215514215514</v>
      </c>
      <c r="U730" t="str">
        <f t="shared" si="11"/>
        <v>Week 2</v>
      </c>
    </row>
    <row r="731" spans="1:21" x14ac:dyDescent="0.25">
      <c r="A731" s="1">
        <v>730</v>
      </c>
      <c r="B731" s="1" t="s">
        <v>305</v>
      </c>
      <c r="C731" s="2">
        <v>46092</v>
      </c>
      <c r="D731" s="1" t="s">
        <v>306</v>
      </c>
      <c r="E731" s="1" t="s">
        <v>99</v>
      </c>
      <c r="F731" s="1" t="s">
        <v>23</v>
      </c>
      <c r="G731" s="1" t="s">
        <v>24</v>
      </c>
      <c r="H731" s="1">
        <v>1</v>
      </c>
      <c r="I731" s="1" t="s">
        <v>307</v>
      </c>
      <c r="J731" s="1"/>
      <c r="K731" s="1">
        <v>1400000</v>
      </c>
      <c r="L731" s="1">
        <v>0</v>
      </c>
      <c r="M731" s="1">
        <v>0</v>
      </c>
      <c r="N731" s="1">
        <v>154000</v>
      </c>
      <c r="O731" s="1">
        <v>0</v>
      </c>
      <c r="P731" s="1">
        <v>0</v>
      </c>
      <c r="Q731" s="1">
        <v>0</v>
      </c>
      <c r="R731" s="1">
        <v>1554000</v>
      </c>
      <c r="S731" s="1">
        <v>1000000</v>
      </c>
      <c r="T731" s="1">
        <v>71.428571428571004</v>
      </c>
      <c r="U731" t="str">
        <f t="shared" si="11"/>
        <v>Week 2</v>
      </c>
    </row>
    <row r="732" spans="1:21" x14ac:dyDescent="0.25">
      <c r="A732" s="1">
        <v>731</v>
      </c>
      <c r="B732" s="1" t="s">
        <v>308</v>
      </c>
      <c r="C732" s="2">
        <v>46092</v>
      </c>
      <c r="D732" s="1" t="s">
        <v>33</v>
      </c>
      <c r="E732" s="1" t="s">
        <v>38</v>
      </c>
      <c r="F732" s="1" t="s">
        <v>30</v>
      </c>
      <c r="G732" s="1" t="s">
        <v>24</v>
      </c>
      <c r="H732" s="1">
        <v>1</v>
      </c>
      <c r="I732" s="1" t="s">
        <v>2737</v>
      </c>
      <c r="J732" s="1"/>
      <c r="K732" s="1">
        <v>8820000</v>
      </c>
      <c r="L732" s="1">
        <v>0</v>
      </c>
      <c r="M732" s="1">
        <v>0</v>
      </c>
      <c r="N732" s="1">
        <v>970200</v>
      </c>
      <c r="O732" s="1">
        <v>0</v>
      </c>
      <c r="P732" s="1">
        <v>0</v>
      </c>
      <c r="Q732" s="1">
        <v>0</v>
      </c>
      <c r="R732" s="1">
        <v>9790200</v>
      </c>
      <c r="S732" s="1">
        <v>1620000</v>
      </c>
      <c r="T732" s="1">
        <v>18.367346938775999</v>
      </c>
      <c r="U732" t="str">
        <f t="shared" si="11"/>
        <v>Week 2</v>
      </c>
    </row>
    <row r="733" spans="1:21" x14ac:dyDescent="0.25">
      <c r="A733" s="1">
        <v>732</v>
      </c>
      <c r="B733" s="1" t="s">
        <v>309</v>
      </c>
      <c r="C733" s="2">
        <v>46091</v>
      </c>
      <c r="D733" s="1" t="s">
        <v>248</v>
      </c>
      <c r="E733" s="1" t="s">
        <v>116</v>
      </c>
      <c r="F733" s="1" t="s">
        <v>30</v>
      </c>
      <c r="G733" s="1" t="s">
        <v>24</v>
      </c>
      <c r="H733" s="1">
        <v>1</v>
      </c>
      <c r="I733" s="1" t="s">
        <v>310</v>
      </c>
      <c r="J733" s="1" t="s">
        <v>56</v>
      </c>
      <c r="K733" s="1">
        <v>408825000</v>
      </c>
      <c r="L733" s="1">
        <v>0</v>
      </c>
      <c r="M733" s="1">
        <v>0</v>
      </c>
      <c r="N733" s="1">
        <v>44970750</v>
      </c>
      <c r="O733" s="1">
        <v>0</v>
      </c>
      <c r="P733" s="1">
        <v>0</v>
      </c>
      <c r="Q733" s="1">
        <v>0</v>
      </c>
      <c r="R733" s="1">
        <v>453795750</v>
      </c>
      <c r="S733" s="1">
        <v>101025000</v>
      </c>
      <c r="T733" s="1">
        <v>24.711062190423998</v>
      </c>
      <c r="U733" t="str">
        <f t="shared" si="11"/>
        <v>Week 2</v>
      </c>
    </row>
    <row r="734" spans="1:21" x14ac:dyDescent="0.25">
      <c r="A734" s="1">
        <v>733</v>
      </c>
      <c r="B734" s="1" t="s">
        <v>311</v>
      </c>
      <c r="C734" s="2">
        <v>46091</v>
      </c>
      <c r="D734" s="1" t="s">
        <v>53</v>
      </c>
      <c r="E734" s="1" t="s">
        <v>54</v>
      </c>
      <c r="F734" s="1" t="s">
        <v>30</v>
      </c>
      <c r="G734" s="1" t="s">
        <v>24</v>
      </c>
      <c r="H734" s="1">
        <v>1</v>
      </c>
      <c r="I734" s="1" t="s">
        <v>312</v>
      </c>
      <c r="J734" s="1"/>
      <c r="K734" s="1">
        <v>164301494</v>
      </c>
      <c r="L734" s="1">
        <v>0</v>
      </c>
      <c r="M734" s="1">
        <v>0</v>
      </c>
      <c r="N734" s="1">
        <v>18073164.34</v>
      </c>
      <c r="O734" s="1">
        <v>0</v>
      </c>
      <c r="P734" s="1">
        <v>0</v>
      </c>
      <c r="Q734" s="1">
        <v>0</v>
      </c>
      <c r="R734" s="1">
        <v>182374658.34</v>
      </c>
      <c r="S734" s="1">
        <v>35932494</v>
      </c>
      <c r="T734" s="1">
        <v>21.869852260746999</v>
      </c>
      <c r="U734" t="str">
        <f t="shared" si="11"/>
        <v>Week 2</v>
      </c>
    </row>
    <row r="735" spans="1:21" x14ac:dyDescent="0.25">
      <c r="A735" s="1">
        <v>734</v>
      </c>
      <c r="B735" s="1" t="s">
        <v>313</v>
      </c>
      <c r="C735" s="2">
        <v>46091</v>
      </c>
      <c r="D735" s="1" t="s">
        <v>37</v>
      </c>
      <c r="E735" s="1" t="s">
        <v>38</v>
      </c>
      <c r="F735" s="1" t="s">
        <v>30</v>
      </c>
      <c r="G735" s="1" t="s">
        <v>24</v>
      </c>
      <c r="H735" s="1">
        <v>1</v>
      </c>
      <c r="I735" s="1" t="s">
        <v>314</v>
      </c>
      <c r="J735" s="1"/>
      <c r="K735" s="1">
        <v>1519000</v>
      </c>
      <c r="L735" s="1">
        <v>0</v>
      </c>
      <c r="M735" s="1">
        <v>0</v>
      </c>
      <c r="N735" s="1">
        <v>167090</v>
      </c>
      <c r="O735" s="1">
        <v>0</v>
      </c>
      <c r="P735" s="1">
        <v>0</v>
      </c>
      <c r="Q735" s="1">
        <v>0</v>
      </c>
      <c r="R735" s="1">
        <v>1686090</v>
      </c>
      <c r="S735" s="1">
        <v>244000</v>
      </c>
      <c r="T735" s="1">
        <v>16.063199473337999</v>
      </c>
      <c r="U735" t="str">
        <f t="shared" si="11"/>
        <v>Week 2</v>
      </c>
    </row>
    <row r="736" spans="1:21" x14ac:dyDescent="0.25">
      <c r="A736" s="1">
        <v>735</v>
      </c>
      <c r="B736" s="1" t="s">
        <v>315</v>
      </c>
      <c r="C736" s="2">
        <v>46091</v>
      </c>
      <c r="D736" s="1" t="s">
        <v>316</v>
      </c>
      <c r="E736" s="1" t="s">
        <v>38</v>
      </c>
      <c r="F736" s="1" t="s">
        <v>23</v>
      </c>
      <c r="G736" s="1" t="s">
        <v>24</v>
      </c>
      <c r="H736" s="1">
        <v>1</v>
      </c>
      <c r="I736" s="1" t="s">
        <v>317</v>
      </c>
      <c r="J736" s="1" t="s">
        <v>26</v>
      </c>
      <c r="K736" s="1">
        <v>8687460</v>
      </c>
      <c r="L736" s="1">
        <v>0</v>
      </c>
      <c r="M736" s="1">
        <v>0</v>
      </c>
      <c r="N736" s="1">
        <v>955620.6</v>
      </c>
      <c r="O736" s="1">
        <v>0</v>
      </c>
      <c r="P736" s="1">
        <v>0</v>
      </c>
      <c r="Q736" s="1">
        <v>0</v>
      </c>
      <c r="R736" s="1">
        <v>9643080.5999999996</v>
      </c>
      <c r="S736" s="1">
        <v>2986420.18</v>
      </c>
      <c r="T736" s="1">
        <v>34.376217904888001</v>
      </c>
      <c r="U736" t="str">
        <f t="shared" si="11"/>
        <v>Week 2</v>
      </c>
    </row>
    <row r="737" spans="1:21" x14ac:dyDescent="0.25">
      <c r="A737" s="1">
        <v>736</v>
      </c>
      <c r="B737" s="1" t="s">
        <v>318</v>
      </c>
      <c r="C737" s="2">
        <v>46091</v>
      </c>
      <c r="D737" s="1" t="s">
        <v>248</v>
      </c>
      <c r="E737" s="1" t="s">
        <v>116</v>
      </c>
      <c r="F737" s="1" t="s">
        <v>23</v>
      </c>
      <c r="G737" s="1" t="s">
        <v>24</v>
      </c>
      <c r="H737" s="1">
        <v>1</v>
      </c>
      <c r="I737" s="1" t="s">
        <v>319</v>
      </c>
      <c r="J737" s="1" t="s">
        <v>26</v>
      </c>
      <c r="K737" s="1">
        <v>4347500</v>
      </c>
      <c r="L737" s="1">
        <v>0</v>
      </c>
      <c r="M737" s="1">
        <v>0</v>
      </c>
      <c r="N737" s="1">
        <v>478225</v>
      </c>
      <c r="O737" s="1">
        <v>0</v>
      </c>
      <c r="P737" s="1">
        <v>0</v>
      </c>
      <c r="Q737" s="1">
        <v>0</v>
      </c>
      <c r="R737" s="1">
        <v>4825725</v>
      </c>
      <c r="S737" s="1">
        <v>1198000</v>
      </c>
      <c r="T737" s="1">
        <v>27.556066705003001</v>
      </c>
      <c r="U737" t="str">
        <f t="shared" si="11"/>
        <v>Week 2</v>
      </c>
    </row>
    <row r="738" spans="1:21" x14ac:dyDescent="0.25">
      <c r="A738" s="1">
        <v>737</v>
      </c>
      <c r="B738" s="1" t="s">
        <v>320</v>
      </c>
      <c r="C738" s="2">
        <v>46091</v>
      </c>
      <c r="D738" s="1" t="s">
        <v>321</v>
      </c>
      <c r="E738" s="1" t="s">
        <v>192</v>
      </c>
      <c r="F738" s="1" t="s">
        <v>23</v>
      </c>
      <c r="G738" s="1" t="s">
        <v>24</v>
      </c>
      <c r="H738" s="1">
        <v>1</v>
      </c>
      <c r="I738" s="1" t="s">
        <v>322</v>
      </c>
      <c r="J738" s="1" t="s">
        <v>56</v>
      </c>
      <c r="K738" s="1">
        <v>2325447</v>
      </c>
      <c r="L738" s="1">
        <v>0</v>
      </c>
      <c r="M738" s="1">
        <v>0</v>
      </c>
      <c r="N738" s="1">
        <v>255799.17</v>
      </c>
      <c r="O738" s="1">
        <v>0</v>
      </c>
      <c r="P738" s="1">
        <v>0</v>
      </c>
      <c r="Q738" s="1">
        <v>0</v>
      </c>
      <c r="R738" s="1">
        <v>2581246.17</v>
      </c>
      <c r="S738" s="1">
        <v>590403</v>
      </c>
      <c r="T738" s="1">
        <v>25.388796218532999</v>
      </c>
      <c r="U738" t="str">
        <f t="shared" si="11"/>
        <v>Week 2</v>
      </c>
    </row>
    <row r="739" spans="1:21" x14ac:dyDescent="0.25">
      <c r="A739" s="1">
        <v>738</v>
      </c>
      <c r="B739" s="1" t="s">
        <v>323</v>
      </c>
      <c r="C739" s="2">
        <v>46091</v>
      </c>
      <c r="D739" s="1" t="s">
        <v>33</v>
      </c>
      <c r="E739" s="1" t="s">
        <v>34</v>
      </c>
      <c r="F739" s="1" t="s">
        <v>30</v>
      </c>
      <c r="G739" s="1" t="s">
        <v>24</v>
      </c>
      <c r="H739" s="1">
        <v>1</v>
      </c>
      <c r="I739" s="1" t="s">
        <v>324</v>
      </c>
      <c r="J739" s="1"/>
      <c r="K739" s="1">
        <v>26474719.600000001</v>
      </c>
      <c r="L739" s="1">
        <v>0</v>
      </c>
      <c r="M739" s="1">
        <v>0</v>
      </c>
      <c r="N739" s="1">
        <v>2912219.156</v>
      </c>
      <c r="O739" s="1">
        <v>0</v>
      </c>
      <c r="P739" s="1">
        <v>0</v>
      </c>
      <c r="Q739" s="1">
        <v>0</v>
      </c>
      <c r="R739" s="1">
        <v>29386938.756000001</v>
      </c>
      <c r="S739" s="1">
        <v>11226062.01045</v>
      </c>
      <c r="T739" s="1">
        <v>42.402949606500997</v>
      </c>
      <c r="U739" t="str">
        <f t="shared" si="11"/>
        <v>Week 2</v>
      </c>
    </row>
    <row r="740" spans="1:21" x14ac:dyDescent="0.25">
      <c r="A740" s="1">
        <v>739</v>
      </c>
      <c r="B740" s="1" t="s">
        <v>325</v>
      </c>
      <c r="C740" s="2">
        <v>46091</v>
      </c>
      <c r="D740" s="1" t="s">
        <v>21</v>
      </c>
      <c r="E740" s="1" t="s">
        <v>22</v>
      </c>
      <c r="F740" s="1" t="s">
        <v>30</v>
      </c>
      <c r="G740" s="1" t="s">
        <v>24</v>
      </c>
      <c r="H740" s="1">
        <v>1</v>
      </c>
      <c r="I740" s="1" t="s">
        <v>326</v>
      </c>
      <c r="J740" s="1" t="s">
        <v>26</v>
      </c>
      <c r="K740" s="1">
        <v>1217160</v>
      </c>
      <c r="L740" s="1">
        <v>0</v>
      </c>
      <c r="M740" s="1">
        <v>0</v>
      </c>
      <c r="N740" s="1">
        <v>133887.6</v>
      </c>
      <c r="O740" s="1">
        <v>0</v>
      </c>
      <c r="P740" s="1">
        <v>0</v>
      </c>
      <c r="Q740" s="1">
        <v>0</v>
      </c>
      <c r="R740" s="1">
        <v>1351047.6</v>
      </c>
      <c r="S740" s="1">
        <v>586529.36936937005</v>
      </c>
      <c r="T740" s="1">
        <v>48.188353985455002</v>
      </c>
      <c r="U740" t="str">
        <f t="shared" si="11"/>
        <v>Week 2</v>
      </c>
    </row>
    <row r="741" spans="1:21" x14ac:dyDescent="0.25">
      <c r="A741" s="1">
        <v>740</v>
      </c>
      <c r="B741" s="1" t="s">
        <v>327</v>
      </c>
      <c r="C741" s="2">
        <v>46091</v>
      </c>
      <c r="D741" s="1" t="s">
        <v>53</v>
      </c>
      <c r="E741" s="1" t="s">
        <v>54</v>
      </c>
      <c r="F741" s="1" t="s">
        <v>23</v>
      </c>
      <c r="G741" s="1" t="s">
        <v>24</v>
      </c>
      <c r="H741" s="1">
        <v>1</v>
      </c>
      <c r="I741" s="1" t="s">
        <v>266</v>
      </c>
      <c r="J741" s="1" t="s">
        <v>56</v>
      </c>
      <c r="K741" s="1">
        <v>59100000</v>
      </c>
      <c r="L741" s="1">
        <v>0</v>
      </c>
      <c r="M741" s="1">
        <v>0</v>
      </c>
      <c r="N741" s="1">
        <v>6501000</v>
      </c>
      <c r="O741" s="1">
        <v>0</v>
      </c>
      <c r="P741" s="1">
        <v>0</v>
      </c>
      <c r="Q741" s="1">
        <v>0</v>
      </c>
      <c r="R741" s="1">
        <v>65601000</v>
      </c>
      <c r="S741" s="1">
        <v>15014959.459458999</v>
      </c>
      <c r="T741" s="1">
        <v>25.406022774042999</v>
      </c>
      <c r="U741" t="str">
        <f t="shared" si="11"/>
        <v>Week 2</v>
      </c>
    </row>
    <row r="742" spans="1:21" x14ac:dyDescent="0.25">
      <c r="A742" s="1">
        <v>741</v>
      </c>
      <c r="B742" s="1" t="s">
        <v>328</v>
      </c>
      <c r="C742" s="2">
        <v>46091</v>
      </c>
      <c r="D742" s="1" t="s">
        <v>248</v>
      </c>
      <c r="E742" s="1" t="s">
        <v>116</v>
      </c>
      <c r="F742" s="1" t="s">
        <v>30</v>
      </c>
      <c r="G742" s="1" t="s">
        <v>24</v>
      </c>
      <c r="H742" s="1">
        <v>1</v>
      </c>
      <c r="I742" s="1" t="s">
        <v>329</v>
      </c>
      <c r="J742" s="1" t="s">
        <v>26</v>
      </c>
      <c r="K742" s="1">
        <v>8540000</v>
      </c>
      <c r="L742" s="1">
        <v>0</v>
      </c>
      <c r="M742" s="1">
        <v>0</v>
      </c>
      <c r="N742" s="1">
        <v>939400</v>
      </c>
      <c r="O742" s="1">
        <v>0</v>
      </c>
      <c r="P742" s="1">
        <v>0</v>
      </c>
      <c r="Q742" s="1">
        <v>0</v>
      </c>
      <c r="R742" s="1">
        <v>9479400</v>
      </c>
      <c r="S742" s="1">
        <v>256200</v>
      </c>
      <c r="T742" s="1">
        <v>3</v>
      </c>
      <c r="U742" t="str">
        <f t="shared" si="11"/>
        <v>Week 2</v>
      </c>
    </row>
    <row r="743" spans="1:21" x14ac:dyDescent="0.25">
      <c r="A743" s="1">
        <v>742</v>
      </c>
      <c r="B743" s="1" t="s">
        <v>330</v>
      </c>
      <c r="C743" s="2">
        <v>46091</v>
      </c>
      <c r="D743" s="1" t="s">
        <v>33</v>
      </c>
      <c r="E743" s="1" t="s">
        <v>34</v>
      </c>
      <c r="F743" s="1" t="s">
        <v>30</v>
      </c>
      <c r="G743" s="1" t="s">
        <v>24</v>
      </c>
      <c r="H743" s="1">
        <v>1</v>
      </c>
      <c r="I743" s="1" t="s">
        <v>331</v>
      </c>
      <c r="J743" s="1"/>
      <c r="K743" s="1">
        <v>6564040</v>
      </c>
      <c r="L743" s="1">
        <v>0</v>
      </c>
      <c r="M743" s="1">
        <v>0</v>
      </c>
      <c r="N743" s="1">
        <v>722044.4</v>
      </c>
      <c r="O743" s="1">
        <v>0</v>
      </c>
      <c r="P743" s="1">
        <v>0</v>
      </c>
      <c r="Q743" s="1">
        <v>0</v>
      </c>
      <c r="R743" s="1">
        <v>7286084.4000000004</v>
      </c>
      <c r="S743" s="1">
        <v>3131040</v>
      </c>
      <c r="T743" s="1">
        <v>47.699892139596997</v>
      </c>
      <c r="U743" t="str">
        <f t="shared" si="11"/>
        <v>Week 2</v>
      </c>
    </row>
    <row r="744" spans="1:21" x14ac:dyDescent="0.25">
      <c r="A744" s="1">
        <v>743</v>
      </c>
      <c r="B744" s="1" t="s">
        <v>332</v>
      </c>
      <c r="C744" s="2">
        <v>46090</v>
      </c>
      <c r="D744" s="1" t="s">
        <v>21</v>
      </c>
      <c r="E744" s="1" t="s">
        <v>22</v>
      </c>
      <c r="F744" s="1" t="s">
        <v>30</v>
      </c>
      <c r="G744" s="1" t="s">
        <v>24</v>
      </c>
      <c r="H744" s="1">
        <v>1</v>
      </c>
      <c r="I744" s="1" t="s">
        <v>333</v>
      </c>
      <c r="J744" s="1" t="s">
        <v>26</v>
      </c>
      <c r="K744" s="1">
        <v>5353740</v>
      </c>
      <c r="L744" s="1">
        <v>0</v>
      </c>
      <c r="M744" s="1">
        <v>0</v>
      </c>
      <c r="N744" s="1">
        <v>588911.4</v>
      </c>
      <c r="O744" s="1">
        <v>0</v>
      </c>
      <c r="P744" s="1">
        <v>0</v>
      </c>
      <c r="Q744" s="1">
        <v>0</v>
      </c>
      <c r="R744" s="1">
        <v>5942651.4000000004</v>
      </c>
      <c r="S744" s="1">
        <v>387523.78378542</v>
      </c>
      <c r="T744" s="1">
        <v>7.2383751131996998</v>
      </c>
      <c r="U744" t="str">
        <f t="shared" si="11"/>
        <v>Week 2</v>
      </c>
    </row>
    <row r="745" spans="1:21" x14ac:dyDescent="0.25">
      <c r="A745" s="1">
        <v>744</v>
      </c>
      <c r="B745" s="1" t="s">
        <v>334</v>
      </c>
      <c r="C745" s="2">
        <v>46090</v>
      </c>
      <c r="D745" s="1" t="s">
        <v>21</v>
      </c>
      <c r="E745" s="1" t="s">
        <v>22</v>
      </c>
      <c r="F745" s="1" t="s">
        <v>30</v>
      </c>
      <c r="G745" s="1" t="s">
        <v>24</v>
      </c>
      <c r="H745" s="1">
        <v>1</v>
      </c>
      <c r="I745" s="1" t="s">
        <v>335</v>
      </c>
      <c r="J745" s="1" t="s">
        <v>26</v>
      </c>
      <c r="K745" s="1">
        <v>13746313</v>
      </c>
      <c r="L745" s="1">
        <v>0</v>
      </c>
      <c r="M745" s="1">
        <v>0</v>
      </c>
      <c r="N745" s="1">
        <v>1512094.43</v>
      </c>
      <c r="O745" s="1">
        <v>0</v>
      </c>
      <c r="P745" s="1">
        <v>0</v>
      </c>
      <c r="Q745" s="1">
        <v>0</v>
      </c>
      <c r="R745" s="1">
        <v>15258407.43</v>
      </c>
      <c r="S745" s="1">
        <v>1959313</v>
      </c>
      <c r="T745" s="1">
        <v>14.253371067572999</v>
      </c>
      <c r="U745" t="str">
        <f t="shared" si="11"/>
        <v>Week 2</v>
      </c>
    </row>
    <row r="746" spans="1:21" x14ac:dyDescent="0.25">
      <c r="A746" s="1">
        <v>745</v>
      </c>
      <c r="B746" s="1" t="s">
        <v>336</v>
      </c>
      <c r="C746" s="2">
        <v>46090</v>
      </c>
      <c r="D746" s="1" t="s">
        <v>33</v>
      </c>
      <c r="E746" s="1" t="s">
        <v>34</v>
      </c>
      <c r="F746" s="1" t="s">
        <v>30</v>
      </c>
      <c r="G746" s="1" t="s">
        <v>24</v>
      </c>
      <c r="H746" s="1">
        <v>1</v>
      </c>
      <c r="I746" s="1" t="s">
        <v>337</v>
      </c>
      <c r="J746" s="1"/>
      <c r="K746" s="1">
        <v>144200</v>
      </c>
      <c r="L746" s="1">
        <v>0</v>
      </c>
      <c r="M746" s="1">
        <v>0</v>
      </c>
      <c r="N746" s="1">
        <v>15862</v>
      </c>
      <c r="O746" s="1">
        <v>0</v>
      </c>
      <c r="P746" s="1">
        <v>0</v>
      </c>
      <c r="Q746" s="1">
        <v>0</v>
      </c>
      <c r="R746" s="1">
        <v>160062</v>
      </c>
      <c r="S746" s="1">
        <v>104440</v>
      </c>
      <c r="T746" s="1">
        <v>72.427184466019</v>
      </c>
      <c r="U746" t="str">
        <f t="shared" si="11"/>
        <v>Week 2</v>
      </c>
    </row>
    <row r="747" spans="1:21" x14ac:dyDescent="0.25">
      <c r="A747" s="1">
        <v>746</v>
      </c>
      <c r="B747" s="1" t="s">
        <v>338</v>
      </c>
      <c r="C747" s="2">
        <v>46090</v>
      </c>
      <c r="D747" s="1" t="s">
        <v>53</v>
      </c>
      <c r="E747" s="1" t="s">
        <v>54</v>
      </c>
      <c r="F747" s="1" t="s">
        <v>30</v>
      </c>
      <c r="G747" s="1" t="s">
        <v>24</v>
      </c>
      <c r="H747" s="1">
        <v>1</v>
      </c>
      <c r="I747" s="1" t="s">
        <v>339</v>
      </c>
      <c r="J747" s="1"/>
      <c r="K747" s="1">
        <v>84503260</v>
      </c>
      <c r="L747" s="1">
        <v>0</v>
      </c>
      <c r="M747" s="1">
        <v>0</v>
      </c>
      <c r="N747" s="1">
        <v>9295358.5999999996</v>
      </c>
      <c r="O747" s="1">
        <v>0</v>
      </c>
      <c r="P747" s="1">
        <v>0</v>
      </c>
      <c r="Q747" s="1">
        <v>0</v>
      </c>
      <c r="R747" s="1">
        <v>93798618.599999994</v>
      </c>
      <c r="S747" s="1">
        <v>17873536</v>
      </c>
      <c r="T747" s="1">
        <v>21.151297594909</v>
      </c>
      <c r="U747" t="str">
        <f t="shared" si="11"/>
        <v>Week 2</v>
      </c>
    </row>
    <row r="748" spans="1:21" x14ac:dyDescent="0.25">
      <c r="A748" s="1">
        <v>747</v>
      </c>
      <c r="B748" s="1" t="s">
        <v>340</v>
      </c>
      <c r="C748" s="2">
        <v>46090</v>
      </c>
      <c r="D748" s="1" t="s">
        <v>53</v>
      </c>
      <c r="E748" s="1" t="s">
        <v>54</v>
      </c>
      <c r="F748" s="1" t="s">
        <v>30</v>
      </c>
      <c r="G748" s="1" t="s">
        <v>24</v>
      </c>
      <c r="H748" s="1">
        <v>1</v>
      </c>
      <c r="I748" s="1" t="s">
        <v>341</v>
      </c>
      <c r="J748" s="1"/>
      <c r="K748" s="1">
        <v>5467126</v>
      </c>
      <c r="L748" s="1">
        <v>0</v>
      </c>
      <c r="M748" s="1">
        <v>0</v>
      </c>
      <c r="N748" s="1">
        <v>601383.86</v>
      </c>
      <c r="O748" s="1">
        <v>0</v>
      </c>
      <c r="P748" s="1">
        <v>0</v>
      </c>
      <c r="Q748" s="1">
        <v>0</v>
      </c>
      <c r="R748" s="1">
        <v>6068509.8600000003</v>
      </c>
      <c r="S748" s="1">
        <v>1259126</v>
      </c>
      <c r="T748" s="1">
        <v>23.030857529165999</v>
      </c>
      <c r="U748" t="str">
        <f t="shared" si="11"/>
        <v>Week 2</v>
      </c>
    </row>
    <row r="749" spans="1:21" x14ac:dyDescent="0.25">
      <c r="A749" s="1">
        <v>748</v>
      </c>
      <c r="B749" s="1" t="s">
        <v>342</v>
      </c>
      <c r="C749" s="2">
        <v>46090</v>
      </c>
      <c r="D749" s="1" t="s">
        <v>53</v>
      </c>
      <c r="E749" s="1" t="s">
        <v>54</v>
      </c>
      <c r="F749" s="1" t="s">
        <v>30</v>
      </c>
      <c r="G749" s="1" t="s">
        <v>24</v>
      </c>
      <c r="H749" s="1">
        <v>1</v>
      </c>
      <c r="I749" s="1" t="s">
        <v>343</v>
      </c>
      <c r="J749" s="1"/>
      <c r="K749" s="1">
        <v>50985000</v>
      </c>
      <c r="L749" s="1">
        <v>0</v>
      </c>
      <c r="M749" s="1">
        <v>0</v>
      </c>
      <c r="N749" s="1">
        <v>5608350</v>
      </c>
      <c r="O749" s="1">
        <v>0</v>
      </c>
      <c r="P749" s="1">
        <v>0</v>
      </c>
      <c r="Q749" s="1">
        <v>0</v>
      </c>
      <c r="R749" s="1">
        <v>56593350</v>
      </c>
      <c r="S749" s="1">
        <v>7785000</v>
      </c>
      <c r="T749" s="1">
        <v>15.269196822594999</v>
      </c>
      <c r="U749" t="str">
        <f t="shared" si="11"/>
        <v>Week 2</v>
      </c>
    </row>
    <row r="750" spans="1:21" x14ac:dyDescent="0.25">
      <c r="A750" s="1">
        <v>749</v>
      </c>
      <c r="B750" s="1" t="s">
        <v>344</v>
      </c>
      <c r="C750" s="2">
        <v>46090</v>
      </c>
      <c r="D750" s="1" t="s">
        <v>53</v>
      </c>
      <c r="E750" s="1" t="s">
        <v>54</v>
      </c>
      <c r="F750" s="1" t="s">
        <v>30</v>
      </c>
      <c r="G750" s="1" t="s">
        <v>24</v>
      </c>
      <c r="H750" s="1">
        <v>1</v>
      </c>
      <c r="I750" s="1" t="s">
        <v>345</v>
      </c>
      <c r="J750" s="1"/>
      <c r="K750" s="1">
        <v>7031500</v>
      </c>
      <c r="L750" s="1">
        <v>0</v>
      </c>
      <c r="M750" s="1">
        <v>0</v>
      </c>
      <c r="N750" s="1">
        <v>773465</v>
      </c>
      <c r="O750" s="1">
        <v>0</v>
      </c>
      <c r="P750" s="1">
        <v>0</v>
      </c>
      <c r="Q750" s="1">
        <v>0</v>
      </c>
      <c r="R750" s="1">
        <v>7804965</v>
      </c>
      <c r="S750" s="1">
        <v>3247720</v>
      </c>
      <c r="T750" s="1">
        <v>46.188153310105001</v>
      </c>
      <c r="U750" t="str">
        <f t="shared" si="11"/>
        <v>Week 2</v>
      </c>
    </row>
    <row r="751" spans="1:21" x14ac:dyDescent="0.25">
      <c r="A751" s="1">
        <v>750</v>
      </c>
      <c r="B751" s="1" t="s">
        <v>346</v>
      </c>
      <c r="C751" s="2">
        <v>46090</v>
      </c>
      <c r="D751" s="1" t="s">
        <v>53</v>
      </c>
      <c r="E751" s="1" t="s">
        <v>54</v>
      </c>
      <c r="F751" s="1" t="s">
        <v>30</v>
      </c>
      <c r="G751" s="1" t="s">
        <v>24</v>
      </c>
      <c r="H751" s="1">
        <v>1</v>
      </c>
      <c r="I751" s="1" t="s">
        <v>347</v>
      </c>
      <c r="J751" s="1"/>
      <c r="K751" s="1">
        <v>652100</v>
      </c>
      <c r="L751" s="1">
        <v>0</v>
      </c>
      <c r="M751" s="1">
        <v>0</v>
      </c>
      <c r="N751" s="1">
        <v>71731</v>
      </c>
      <c r="O751" s="1">
        <v>0</v>
      </c>
      <c r="P751" s="1">
        <v>0</v>
      </c>
      <c r="Q751" s="1">
        <v>0</v>
      </c>
      <c r="R751" s="1">
        <v>723831</v>
      </c>
      <c r="S751" s="1">
        <v>75600</v>
      </c>
      <c r="T751" s="1">
        <v>11.59331390891</v>
      </c>
      <c r="U751" t="str">
        <f t="shared" si="11"/>
        <v>Week 2</v>
      </c>
    </row>
    <row r="752" spans="1:21" x14ac:dyDescent="0.25">
      <c r="A752" s="1">
        <v>751</v>
      </c>
      <c r="B752" s="1" t="s">
        <v>2217</v>
      </c>
      <c r="C752" s="2">
        <v>46090</v>
      </c>
      <c r="D752" s="1" t="s">
        <v>2210</v>
      </c>
      <c r="E752" s="1" t="s">
        <v>192</v>
      </c>
      <c r="F752" s="1" t="s">
        <v>30</v>
      </c>
      <c r="G752" s="1" t="s">
        <v>24</v>
      </c>
      <c r="H752" s="1">
        <v>1</v>
      </c>
      <c r="I752" s="1" t="s">
        <v>2218</v>
      </c>
      <c r="J752" s="1" t="s">
        <v>56</v>
      </c>
      <c r="K752" s="1">
        <v>75250000</v>
      </c>
      <c r="L752" s="1">
        <v>0</v>
      </c>
      <c r="M752" s="1">
        <v>0</v>
      </c>
      <c r="N752" s="1">
        <v>8277500</v>
      </c>
      <c r="O752" s="1">
        <v>0</v>
      </c>
      <c r="P752" s="1">
        <v>0</v>
      </c>
      <c r="Q752" s="1">
        <v>0</v>
      </c>
      <c r="R752" s="1">
        <v>83527500</v>
      </c>
      <c r="S752" s="1">
        <v>8750000</v>
      </c>
      <c r="T752" s="1">
        <v>11.627906976744001</v>
      </c>
      <c r="U752" t="str">
        <f t="shared" si="11"/>
        <v>Week 2</v>
      </c>
    </row>
    <row r="753" spans="1:21" x14ac:dyDescent="0.25">
      <c r="A753" s="1">
        <v>752</v>
      </c>
      <c r="B753" s="1" t="s">
        <v>348</v>
      </c>
      <c r="C753" s="2">
        <v>46090</v>
      </c>
      <c r="D753" s="1" t="s">
        <v>349</v>
      </c>
      <c r="E753" s="1" t="s">
        <v>29</v>
      </c>
      <c r="F753" s="1" t="s">
        <v>30</v>
      </c>
      <c r="G753" s="1" t="s">
        <v>24</v>
      </c>
      <c r="H753" s="1">
        <v>1</v>
      </c>
      <c r="I753" s="1" t="s">
        <v>350</v>
      </c>
      <c r="J753" s="1"/>
      <c r="K753" s="1">
        <v>2648646</v>
      </c>
      <c r="L753" s="1">
        <v>0</v>
      </c>
      <c r="M753" s="1">
        <v>0</v>
      </c>
      <c r="N753" s="1">
        <v>291351.06</v>
      </c>
      <c r="O753" s="1">
        <v>0</v>
      </c>
      <c r="P753" s="1">
        <v>0</v>
      </c>
      <c r="Q753" s="1">
        <v>0</v>
      </c>
      <c r="R753" s="1">
        <v>2939997.06</v>
      </c>
      <c r="S753" s="1">
        <v>243046</v>
      </c>
      <c r="T753" s="1">
        <v>0</v>
      </c>
      <c r="U753" t="str">
        <f t="shared" si="11"/>
        <v>Week 2</v>
      </c>
    </row>
    <row r="754" spans="1:21" x14ac:dyDescent="0.25">
      <c r="A754" s="1">
        <v>753</v>
      </c>
      <c r="B754" s="1" t="s">
        <v>351</v>
      </c>
      <c r="C754" s="2">
        <v>46090</v>
      </c>
      <c r="D754" s="1" t="s">
        <v>184</v>
      </c>
      <c r="E754" s="1" t="s">
        <v>116</v>
      </c>
      <c r="F754" s="1" t="s">
        <v>23</v>
      </c>
      <c r="G754" s="1" t="s">
        <v>24</v>
      </c>
      <c r="H754" s="1">
        <v>1</v>
      </c>
      <c r="I754" s="1" t="s">
        <v>352</v>
      </c>
      <c r="J754" s="1" t="s">
        <v>26</v>
      </c>
      <c r="K754" s="1">
        <v>127624760</v>
      </c>
      <c r="L754" s="1">
        <v>0</v>
      </c>
      <c r="M754" s="1">
        <v>0</v>
      </c>
      <c r="N754" s="1">
        <v>14038723.6</v>
      </c>
      <c r="O754" s="1">
        <v>0</v>
      </c>
      <c r="P754" s="1">
        <v>0</v>
      </c>
      <c r="Q754" s="1">
        <v>0</v>
      </c>
      <c r="R754" s="1">
        <v>141663483.59999999</v>
      </c>
      <c r="S754" s="1">
        <v>31921606.84</v>
      </c>
      <c r="T754" s="1">
        <v>25.012079818994</v>
      </c>
      <c r="U754" t="str">
        <f t="shared" si="11"/>
        <v>Week 2</v>
      </c>
    </row>
    <row r="755" spans="1:21" x14ac:dyDescent="0.25">
      <c r="A755" s="1">
        <v>754</v>
      </c>
      <c r="B755" s="1" t="s">
        <v>353</v>
      </c>
      <c r="C755" s="2">
        <v>46090</v>
      </c>
      <c r="D755" s="1" t="s">
        <v>53</v>
      </c>
      <c r="E755" s="1" t="s">
        <v>54</v>
      </c>
      <c r="F755" s="1" t="s">
        <v>23</v>
      </c>
      <c r="G755" s="1" t="s">
        <v>24</v>
      </c>
      <c r="H755" s="1">
        <v>1</v>
      </c>
      <c r="I755" s="1" t="s">
        <v>347</v>
      </c>
      <c r="J755" s="1"/>
      <c r="K755" s="1">
        <v>652100</v>
      </c>
      <c r="L755" s="1">
        <v>0</v>
      </c>
      <c r="M755" s="1">
        <v>0</v>
      </c>
      <c r="N755" s="1">
        <v>71731</v>
      </c>
      <c r="O755" s="1">
        <v>0</v>
      </c>
      <c r="P755" s="1">
        <v>0</v>
      </c>
      <c r="Q755" s="1">
        <v>0</v>
      </c>
      <c r="R755" s="1">
        <v>723831</v>
      </c>
      <c r="S755" s="1">
        <v>75600</v>
      </c>
      <c r="T755" s="1">
        <v>11.59331390891</v>
      </c>
      <c r="U755" t="str">
        <f t="shared" si="11"/>
        <v>Week 2</v>
      </c>
    </row>
    <row r="756" spans="1:21" x14ac:dyDescent="0.25">
      <c r="A756" s="1">
        <v>755</v>
      </c>
      <c r="B756" s="1" t="s">
        <v>354</v>
      </c>
      <c r="C756" s="2">
        <v>46090</v>
      </c>
      <c r="D756" s="1" t="s">
        <v>21</v>
      </c>
      <c r="E756" s="1" t="s">
        <v>22</v>
      </c>
      <c r="F756" s="1" t="s">
        <v>30</v>
      </c>
      <c r="G756" s="1" t="s">
        <v>24</v>
      </c>
      <c r="H756" s="1">
        <v>1</v>
      </c>
      <c r="I756" s="1" t="s">
        <v>355</v>
      </c>
      <c r="J756" s="1" t="s">
        <v>26</v>
      </c>
      <c r="K756" s="1">
        <v>75921175.260000005</v>
      </c>
      <c r="L756" s="1">
        <v>0</v>
      </c>
      <c r="M756" s="1">
        <v>0</v>
      </c>
      <c r="N756" s="1">
        <v>8351329.2785999998</v>
      </c>
      <c r="O756" s="1">
        <v>0</v>
      </c>
      <c r="P756" s="1">
        <v>0</v>
      </c>
      <c r="Q756" s="1">
        <v>0</v>
      </c>
      <c r="R756" s="1">
        <v>84272504.538599998</v>
      </c>
      <c r="S756" s="1">
        <v>75921172.260000005</v>
      </c>
      <c r="T756" s="1">
        <v>99.999996048533006</v>
      </c>
      <c r="U756" t="str">
        <f t="shared" si="11"/>
        <v>Week 2</v>
      </c>
    </row>
    <row r="757" spans="1:21" x14ac:dyDescent="0.25">
      <c r="A757" s="1">
        <v>756</v>
      </c>
      <c r="B757" s="1" t="s">
        <v>356</v>
      </c>
      <c r="C757" s="2">
        <v>46090</v>
      </c>
      <c r="D757" s="1" t="s">
        <v>21</v>
      </c>
      <c r="E757" s="1" t="s">
        <v>22</v>
      </c>
      <c r="F757" s="1" t="s">
        <v>30</v>
      </c>
      <c r="G757" s="1" t="s">
        <v>24</v>
      </c>
      <c r="H757" s="1">
        <v>1</v>
      </c>
      <c r="I757" s="1" t="s">
        <v>357</v>
      </c>
      <c r="J757" s="1" t="s">
        <v>56</v>
      </c>
      <c r="K757" s="1">
        <v>411254112.92000002</v>
      </c>
      <c r="L757" s="1">
        <v>0</v>
      </c>
      <c r="M757" s="1">
        <v>0</v>
      </c>
      <c r="N757" s="1">
        <v>45237952.4212</v>
      </c>
      <c r="O757" s="1">
        <v>0</v>
      </c>
      <c r="P757" s="1">
        <v>0</v>
      </c>
      <c r="Q757" s="1">
        <v>0</v>
      </c>
      <c r="R757" s="1">
        <v>456492065.34119999</v>
      </c>
      <c r="S757" s="1">
        <v>411254102.92000002</v>
      </c>
      <c r="T757" s="1">
        <v>99.999997568412994</v>
      </c>
      <c r="U757" t="str">
        <f t="shared" si="11"/>
        <v>Week 2</v>
      </c>
    </row>
    <row r="758" spans="1:21" x14ac:dyDescent="0.25">
      <c r="A758" s="1">
        <v>757</v>
      </c>
      <c r="B758" s="1" t="s">
        <v>358</v>
      </c>
      <c r="C758" s="2">
        <v>46090</v>
      </c>
      <c r="D758" s="1" t="s">
        <v>53</v>
      </c>
      <c r="E758" s="1" t="s">
        <v>54</v>
      </c>
      <c r="F758" s="1" t="s">
        <v>30</v>
      </c>
      <c r="G758" s="1" t="s">
        <v>24</v>
      </c>
      <c r="H758" s="1">
        <v>1</v>
      </c>
      <c r="I758" s="1" t="s">
        <v>359</v>
      </c>
      <c r="J758" s="1"/>
      <c r="K758" s="1">
        <v>652100</v>
      </c>
      <c r="L758" s="1">
        <v>0</v>
      </c>
      <c r="M758" s="1">
        <v>0</v>
      </c>
      <c r="N758" s="1">
        <v>71731</v>
      </c>
      <c r="O758" s="1">
        <v>0</v>
      </c>
      <c r="P758" s="1">
        <v>0</v>
      </c>
      <c r="Q758" s="1">
        <v>0</v>
      </c>
      <c r="R758" s="1">
        <v>723831</v>
      </c>
      <c r="S758" s="1">
        <v>75600</v>
      </c>
      <c r="T758" s="1">
        <v>11.59331390891</v>
      </c>
      <c r="U758" t="str">
        <f t="shared" si="11"/>
        <v>Week 2</v>
      </c>
    </row>
    <row r="759" spans="1:21" x14ac:dyDescent="0.25">
      <c r="A759" s="1">
        <v>758</v>
      </c>
      <c r="B759" s="1" t="s">
        <v>360</v>
      </c>
      <c r="C759" s="2">
        <v>46090</v>
      </c>
      <c r="D759" s="1" t="s">
        <v>21</v>
      </c>
      <c r="E759" s="1" t="s">
        <v>22</v>
      </c>
      <c r="F759" s="1" t="s">
        <v>23</v>
      </c>
      <c r="G759" s="1" t="s">
        <v>24</v>
      </c>
      <c r="H759" s="1">
        <v>1</v>
      </c>
      <c r="I759" s="1" t="s">
        <v>361</v>
      </c>
      <c r="J759" s="1" t="s">
        <v>26</v>
      </c>
      <c r="K759" s="1">
        <v>43672727</v>
      </c>
      <c r="L759" s="1">
        <v>0</v>
      </c>
      <c r="M759" s="1">
        <v>0</v>
      </c>
      <c r="N759" s="1">
        <v>4803999.97</v>
      </c>
      <c r="O759" s="1">
        <v>0</v>
      </c>
      <c r="P759" s="1">
        <v>0</v>
      </c>
      <c r="Q759" s="1">
        <v>0</v>
      </c>
      <c r="R759" s="1">
        <v>48476726.969999999</v>
      </c>
      <c r="S759" s="1">
        <v>10072727</v>
      </c>
      <c r="T759" s="1">
        <v>23.064112758518998</v>
      </c>
      <c r="U759" t="str">
        <f t="shared" si="11"/>
        <v>Week 2</v>
      </c>
    </row>
    <row r="760" spans="1:21" x14ac:dyDescent="0.25">
      <c r="A760" s="1">
        <v>759</v>
      </c>
      <c r="B760" s="1" t="s">
        <v>362</v>
      </c>
      <c r="C760" s="2">
        <v>46088</v>
      </c>
      <c r="D760" s="1" t="s">
        <v>21</v>
      </c>
      <c r="E760" s="1" t="s">
        <v>22</v>
      </c>
      <c r="F760" s="1" t="s">
        <v>23</v>
      </c>
      <c r="G760" s="1" t="s">
        <v>24</v>
      </c>
      <c r="H760" s="1">
        <v>1</v>
      </c>
      <c r="I760" s="1" t="s">
        <v>363</v>
      </c>
      <c r="J760" s="1" t="s">
        <v>56</v>
      </c>
      <c r="K760" s="1">
        <v>141431358</v>
      </c>
      <c r="L760" s="1">
        <v>0</v>
      </c>
      <c r="M760" s="1">
        <v>0</v>
      </c>
      <c r="N760" s="1">
        <v>15557449.380000001</v>
      </c>
      <c r="O760" s="1">
        <v>0</v>
      </c>
      <c r="P760" s="1">
        <v>0</v>
      </c>
      <c r="Q760" s="1">
        <v>0</v>
      </c>
      <c r="R760" s="1">
        <v>156988807.38</v>
      </c>
      <c r="S760" s="1">
        <v>35409418.366847001</v>
      </c>
      <c r="T760" s="1">
        <v>25.036469187298</v>
      </c>
      <c r="U760" t="str">
        <f t="shared" si="11"/>
        <v>Week 1</v>
      </c>
    </row>
    <row r="761" spans="1:21" x14ac:dyDescent="0.25">
      <c r="A761" s="1">
        <v>760</v>
      </c>
      <c r="B761" s="1" t="s">
        <v>364</v>
      </c>
      <c r="C761" s="2">
        <v>46088</v>
      </c>
      <c r="D761" s="1" t="s">
        <v>248</v>
      </c>
      <c r="E761" s="1" t="s">
        <v>116</v>
      </c>
      <c r="F761" s="1" t="s">
        <v>30</v>
      </c>
      <c r="G761" s="1" t="s">
        <v>24</v>
      </c>
      <c r="H761" s="1">
        <v>1</v>
      </c>
      <c r="I761" s="1" t="s">
        <v>365</v>
      </c>
      <c r="J761" s="1" t="s">
        <v>366</v>
      </c>
      <c r="K761" s="1">
        <v>196730000</v>
      </c>
      <c r="L761" s="1">
        <v>0</v>
      </c>
      <c r="M761" s="1">
        <v>0</v>
      </c>
      <c r="N761" s="1">
        <v>21640300</v>
      </c>
      <c r="O761" s="1">
        <v>0</v>
      </c>
      <c r="P761" s="1">
        <v>0</v>
      </c>
      <c r="Q761" s="1">
        <v>0</v>
      </c>
      <c r="R761" s="1">
        <v>218370300</v>
      </c>
      <c r="S761" s="1">
        <v>5730000</v>
      </c>
      <c r="T761" s="1">
        <v>2.9126213592233001</v>
      </c>
      <c r="U761" t="str">
        <f t="shared" si="11"/>
        <v>Week 1</v>
      </c>
    </row>
    <row r="762" spans="1:21" x14ac:dyDescent="0.25">
      <c r="A762" s="1">
        <v>761</v>
      </c>
      <c r="B762" s="1" t="s">
        <v>367</v>
      </c>
      <c r="C762" s="2">
        <v>46088</v>
      </c>
      <c r="D762" s="1" t="s">
        <v>53</v>
      </c>
      <c r="E762" s="1" t="s">
        <v>54</v>
      </c>
      <c r="F762" s="1" t="s">
        <v>30</v>
      </c>
      <c r="G762" s="1" t="s">
        <v>24</v>
      </c>
      <c r="H762" s="1">
        <v>1</v>
      </c>
      <c r="I762" s="1" t="s">
        <v>368</v>
      </c>
      <c r="J762" s="1"/>
      <c r="K762" s="1">
        <v>170956000</v>
      </c>
      <c r="L762" s="1">
        <v>0</v>
      </c>
      <c r="M762" s="1">
        <v>0</v>
      </c>
      <c r="N762" s="1">
        <v>18805160</v>
      </c>
      <c r="O762" s="1">
        <v>0</v>
      </c>
      <c r="P762" s="1">
        <v>0</v>
      </c>
      <c r="Q762" s="1">
        <v>0</v>
      </c>
      <c r="R762" s="1">
        <v>189761160</v>
      </c>
      <c r="S762" s="1">
        <v>18006830</v>
      </c>
      <c r="T762" s="1">
        <v>10.53302019233</v>
      </c>
      <c r="U762" t="str">
        <f t="shared" si="11"/>
        <v>Week 1</v>
      </c>
    </row>
    <row r="763" spans="1:21" x14ac:dyDescent="0.25">
      <c r="A763" s="1">
        <v>762</v>
      </c>
      <c r="B763" s="1" t="s">
        <v>369</v>
      </c>
      <c r="C763" s="2">
        <v>46088</v>
      </c>
      <c r="D763" s="1" t="s">
        <v>53</v>
      </c>
      <c r="E763" s="1" t="s">
        <v>54</v>
      </c>
      <c r="F763" s="1" t="s">
        <v>30</v>
      </c>
      <c r="G763" s="1" t="s">
        <v>24</v>
      </c>
      <c r="H763" s="1">
        <v>1</v>
      </c>
      <c r="I763" s="1" t="s">
        <v>370</v>
      </c>
      <c r="J763" s="1"/>
      <c r="K763" s="1">
        <v>9398900</v>
      </c>
      <c r="L763" s="1">
        <v>0</v>
      </c>
      <c r="M763" s="1">
        <v>0</v>
      </c>
      <c r="N763" s="1">
        <v>1033879</v>
      </c>
      <c r="O763" s="1">
        <v>0</v>
      </c>
      <c r="P763" s="1">
        <v>0</v>
      </c>
      <c r="Q763" s="1">
        <v>0</v>
      </c>
      <c r="R763" s="1">
        <v>10432779</v>
      </c>
      <c r="S763" s="1">
        <v>2011050</v>
      </c>
      <c r="T763" s="1">
        <v>21.396652799796001</v>
      </c>
      <c r="U763" t="str">
        <f t="shared" si="11"/>
        <v>Week 1</v>
      </c>
    </row>
    <row r="764" spans="1:21" x14ac:dyDescent="0.25">
      <c r="A764" s="1">
        <v>763</v>
      </c>
      <c r="B764" s="1" t="s">
        <v>371</v>
      </c>
      <c r="C764" s="2">
        <v>46088</v>
      </c>
      <c r="D764" s="1" t="s">
        <v>53</v>
      </c>
      <c r="E764" s="1" t="s">
        <v>54</v>
      </c>
      <c r="F764" s="1" t="s">
        <v>30</v>
      </c>
      <c r="G764" s="1" t="s">
        <v>24</v>
      </c>
      <c r="H764" s="1">
        <v>1</v>
      </c>
      <c r="I764" s="1" t="s">
        <v>372</v>
      </c>
      <c r="J764" s="1"/>
      <c r="K764" s="1">
        <v>8960000</v>
      </c>
      <c r="L764" s="1">
        <v>0</v>
      </c>
      <c r="M764" s="1">
        <v>0</v>
      </c>
      <c r="N764" s="1">
        <v>985600</v>
      </c>
      <c r="O764" s="1">
        <v>0</v>
      </c>
      <c r="P764" s="1">
        <v>0</v>
      </c>
      <c r="Q764" s="1">
        <v>0</v>
      </c>
      <c r="R764" s="1">
        <v>9945600</v>
      </c>
      <c r="S764" s="1">
        <v>1004580</v>
      </c>
      <c r="T764" s="1">
        <v>11.211830357143</v>
      </c>
      <c r="U764" t="str">
        <f t="shared" si="11"/>
        <v>Week 1</v>
      </c>
    </row>
    <row r="765" spans="1:21" x14ac:dyDescent="0.25">
      <c r="A765" s="1">
        <v>764</v>
      </c>
      <c r="B765" s="1" t="s">
        <v>373</v>
      </c>
      <c r="C765" s="2">
        <v>46088</v>
      </c>
      <c r="D765" s="1" t="s">
        <v>53</v>
      </c>
      <c r="E765" s="1" t="s">
        <v>54</v>
      </c>
      <c r="F765" s="1" t="s">
        <v>30</v>
      </c>
      <c r="G765" s="1" t="s">
        <v>24</v>
      </c>
      <c r="H765" s="1">
        <v>1</v>
      </c>
      <c r="I765" s="1" t="s">
        <v>374</v>
      </c>
      <c r="J765" s="1"/>
      <c r="K765" s="1">
        <v>75178000</v>
      </c>
      <c r="L765" s="1">
        <v>0</v>
      </c>
      <c r="M765" s="1">
        <v>0</v>
      </c>
      <c r="N765" s="1">
        <v>8269580</v>
      </c>
      <c r="O765" s="1">
        <v>0</v>
      </c>
      <c r="P765" s="1">
        <v>0</v>
      </c>
      <c r="Q765" s="1">
        <v>0</v>
      </c>
      <c r="R765" s="1">
        <v>83447580</v>
      </c>
      <c r="S765" s="1">
        <v>2256140</v>
      </c>
      <c r="T765" s="1">
        <v>3.0010641411051</v>
      </c>
      <c r="U765" t="str">
        <f t="shared" si="11"/>
        <v>Week 1</v>
      </c>
    </row>
    <row r="766" spans="1:21" x14ac:dyDescent="0.25">
      <c r="A766" s="1">
        <v>765</v>
      </c>
      <c r="B766" s="1" t="s">
        <v>375</v>
      </c>
      <c r="C766" s="2">
        <v>46088</v>
      </c>
      <c r="D766" s="1" t="s">
        <v>53</v>
      </c>
      <c r="E766" s="1" t="s">
        <v>54</v>
      </c>
      <c r="F766" s="1" t="s">
        <v>30</v>
      </c>
      <c r="G766" s="1" t="s">
        <v>24</v>
      </c>
      <c r="H766" s="1">
        <v>1</v>
      </c>
      <c r="I766" s="1" t="s">
        <v>376</v>
      </c>
      <c r="J766" s="1"/>
      <c r="K766" s="1">
        <v>17934000</v>
      </c>
      <c r="L766" s="1">
        <v>0</v>
      </c>
      <c r="M766" s="1">
        <v>0</v>
      </c>
      <c r="N766" s="1">
        <v>1972740</v>
      </c>
      <c r="O766" s="1">
        <v>0</v>
      </c>
      <c r="P766" s="1">
        <v>0</v>
      </c>
      <c r="Q766" s="1">
        <v>0</v>
      </c>
      <c r="R766" s="1">
        <v>19906740</v>
      </c>
      <c r="S766" s="1">
        <v>538020</v>
      </c>
      <c r="T766" s="1">
        <v>3</v>
      </c>
      <c r="U766" t="str">
        <f t="shared" si="11"/>
        <v>Week 1</v>
      </c>
    </row>
    <row r="767" spans="1:21" x14ac:dyDescent="0.25">
      <c r="A767" s="1">
        <v>766</v>
      </c>
      <c r="B767" s="1" t="s">
        <v>377</v>
      </c>
      <c r="C767" s="2">
        <v>46088</v>
      </c>
      <c r="D767" s="1" t="s">
        <v>53</v>
      </c>
      <c r="E767" s="1" t="s">
        <v>54</v>
      </c>
      <c r="F767" s="1" t="s">
        <v>30</v>
      </c>
      <c r="G767" s="1" t="s">
        <v>24</v>
      </c>
      <c r="H767" s="1">
        <v>1</v>
      </c>
      <c r="I767" s="1" t="s">
        <v>378</v>
      </c>
      <c r="J767" s="1"/>
      <c r="K767" s="1">
        <v>6405000</v>
      </c>
      <c r="L767" s="1">
        <v>0</v>
      </c>
      <c r="M767" s="1">
        <v>0</v>
      </c>
      <c r="N767" s="1">
        <v>704550</v>
      </c>
      <c r="O767" s="1">
        <v>0</v>
      </c>
      <c r="P767" s="1">
        <v>0</v>
      </c>
      <c r="Q767" s="1">
        <v>0</v>
      </c>
      <c r="R767" s="1">
        <v>7109550</v>
      </c>
      <c r="S767" s="1">
        <v>192150</v>
      </c>
      <c r="T767" s="1">
        <v>3</v>
      </c>
      <c r="U767" t="str">
        <f t="shared" si="11"/>
        <v>Week 1</v>
      </c>
    </row>
    <row r="768" spans="1:21" x14ac:dyDescent="0.25">
      <c r="A768" s="1">
        <v>767</v>
      </c>
      <c r="B768" s="1" t="s">
        <v>379</v>
      </c>
      <c r="C768" s="2">
        <v>46088</v>
      </c>
      <c r="D768" s="1" t="s">
        <v>53</v>
      </c>
      <c r="E768" s="1" t="s">
        <v>54</v>
      </c>
      <c r="F768" s="1" t="s">
        <v>30</v>
      </c>
      <c r="G768" s="1" t="s">
        <v>24</v>
      </c>
      <c r="H768" s="1">
        <v>1</v>
      </c>
      <c r="I768" s="1" t="s">
        <v>380</v>
      </c>
      <c r="J768" s="1"/>
      <c r="K768" s="1">
        <v>59910000</v>
      </c>
      <c r="L768" s="1">
        <v>0</v>
      </c>
      <c r="M768" s="1">
        <v>0</v>
      </c>
      <c r="N768" s="1">
        <v>6590100</v>
      </c>
      <c r="O768" s="1">
        <v>0</v>
      </c>
      <c r="P768" s="1">
        <v>0</v>
      </c>
      <c r="Q768" s="1">
        <v>0</v>
      </c>
      <c r="R768" s="1">
        <v>66500100</v>
      </c>
      <c r="S768" s="1">
        <v>1801300</v>
      </c>
      <c r="T768" s="1">
        <v>3.0066766816891999</v>
      </c>
      <c r="U768" t="str">
        <f t="shared" si="11"/>
        <v>Week 1</v>
      </c>
    </row>
    <row r="769" spans="1:21" x14ac:dyDescent="0.25">
      <c r="A769" s="1">
        <v>768</v>
      </c>
      <c r="B769" s="1" t="s">
        <v>381</v>
      </c>
      <c r="C769" s="2">
        <v>46088</v>
      </c>
      <c r="D769" s="1" t="s">
        <v>53</v>
      </c>
      <c r="E769" s="1" t="s">
        <v>54</v>
      </c>
      <c r="F769" s="1" t="s">
        <v>30</v>
      </c>
      <c r="G769" s="1" t="s">
        <v>24</v>
      </c>
      <c r="H769" s="1">
        <v>1</v>
      </c>
      <c r="I769" s="1" t="s">
        <v>382</v>
      </c>
      <c r="J769" s="1"/>
      <c r="K769" s="1">
        <v>128230000</v>
      </c>
      <c r="L769" s="1">
        <v>0</v>
      </c>
      <c r="M769" s="1">
        <v>0</v>
      </c>
      <c r="N769" s="1">
        <v>14105300</v>
      </c>
      <c r="O769" s="1">
        <v>0</v>
      </c>
      <c r="P769" s="1">
        <v>0</v>
      </c>
      <c r="Q769" s="1">
        <v>0</v>
      </c>
      <c r="R769" s="1">
        <v>142335300</v>
      </c>
      <c r="S769" s="1">
        <v>3850900</v>
      </c>
      <c r="T769" s="1">
        <v>3.0031193948374</v>
      </c>
      <c r="U769" t="str">
        <f t="shared" si="11"/>
        <v>Week 1</v>
      </c>
    </row>
    <row r="770" spans="1:21" x14ac:dyDescent="0.25">
      <c r="A770" s="1">
        <v>769</v>
      </c>
      <c r="B770" s="1" t="s">
        <v>383</v>
      </c>
      <c r="C770" s="2">
        <v>46088</v>
      </c>
      <c r="D770" s="1" t="s">
        <v>202</v>
      </c>
      <c r="E770" s="1" t="s">
        <v>203</v>
      </c>
      <c r="F770" s="1" t="s">
        <v>23</v>
      </c>
      <c r="G770" s="1" t="s">
        <v>24</v>
      </c>
      <c r="H770" s="1">
        <v>1</v>
      </c>
      <c r="I770" s="1" t="s">
        <v>384</v>
      </c>
      <c r="J770" s="1" t="s">
        <v>26</v>
      </c>
      <c r="K770" s="1">
        <v>17612500</v>
      </c>
      <c r="L770" s="1">
        <v>0</v>
      </c>
      <c r="M770" s="1">
        <v>0</v>
      </c>
      <c r="N770" s="1">
        <v>1937375</v>
      </c>
      <c r="O770" s="1">
        <v>0</v>
      </c>
      <c r="P770" s="1">
        <v>0</v>
      </c>
      <c r="Q770" s="1">
        <v>0</v>
      </c>
      <c r="R770" s="1">
        <v>19549875</v>
      </c>
      <c r="S770" s="1">
        <v>4321510</v>
      </c>
      <c r="T770" s="1">
        <v>24.536607523065999</v>
      </c>
      <c r="U770" t="str">
        <f t="shared" si="11"/>
        <v>Week 1</v>
      </c>
    </row>
    <row r="771" spans="1:21" x14ac:dyDescent="0.25">
      <c r="A771" s="1">
        <v>770</v>
      </c>
      <c r="B771" s="1" t="s">
        <v>385</v>
      </c>
      <c r="C771" s="2">
        <v>46088</v>
      </c>
      <c r="D771" s="1" t="s">
        <v>21</v>
      </c>
      <c r="E771" s="1" t="s">
        <v>22</v>
      </c>
      <c r="F771" s="1" t="s">
        <v>30</v>
      </c>
      <c r="G771" s="1" t="s">
        <v>24</v>
      </c>
      <c r="H771" s="1">
        <v>1</v>
      </c>
      <c r="I771" s="1" t="s">
        <v>2440</v>
      </c>
      <c r="J771" s="1" t="s">
        <v>56</v>
      </c>
      <c r="K771" s="1">
        <v>188956084</v>
      </c>
      <c r="L771" s="1">
        <v>0</v>
      </c>
      <c r="M771" s="1">
        <v>0</v>
      </c>
      <c r="N771" s="1">
        <v>20785169.239999998</v>
      </c>
      <c r="O771" s="1">
        <v>0</v>
      </c>
      <c r="P771" s="1">
        <v>0</v>
      </c>
      <c r="Q771" s="1">
        <v>0</v>
      </c>
      <c r="R771" s="1">
        <v>209741253.24000001</v>
      </c>
      <c r="S771" s="1">
        <v>9127584</v>
      </c>
      <c r="T771" s="1">
        <v>4.8305319451899997</v>
      </c>
      <c r="U771" t="str">
        <f t="shared" ref="U771:U834" si="12">"Week "&amp;IF(DAY(C771)&gt;=24,4,INT((DAY(C771)-1)/7)+1)</f>
        <v>Week 1</v>
      </c>
    </row>
    <row r="772" spans="1:21" x14ac:dyDescent="0.25">
      <c r="A772" s="1">
        <v>771</v>
      </c>
      <c r="B772" s="1" t="s">
        <v>386</v>
      </c>
      <c r="C772" s="2">
        <v>46088</v>
      </c>
      <c r="D772" s="1" t="s">
        <v>98</v>
      </c>
      <c r="E772" s="1" t="s">
        <v>99</v>
      </c>
      <c r="F772" s="1" t="s">
        <v>30</v>
      </c>
      <c r="G772" s="1" t="s">
        <v>24</v>
      </c>
      <c r="H772" s="1">
        <v>1</v>
      </c>
      <c r="I772" s="1" t="s">
        <v>387</v>
      </c>
      <c r="J772" s="1"/>
      <c r="K772" s="1">
        <v>101326250</v>
      </c>
      <c r="L772" s="1">
        <v>0</v>
      </c>
      <c r="M772" s="1">
        <v>0</v>
      </c>
      <c r="N772" s="1">
        <v>11145887.5</v>
      </c>
      <c r="O772" s="1">
        <v>0</v>
      </c>
      <c r="P772" s="1">
        <v>0</v>
      </c>
      <c r="Q772" s="1">
        <v>0</v>
      </c>
      <c r="R772" s="1">
        <v>112472137.5</v>
      </c>
      <c r="S772" s="1">
        <v>-28080550</v>
      </c>
      <c r="T772" s="1">
        <v>-27.713006254549001</v>
      </c>
      <c r="U772" t="str">
        <f t="shared" si="12"/>
        <v>Week 1</v>
      </c>
    </row>
    <row r="773" spans="1:21" x14ac:dyDescent="0.25">
      <c r="A773" s="1">
        <v>772</v>
      </c>
      <c r="B773" s="1" t="s">
        <v>388</v>
      </c>
      <c r="C773" s="2">
        <v>46088</v>
      </c>
      <c r="D773" s="1" t="s">
        <v>248</v>
      </c>
      <c r="E773" s="1" t="s">
        <v>116</v>
      </c>
      <c r="F773" s="1" t="s">
        <v>30</v>
      </c>
      <c r="G773" s="1" t="s">
        <v>24</v>
      </c>
      <c r="H773" s="1">
        <v>1</v>
      </c>
      <c r="I773" s="1" t="s">
        <v>389</v>
      </c>
      <c r="J773" s="1" t="s">
        <v>26</v>
      </c>
      <c r="K773" s="1">
        <v>15598839</v>
      </c>
      <c r="L773" s="1">
        <v>0</v>
      </c>
      <c r="M773" s="1">
        <v>0</v>
      </c>
      <c r="N773" s="1">
        <v>1715872.29</v>
      </c>
      <c r="O773" s="1">
        <v>0</v>
      </c>
      <c r="P773" s="1">
        <v>0</v>
      </c>
      <c r="Q773" s="1">
        <v>0</v>
      </c>
      <c r="R773" s="1">
        <v>17314711.289999999</v>
      </c>
      <c r="S773" s="1">
        <v>454339</v>
      </c>
      <c r="T773" s="1">
        <v>2.9126462552758001</v>
      </c>
      <c r="U773" t="str">
        <f t="shared" si="12"/>
        <v>Week 1</v>
      </c>
    </row>
    <row r="774" spans="1:21" x14ac:dyDescent="0.25">
      <c r="A774" s="1">
        <v>773</v>
      </c>
      <c r="B774" s="1" t="s">
        <v>391</v>
      </c>
      <c r="C774" s="2">
        <v>46088</v>
      </c>
      <c r="D774" s="1" t="s">
        <v>53</v>
      </c>
      <c r="E774" s="1" t="s">
        <v>54</v>
      </c>
      <c r="F774" s="1" t="s">
        <v>30</v>
      </c>
      <c r="G774" s="1" t="s">
        <v>24</v>
      </c>
      <c r="H774" s="1">
        <v>1</v>
      </c>
      <c r="I774" s="1" t="s">
        <v>392</v>
      </c>
      <c r="J774" s="1"/>
      <c r="K774" s="1">
        <v>147000000</v>
      </c>
      <c r="L774" s="1">
        <v>0</v>
      </c>
      <c r="M774" s="1">
        <v>0</v>
      </c>
      <c r="N774" s="1">
        <v>16170000</v>
      </c>
      <c r="O774" s="1">
        <v>0</v>
      </c>
      <c r="P774" s="1">
        <v>0</v>
      </c>
      <c r="Q774" s="1">
        <v>0</v>
      </c>
      <c r="R774" s="1">
        <v>163170000</v>
      </c>
      <c r="S774" s="1">
        <v>46729729.729800001</v>
      </c>
      <c r="T774" s="1">
        <v>31.788931788980001</v>
      </c>
      <c r="U774" t="str">
        <f t="shared" si="12"/>
        <v>Week 1</v>
      </c>
    </row>
    <row r="775" spans="1:21" x14ac:dyDescent="0.25">
      <c r="A775" s="1">
        <v>774</v>
      </c>
      <c r="B775" s="1" t="s">
        <v>393</v>
      </c>
      <c r="C775" s="2">
        <v>46087</v>
      </c>
      <c r="D775" s="1" t="s">
        <v>21</v>
      </c>
      <c r="E775" s="1" t="s">
        <v>54</v>
      </c>
      <c r="F775" s="1" t="s">
        <v>30</v>
      </c>
      <c r="G775" s="1" t="s">
        <v>24</v>
      </c>
      <c r="H775" s="1">
        <v>1</v>
      </c>
      <c r="I775" s="1" t="s">
        <v>394</v>
      </c>
      <c r="J775" s="1"/>
      <c r="K775" s="1">
        <v>109540500</v>
      </c>
      <c r="L775" s="1">
        <v>0</v>
      </c>
      <c r="M775" s="1">
        <v>0</v>
      </c>
      <c r="N775" s="1">
        <v>12049455</v>
      </c>
      <c r="O775" s="1">
        <v>0</v>
      </c>
      <c r="P775" s="1">
        <v>0</v>
      </c>
      <c r="Q775" s="1">
        <v>0</v>
      </c>
      <c r="R775" s="1">
        <v>121589955</v>
      </c>
      <c r="S775" s="1">
        <v>22865730</v>
      </c>
      <c r="T775" s="1">
        <v>20.87422460186</v>
      </c>
      <c r="U775" t="str">
        <f t="shared" si="12"/>
        <v>Week 1</v>
      </c>
    </row>
    <row r="776" spans="1:21" x14ac:dyDescent="0.25">
      <c r="A776" s="1">
        <v>775</v>
      </c>
      <c r="B776" s="1" t="s">
        <v>395</v>
      </c>
      <c r="C776" s="2">
        <v>46087</v>
      </c>
      <c r="D776" s="1" t="s">
        <v>396</v>
      </c>
      <c r="E776" s="1" t="s">
        <v>22</v>
      </c>
      <c r="F776" s="1" t="s">
        <v>23</v>
      </c>
      <c r="G776" s="1" t="s">
        <v>24</v>
      </c>
      <c r="H776" s="1">
        <v>1</v>
      </c>
      <c r="I776" s="1" t="s">
        <v>397</v>
      </c>
      <c r="J776" s="1" t="s">
        <v>26</v>
      </c>
      <c r="K776" s="1">
        <v>43380000</v>
      </c>
      <c r="L776" s="1">
        <v>0</v>
      </c>
      <c r="M776" s="1">
        <v>0</v>
      </c>
      <c r="N776" s="1">
        <v>4771800</v>
      </c>
      <c r="O776" s="1">
        <v>0</v>
      </c>
      <c r="P776" s="1">
        <v>0</v>
      </c>
      <c r="Q776" s="1">
        <v>0</v>
      </c>
      <c r="R776" s="1">
        <v>48151800</v>
      </c>
      <c r="S776" s="1">
        <v>10217350</v>
      </c>
      <c r="T776" s="1">
        <v>23.553135085293</v>
      </c>
      <c r="U776" t="str">
        <f t="shared" si="12"/>
        <v>Week 1</v>
      </c>
    </row>
    <row r="777" spans="1:21" x14ac:dyDescent="0.25">
      <c r="A777" s="1">
        <v>776</v>
      </c>
      <c r="B777" s="1" t="s">
        <v>398</v>
      </c>
      <c r="C777" s="2">
        <v>46087</v>
      </c>
      <c r="D777" s="1" t="s">
        <v>33</v>
      </c>
      <c r="E777" s="1" t="s">
        <v>38</v>
      </c>
      <c r="F777" s="1" t="s">
        <v>23</v>
      </c>
      <c r="G777" s="1" t="s">
        <v>24</v>
      </c>
      <c r="H777" s="1">
        <v>1</v>
      </c>
      <c r="I777" s="1" t="s">
        <v>399</v>
      </c>
      <c r="J777" s="1"/>
      <c r="K777" s="1">
        <v>20400000</v>
      </c>
      <c r="L777" s="1">
        <v>0</v>
      </c>
      <c r="M777" s="1">
        <v>0</v>
      </c>
      <c r="N777" s="1">
        <v>2244000</v>
      </c>
      <c r="O777" s="1">
        <v>0</v>
      </c>
      <c r="P777" s="1">
        <v>0</v>
      </c>
      <c r="Q777" s="1">
        <v>0</v>
      </c>
      <c r="R777" s="1">
        <v>22644000</v>
      </c>
      <c r="S777" s="1">
        <v>4860000</v>
      </c>
      <c r="T777" s="1">
        <v>23.823529411765001</v>
      </c>
      <c r="U777" t="str">
        <f t="shared" si="12"/>
        <v>Week 1</v>
      </c>
    </row>
    <row r="778" spans="1:21" x14ac:dyDescent="0.25">
      <c r="A778" s="1">
        <v>777</v>
      </c>
      <c r="B778" s="1" t="s">
        <v>400</v>
      </c>
      <c r="C778" s="2">
        <v>46087</v>
      </c>
      <c r="D778" s="1" t="s">
        <v>21</v>
      </c>
      <c r="E778" s="1" t="s">
        <v>22</v>
      </c>
      <c r="F778" s="1" t="s">
        <v>30</v>
      </c>
      <c r="G778" s="1" t="s">
        <v>24</v>
      </c>
      <c r="H778" s="1">
        <v>1</v>
      </c>
      <c r="I778" s="1" t="s">
        <v>401</v>
      </c>
      <c r="J778" s="1" t="s">
        <v>26</v>
      </c>
      <c r="K778" s="1">
        <v>11419450</v>
      </c>
      <c r="L778" s="1">
        <v>0</v>
      </c>
      <c r="M778" s="1">
        <v>0</v>
      </c>
      <c r="N778" s="1">
        <v>1256139.5</v>
      </c>
      <c r="O778" s="1">
        <v>0</v>
      </c>
      <c r="P778" s="1">
        <v>0</v>
      </c>
      <c r="Q778" s="1">
        <v>0</v>
      </c>
      <c r="R778" s="1">
        <v>12675589.5</v>
      </c>
      <c r="S778" s="1">
        <v>1577450</v>
      </c>
      <c r="T778" s="1">
        <v>13.813712569344</v>
      </c>
      <c r="U778" t="str">
        <f t="shared" si="12"/>
        <v>Week 1</v>
      </c>
    </row>
    <row r="779" spans="1:21" x14ac:dyDescent="0.25">
      <c r="A779" s="1">
        <v>778</v>
      </c>
      <c r="B779" s="1" t="s">
        <v>402</v>
      </c>
      <c r="C779" s="2">
        <v>46087</v>
      </c>
      <c r="D779" s="1" t="s">
        <v>33</v>
      </c>
      <c r="E779" s="1" t="s">
        <v>38</v>
      </c>
      <c r="F779" s="1" t="s">
        <v>30</v>
      </c>
      <c r="G779" s="1" t="s">
        <v>24</v>
      </c>
      <c r="H779" s="1">
        <v>1</v>
      </c>
      <c r="I779" s="1" t="s">
        <v>403</v>
      </c>
      <c r="J779" s="1"/>
      <c r="K779" s="1">
        <v>131937850</v>
      </c>
      <c r="L779" s="1">
        <v>0</v>
      </c>
      <c r="M779" s="1">
        <v>0</v>
      </c>
      <c r="N779" s="1">
        <v>14513163.5</v>
      </c>
      <c r="O779" s="1">
        <v>0</v>
      </c>
      <c r="P779" s="1">
        <v>0</v>
      </c>
      <c r="Q779" s="1">
        <v>0</v>
      </c>
      <c r="R779" s="1">
        <v>146451013.5</v>
      </c>
      <c r="S779" s="1">
        <v>-103512150</v>
      </c>
      <c r="T779" s="1">
        <v>-78.455234794261003</v>
      </c>
      <c r="U779" t="str">
        <f t="shared" si="12"/>
        <v>Week 1</v>
      </c>
    </row>
    <row r="780" spans="1:21" x14ac:dyDescent="0.25">
      <c r="A780" s="1">
        <v>779</v>
      </c>
      <c r="B780" s="1" t="s">
        <v>404</v>
      </c>
      <c r="C780" s="2">
        <v>46087</v>
      </c>
      <c r="D780" s="1" t="s">
        <v>21</v>
      </c>
      <c r="E780" s="1" t="s">
        <v>22</v>
      </c>
      <c r="F780" s="1" t="s">
        <v>30</v>
      </c>
      <c r="G780" s="1" t="s">
        <v>24</v>
      </c>
      <c r="H780" s="1">
        <v>1</v>
      </c>
      <c r="I780" s="1" t="s">
        <v>405</v>
      </c>
      <c r="J780" s="1" t="s">
        <v>26</v>
      </c>
      <c r="K780" s="1">
        <v>102900</v>
      </c>
      <c r="L780" s="1">
        <v>0</v>
      </c>
      <c r="M780" s="1">
        <v>0</v>
      </c>
      <c r="N780" s="1">
        <v>11319</v>
      </c>
      <c r="O780" s="1">
        <v>0</v>
      </c>
      <c r="P780" s="1">
        <v>0</v>
      </c>
      <c r="Q780" s="1">
        <v>0</v>
      </c>
      <c r="R780" s="1">
        <v>114219</v>
      </c>
      <c r="S780" s="1">
        <v>3087</v>
      </c>
      <c r="T780" s="1">
        <v>3</v>
      </c>
      <c r="U780" t="str">
        <f t="shared" si="12"/>
        <v>Week 1</v>
      </c>
    </row>
    <row r="781" spans="1:21" x14ac:dyDescent="0.25">
      <c r="A781" s="1">
        <v>780</v>
      </c>
      <c r="B781" s="1" t="s">
        <v>406</v>
      </c>
      <c r="C781" s="2">
        <v>46087</v>
      </c>
      <c r="D781" s="1" t="s">
        <v>248</v>
      </c>
      <c r="E781" s="1" t="s">
        <v>99</v>
      </c>
      <c r="F781" s="1" t="s">
        <v>30</v>
      </c>
      <c r="G781" s="1" t="s">
        <v>24</v>
      </c>
      <c r="H781" s="1">
        <v>1</v>
      </c>
      <c r="I781" s="1" t="s">
        <v>407</v>
      </c>
      <c r="J781" s="1" t="s">
        <v>26</v>
      </c>
      <c r="K781" s="1">
        <v>5325203</v>
      </c>
      <c r="L781" s="1">
        <v>0</v>
      </c>
      <c r="M781" s="1">
        <v>0</v>
      </c>
      <c r="N781" s="1">
        <v>585772.32999999996</v>
      </c>
      <c r="O781" s="1">
        <v>0</v>
      </c>
      <c r="P781" s="1">
        <v>0</v>
      </c>
      <c r="Q781" s="1">
        <v>0</v>
      </c>
      <c r="R781" s="1">
        <v>5910975.3300000001</v>
      </c>
      <c r="S781" s="1">
        <v>-1266777</v>
      </c>
      <c r="T781" s="1">
        <v>-23.788332576241999</v>
      </c>
      <c r="U781" t="str">
        <f t="shared" si="12"/>
        <v>Week 1</v>
      </c>
    </row>
    <row r="782" spans="1:21" x14ac:dyDescent="0.25">
      <c r="A782" s="1">
        <v>781</v>
      </c>
      <c r="B782" s="1" t="s">
        <v>408</v>
      </c>
      <c r="C782" s="2">
        <v>46087</v>
      </c>
      <c r="D782" s="1" t="s">
        <v>33</v>
      </c>
      <c r="E782" s="1" t="s">
        <v>38</v>
      </c>
      <c r="F782" s="1" t="s">
        <v>30</v>
      </c>
      <c r="G782" s="1" t="s">
        <v>24</v>
      </c>
      <c r="H782" s="1">
        <v>1</v>
      </c>
      <c r="I782" s="1" t="s">
        <v>409</v>
      </c>
      <c r="J782" s="1"/>
      <c r="K782" s="1">
        <v>51104336.359999999</v>
      </c>
      <c r="L782" s="1">
        <v>0</v>
      </c>
      <c r="M782" s="1">
        <v>0</v>
      </c>
      <c r="N782" s="1">
        <v>5621476.9995999997</v>
      </c>
      <c r="O782" s="1">
        <v>0</v>
      </c>
      <c r="P782" s="1">
        <v>0</v>
      </c>
      <c r="Q782" s="1">
        <v>0</v>
      </c>
      <c r="R782" s="1">
        <v>56725813.3596</v>
      </c>
      <c r="S782" s="1">
        <v>6104502.7187989</v>
      </c>
      <c r="T782" s="1">
        <v>11.945175602705</v>
      </c>
      <c r="U782" t="str">
        <f t="shared" si="12"/>
        <v>Week 1</v>
      </c>
    </row>
    <row r="783" spans="1:21" x14ac:dyDescent="0.25">
      <c r="A783" s="1">
        <v>782</v>
      </c>
      <c r="B783" s="1" t="s">
        <v>410</v>
      </c>
      <c r="C783" s="2">
        <v>46087</v>
      </c>
      <c r="D783" s="1" t="s">
        <v>202</v>
      </c>
      <c r="E783" s="1" t="s">
        <v>203</v>
      </c>
      <c r="F783" s="1" t="s">
        <v>30</v>
      </c>
      <c r="G783" s="1" t="s">
        <v>24</v>
      </c>
      <c r="H783" s="1">
        <v>1</v>
      </c>
      <c r="I783" s="1" t="s">
        <v>411</v>
      </c>
      <c r="J783" s="1" t="s">
        <v>26</v>
      </c>
      <c r="K783" s="1">
        <v>1499400</v>
      </c>
      <c r="L783" s="1">
        <v>0</v>
      </c>
      <c r="M783" s="1">
        <v>0</v>
      </c>
      <c r="N783" s="1">
        <v>164934</v>
      </c>
      <c r="O783" s="1">
        <v>0</v>
      </c>
      <c r="P783" s="1">
        <v>0</v>
      </c>
      <c r="Q783" s="1">
        <v>0</v>
      </c>
      <c r="R783" s="1">
        <v>1664334</v>
      </c>
      <c r="S783" s="1">
        <v>649400</v>
      </c>
      <c r="T783" s="1">
        <v>43.310657596372003</v>
      </c>
      <c r="U783" t="str">
        <f t="shared" si="12"/>
        <v>Week 1</v>
      </c>
    </row>
    <row r="784" spans="1:21" x14ac:dyDescent="0.25">
      <c r="A784" s="1">
        <v>783</v>
      </c>
      <c r="B784" s="1" t="s">
        <v>412</v>
      </c>
      <c r="C784" s="2">
        <v>46087</v>
      </c>
      <c r="D784" s="1" t="s">
        <v>248</v>
      </c>
      <c r="E784" s="1" t="s">
        <v>116</v>
      </c>
      <c r="F784" s="1" t="s">
        <v>30</v>
      </c>
      <c r="G784" s="1" t="s">
        <v>24</v>
      </c>
      <c r="H784" s="1">
        <v>1</v>
      </c>
      <c r="I784" s="1" t="s">
        <v>413</v>
      </c>
      <c r="J784" s="1" t="s">
        <v>26</v>
      </c>
      <c r="K784" s="1">
        <v>36091200</v>
      </c>
      <c r="L784" s="1">
        <v>0</v>
      </c>
      <c r="M784" s="1">
        <v>0</v>
      </c>
      <c r="N784" s="1">
        <v>3970032</v>
      </c>
      <c r="O784" s="1">
        <v>0</v>
      </c>
      <c r="P784" s="1">
        <v>0</v>
      </c>
      <c r="Q784" s="1">
        <v>0</v>
      </c>
      <c r="R784" s="1">
        <v>40061232</v>
      </c>
      <c r="S784" s="1">
        <v>-1948800</v>
      </c>
      <c r="T784" s="1">
        <v>-5.3996542093363002</v>
      </c>
      <c r="U784" t="str">
        <f t="shared" si="12"/>
        <v>Week 1</v>
      </c>
    </row>
    <row r="785" spans="1:21" x14ac:dyDescent="0.25">
      <c r="A785" s="1">
        <v>784</v>
      </c>
      <c r="B785" s="1" t="s">
        <v>414</v>
      </c>
      <c r="C785" s="2">
        <v>46087</v>
      </c>
      <c r="D785" s="1" t="s">
        <v>112</v>
      </c>
      <c r="E785" s="1" t="s">
        <v>38</v>
      </c>
      <c r="F785" s="1" t="s">
        <v>30</v>
      </c>
      <c r="G785" s="1" t="s">
        <v>24</v>
      </c>
      <c r="H785" s="1">
        <v>1</v>
      </c>
      <c r="I785" s="1" t="s">
        <v>415</v>
      </c>
      <c r="J785" s="1"/>
      <c r="K785" s="1">
        <v>158105</v>
      </c>
      <c r="L785" s="1">
        <v>0</v>
      </c>
      <c r="M785" s="1">
        <v>0</v>
      </c>
      <c r="N785" s="1">
        <v>17391.55</v>
      </c>
      <c r="O785" s="1">
        <v>0</v>
      </c>
      <c r="P785" s="1">
        <v>0</v>
      </c>
      <c r="Q785" s="1">
        <v>0</v>
      </c>
      <c r="R785" s="1">
        <v>175496.55</v>
      </c>
      <c r="S785" s="1">
        <v>22294.189189190001</v>
      </c>
      <c r="T785" s="1">
        <v>14.100875487295999</v>
      </c>
      <c r="U785" t="str">
        <f t="shared" si="12"/>
        <v>Week 1</v>
      </c>
    </row>
    <row r="786" spans="1:21" x14ac:dyDescent="0.25">
      <c r="A786" s="1">
        <v>785</v>
      </c>
      <c r="B786" s="1" t="s">
        <v>416</v>
      </c>
      <c r="C786" s="2">
        <v>46086</v>
      </c>
      <c r="D786" s="1" t="s">
        <v>37</v>
      </c>
      <c r="E786" s="1" t="s">
        <v>38</v>
      </c>
      <c r="F786" s="1" t="s">
        <v>30</v>
      </c>
      <c r="G786" s="1" t="s">
        <v>24</v>
      </c>
      <c r="H786" s="1">
        <v>1</v>
      </c>
      <c r="I786" s="1" t="s">
        <v>417</v>
      </c>
      <c r="J786" s="1"/>
      <c r="K786" s="1">
        <v>21550.2</v>
      </c>
      <c r="L786" s="1">
        <v>0</v>
      </c>
      <c r="M786" s="1">
        <v>0</v>
      </c>
      <c r="N786" s="1">
        <v>2370.5219999999999</v>
      </c>
      <c r="O786" s="1">
        <v>0</v>
      </c>
      <c r="P786" s="1">
        <v>0</v>
      </c>
      <c r="Q786" s="1">
        <v>0</v>
      </c>
      <c r="R786" s="1">
        <v>23920.722000000002</v>
      </c>
      <c r="S786" s="1">
        <v>3532.1819819819998</v>
      </c>
      <c r="T786" s="1">
        <v>16.390483531392</v>
      </c>
      <c r="U786" t="str">
        <f t="shared" si="12"/>
        <v>Week 1</v>
      </c>
    </row>
    <row r="787" spans="1:21" x14ac:dyDescent="0.25">
      <c r="A787" s="1">
        <v>786</v>
      </c>
      <c r="B787" s="1" t="s">
        <v>418</v>
      </c>
      <c r="C787" s="2">
        <v>46086</v>
      </c>
      <c r="D787" s="1" t="s">
        <v>37</v>
      </c>
      <c r="E787" s="1" t="s">
        <v>38</v>
      </c>
      <c r="F787" s="1" t="s">
        <v>30</v>
      </c>
      <c r="G787" s="1" t="s">
        <v>24</v>
      </c>
      <c r="H787" s="1">
        <v>1</v>
      </c>
      <c r="I787" s="1" t="s">
        <v>419</v>
      </c>
      <c r="J787" s="1"/>
      <c r="K787" s="1">
        <v>2861355</v>
      </c>
      <c r="L787" s="1">
        <v>0</v>
      </c>
      <c r="M787" s="1">
        <v>0</v>
      </c>
      <c r="N787" s="1">
        <v>314749.05</v>
      </c>
      <c r="O787" s="1">
        <v>0</v>
      </c>
      <c r="P787" s="1">
        <v>0</v>
      </c>
      <c r="Q787" s="1">
        <v>0</v>
      </c>
      <c r="R787" s="1">
        <v>3176104.05</v>
      </c>
      <c r="S787" s="1">
        <v>525555</v>
      </c>
      <c r="T787" s="1">
        <v>18.367346938775999</v>
      </c>
      <c r="U787" t="str">
        <f t="shared" si="12"/>
        <v>Week 1</v>
      </c>
    </row>
    <row r="788" spans="1:21" x14ac:dyDescent="0.25">
      <c r="A788" s="1">
        <v>787</v>
      </c>
      <c r="B788" s="1" t="s">
        <v>420</v>
      </c>
      <c r="C788" s="2">
        <v>46086</v>
      </c>
      <c r="D788" s="1" t="s">
        <v>33</v>
      </c>
      <c r="E788" s="1" t="s">
        <v>34</v>
      </c>
      <c r="F788" s="1" t="s">
        <v>30</v>
      </c>
      <c r="G788" s="1" t="s">
        <v>24</v>
      </c>
      <c r="H788" s="1">
        <v>1</v>
      </c>
      <c r="I788" s="1" t="s">
        <v>2564</v>
      </c>
      <c r="J788" s="1" t="s">
        <v>26</v>
      </c>
      <c r="K788" s="1">
        <v>647870</v>
      </c>
      <c r="L788" s="1">
        <v>0</v>
      </c>
      <c r="M788" s="1">
        <v>0</v>
      </c>
      <c r="N788" s="1">
        <v>71265.7</v>
      </c>
      <c r="O788" s="1">
        <v>0</v>
      </c>
      <c r="P788" s="1">
        <v>0</v>
      </c>
      <c r="Q788" s="1">
        <v>0</v>
      </c>
      <c r="R788" s="1">
        <v>719135.7</v>
      </c>
      <c r="S788" s="1">
        <v>85890</v>
      </c>
      <c r="T788" s="1">
        <v>13.257289270996001</v>
      </c>
      <c r="U788" t="str">
        <f t="shared" si="12"/>
        <v>Week 1</v>
      </c>
    </row>
    <row r="789" spans="1:21" x14ac:dyDescent="0.25">
      <c r="A789" s="1">
        <v>788</v>
      </c>
      <c r="B789" s="1" t="s">
        <v>422</v>
      </c>
      <c r="C789" s="2">
        <v>46086</v>
      </c>
      <c r="D789" s="1" t="s">
        <v>53</v>
      </c>
      <c r="E789" s="1" t="s">
        <v>54</v>
      </c>
      <c r="F789" s="1" t="s">
        <v>30</v>
      </c>
      <c r="G789" s="1" t="s">
        <v>24</v>
      </c>
      <c r="H789" s="1">
        <v>1</v>
      </c>
      <c r="I789" s="1" t="s">
        <v>423</v>
      </c>
      <c r="J789" s="1"/>
      <c r="K789" s="1">
        <v>60514148</v>
      </c>
      <c r="L789" s="1">
        <v>0</v>
      </c>
      <c r="M789" s="1">
        <v>0</v>
      </c>
      <c r="N789" s="1">
        <v>6656556.2800000003</v>
      </c>
      <c r="O789" s="1">
        <v>0</v>
      </c>
      <c r="P789" s="1">
        <v>0</v>
      </c>
      <c r="Q789" s="1">
        <v>0</v>
      </c>
      <c r="R789" s="1">
        <v>67170704.280000001</v>
      </c>
      <c r="S789" s="1">
        <v>6763948</v>
      </c>
      <c r="T789" s="1">
        <v>11.177465474685</v>
      </c>
      <c r="U789" t="str">
        <f t="shared" si="12"/>
        <v>Week 1</v>
      </c>
    </row>
    <row r="790" spans="1:21" x14ac:dyDescent="0.25">
      <c r="A790" s="1">
        <v>789</v>
      </c>
      <c r="B790" s="1" t="s">
        <v>424</v>
      </c>
      <c r="C790" s="2">
        <v>46086</v>
      </c>
      <c r="D790" s="1" t="s">
        <v>421</v>
      </c>
      <c r="E790" s="1" t="s">
        <v>192</v>
      </c>
      <c r="F790" s="1" t="s">
        <v>30</v>
      </c>
      <c r="G790" s="1" t="s">
        <v>24</v>
      </c>
      <c r="H790" s="1">
        <v>1</v>
      </c>
      <c r="I790" s="1" t="s">
        <v>425</v>
      </c>
      <c r="J790" s="1" t="s">
        <v>56</v>
      </c>
      <c r="K790" s="1">
        <v>5271969.9000000004</v>
      </c>
      <c r="L790" s="1">
        <v>0</v>
      </c>
      <c r="M790" s="1">
        <v>0</v>
      </c>
      <c r="N790" s="1">
        <v>579916.68900000001</v>
      </c>
      <c r="O790" s="1">
        <v>0</v>
      </c>
      <c r="P790" s="1">
        <v>0</v>
      </c>
      <c r="Q790" s="1">
        <v>0</v>
      </c>
      <c r="R790" s="1">
        <v>5851886.5889999997</v>
      </c>
      <c r="S790" s="1">
        <v>2659651.9</v>
      </c>
      <c r="T790" s="1">
        <v>50.448920431052002</v>
      </c>
      <c r="U790" t="str">
        <f t="shared" si="12"/>
        <v>Week 1</v>
      </c>
    </row>
    <row r="791" spans="1:21" x14ac:dyDescent="0.25">
      <c r="A791" s="1">
        <v>790</v>
      </c>
      <c r="B791" s="1" t="s">
        <v>426</v>
      </c>
      <c r="C791" s="2">
        <v>46086</v>
      </c>
      <c r="D791" s="1" t="s">
        <v>248</v>
      </c>
      <c r="E791" s="1" t="s">
        <v>116</v>
      </c>
      <c r="F791" s="1" t="s">
        <v>30</v>
      </c>
      <c r="G791" s="1" t="s">
        <v>24</v>
      </c>
      <c r="H791" s="1">
        <v>1</v>
      </c>
      <c r="I791" s="1" t="s">
        <v>427</v>
      </c>
      <c r="J791" s="1" t="s">
        <v>26</v>
      </c>
      <c r="K791" s="1">
        <v>14223270</v>
      </c>
      <c r="L791" s="1">
        <v>0</v>
      </c>
      <c r="M791" s="1">
        <v>0</v>
      </c>
      <c r="N791" s="1">
        <v>1564559.7</v>
      </c>
      <c r="O791" s="1">
        <v>0</v>
      </c>
      <c r="P791" s="1">
        <v>0</v>
      </c>
      <c r="Q791" s="1">
        <v>0</v>
      </c>
      <c r="R791" s="1">
        <v>15787829.699999999</v>
      </c>
      <c r="S791" s="1">
        <v>414270</v>
      </c>
      <c r="T791" s="1">
        <v>2.9126213592233001</v>
      </c>
      <c r="U791" t="str">
        <f t="shared" si="12"/>
        <v>Week 1</v>
      </c>
    </row>
    <row r="792" spans="1:21" x14ac:dyDescent="0.25">
      <c r="A792" s="1">
        <v>791</v>
      </c>
      <c r="B792" s="1" t="s">
        <v>428</v>
      </c>
      <c r="C792" s="2">
        <v>46086</v>
      </c>
      <c r="D792" s="1" t="s">
        <v>429</v>
      </c>
      <c r="E792" s="1" t="s">
        <v>203</v>
      </c>
      <c r="F792" s="1" t="s">
        <v>23</v>
      </c>
      <c r="G792" s="1" t="s">
        <v>24</v>
      </c>
      <c r="H792" s="1">
        <v>1</v>
      </c>
      <c r="I792" s="1" t="s">
        <v>430</v>
      </c>
      <c r="J792" s="1" t="s">
        <v>56</v>
      </c>
      <c r="K792" s="1">
        <v>45350000</v>
      </c>
      <c r="L792" s="1">
        <v>0</v>
      </c>
      <c r="M792" s="1">
        <v>0</v>
      </c>
      <c r="N792" s="1">
        <v>4988500</v>
      </c>
      <c r="O792" s="1">
        <v>0</v>
      </c>
      <c r="P792" s="1">
        <v>0</v>
      </c>
      <c r="Q792" s="1">
        <v>0</v>
      </c>
      <c r="R792" s="1">
        <v>50338500</v>
      </c>
      <c r="S792" s="1">
        <v>9313965</v>
      </c>
      <c r="T792" s="1">
        <v>20.537960308710002</v>
      </c>
      <c r="U792" t="str">
        <f t="shared" si="12"/>
        <v>Week 1</v>
      </c>
    </row>
    <row r="793" spans="1:21" x14ac:dyDescent="0.25">
      <c r="A793" s="1">
        <v>792</v>
      </c>
      <c r="B793" s="1" t="s">
        <v>431</v>
      </c>
      <c r="C793" s="2">
        <v>46086</v>
      </c>
      <c r="D793" s="1" t="s">
        <v>432</v>
      </c>
      <c r="E793" s="1" t="s">
        <v>116</v>
      </c>
      <c r="F793" s="1" t="s">
        <v>30</v>
      </c>
      <c r="G793" s="1" t="s">
        <v>24</v>
      </c>
      <c r="H793" s="1">
        <v>1</v>
      </c>
      <c r="I793" s="1" t="s">
        <v>433</v>
      </c>
      <c r="J793" s="1" t="s">
        <v>26</v>
      </c>
      <c r="K793" s="1">
        <v>37080000</v>
      </c>
      <c r="L793" s="1">
        <v>0</v>
      </c>
      <c r="M793" s="1">
        <v>0</v>
      </c>
      <c r="N793" s="1">
        <v>4078800</v>
      </c>
      <c r="O793" s="1">
        <v>0</v>
      </c>
      <c r="P793" s="1">
        <v>0</v>
      </c>
      <c r="Q793" s="1">
        <v>0</v>
      </c>
      <c r="R793" s="1">
        <v>41158800</v>
      </c>
      <c r="S793" s="1">
        <v>5580000</v>
      </c>
      <c r="T793" s="1">
        <v>15.048543689320001</v>
      </c>
      <c r="U793" t="str">
        <f t="shared" si="12"/>
        <v>Week 1</v>
      </c>
    </row>
    <row r="794" spans="1:21" x14ac:dyDescent="0.25">
      <c r="A794" s="1">
        <v>793</v>
      </c>
      <c r="B794" s="1" t="s">
        <v>434</v>
      </c>
      <c r="C794" s="2">
        <v>46086</v>
      </c>
      <c r="D794" s="1" t="s">
        <v>53</v>
      </c>
      <c r="E794" s="1" t="s">
        <v>54</v>
      </c>
      <c r="F794" s="1" t="s">
        <v>30</v>
      </c>
      <c r="G794" s="1" t="s">
        <v>24</v>
      </c>
      <c r="H794" s="1">
        <v>1</v>
      </c>
      <c r="I794" s="1" t="s">
        <v>435</v>
      </c>
      <c r="J794" s="1"/>
      <c r="K794" s="1">
        <v>56186500</v>
      </c>
      <c r="L794" s="1">
        <v>0</v>
      </c>
      <c r="M794" s="1">
        <v>0</v>
      </c>
      <c r="N794" s="1">
        <v>6180515</v>
      </c>
      <c r="O794" s="1">
        <v>0</v>
      </c>
      <c r="P794" s="1">
        <v>0</v>
      </c>
      <c r="Q794" s="1">
        <v>0</v>
      </c>
      <c r="R794" s="1">
        <v>62367015</v>
      </c>
      <c r="S794" s="1">
        <v>-9813500</v>
      </c>
      <c r="T794" s="1">
        <v>-17.465939327063001</v>
      </c>
      <c r="U794" t="str">
        <f t="shared" si="12"/>
        <v>Week 1</v>
      </c>
    </row>
    <row r="795" spans="1:21" x14ac:dyDescent="0.25">
      <c r="A795" s="1">
        <v>794</v>
      </c>
      <c r="B795" s="1" t="s">
        <v>436</v>
      </c>
      <c r="C795" s="2">
        <v>46086</v>
      </c>
      <c r="D795" s="1" t="s">
        <v>115</v>
      </c>
      <c r="E795" s="1" t="s">
        <v>116</v>
      </c>
      <c r="F795" s="1" t="s">
        <v>260</v>
      </c>
      <c r="G795" s="1" t="s">
        <v>24</v>
      </c>
      <c r="H795" s="1">
        <v>1</v>
      </c>
      <c r="I795" s="1" t="s">
        <v>437</v>
      </c>
      <c r="J795" s="1" t="s">
        <v>26</v>
      </c>
      <c r="K795" s="1">
        <v>19343989.699999999</v>
      </c>
      <c r="L795" s="1">
        <v>0</v>
      </c>
      <c r="M795" s="1">
        <v>0</v>
      </c>
      <c r="N795" s="1">
        <v>2127838.8670000001</v>
      </c>
      <c r="O795" s="1">
        <v>0</v>
      </c>
      <c r="P795" s="1">
        <v>0</v>
      </c>
      <c r="Q795" s="1">
        <v>0</v>
      </c>
      <c r="R795" s="1">
        <v>21471828.567000002</v>
      </c>
      <c r="S795" s="1">
        <v>2102375.56</v>
      </c>
      <c r="T795" s="1">
        <v>10.868365795294</v>
      </c>
      <c r="U795" t="str">
        <f t="shared" si="12"/>
        <v>Week 1</v>
      </c>
    </row>
    <row r="796" spans="1:21" x14ac:dyDescent="0.25">
      <c r="A796" s="1">
        <v>795</v>
      </c>
      <c r="B796" s="1" t="s">
        <v>438</v>
      </c>
      <c r="C796" s="2">
        <v>46086</v>
      </c>
      <c r="D796" s="1" t="s">
        <v>21</v>
      </c>
      <c r="E796" s="1" t="s">
        <v>22</v>
      </c>
      <c r="F796" s="1" t="s">
        <v>23</v>
      </c>
      <c r="G796" s="1" t="s">
        <v>24</v>
      </c>
      <c r="H796" s="1">
        <v>1</v>
      </c>
      <c r="I796" s="1" t="s">
        <v>147</v>
      </c>
      <c r="J796" s="1" t="s">
        <v>26</v>
      </c>
      <c r="K796" s="1">
        <v>5028000</v>
      </c>
      <c r="L796" s="1">
        <v>0</v>
      </c>
      <c r="M796" s="1">
        <v>0</v>
      </c>
      <c r="N796" s="1">
        <v>553080</v>
      </c>
      <c r="O796" s="1">
        <v>0</v>
      </c>
      <c r="P796" s="1">
        <v>0</v>
      </c>
      <c r="Q796" s="1">
        <v>0</v>
      </c>
      <c r="R796" s="1">
        <v>5581080</v>
      </c>
      <c r="S796" s="1">
        <v>2084982.3693694</v>
      </c>
      <c r="T796" s="1">
        <v>41.467429780616001</v>
      </c>
      <c r="U796" t="str">
        <f t="shared" si="12"/>
        <v>Week 1</v>
      </c>
    </row>
    <row r="797" spans="1:21" x14ac:dyDescent="0.25">
      <c r="A797" s="1">
        <v>796</v>
      </c>
      <c r="B797" s="1" t="s">
        <v>439</v>
      </c>
      <c r="C797" s="2">
        <v>46086</v>
      </c>
      <c r="D797" s="1" t="s">
        <v>21</v>
      </c>
      <c r="E797" s="1" t="s">
        <v>22</v>
      </c>
      <c r="F797" s="1" t="s">
        <v>30</v>
      </c>
      <c r="G797" s="1" t="s">
        <v>24</v>
      </c>
      <c r="H797" s="1">
        <v>1</v>
      </c>
      <c r="I797" s="1" t="s">
        <v>3383</v>
      </c>
      <c r="J797" s="1" t="s">
        <v>26</v>
      </c>
      <c r="K797" s="1">
        <v>5096000</v>
      </c>
      <c r="L797" s="1">
        <v>0</v>
      </c>
      <c r="M797" s="1">
        <v>0</v>
      </c>
      <c r="N797" s="1">
        <v>560560</v>
      </c>
      <c r="O797" s="1">
        <v>0</v>
      </c>
      <c r="P797" s="1">
        <v>0</v>
      </c>
      <c r="Q797" s="1">
        <v>0</v>
      </c>
      <c r="R797" s="1">
        <v>5656560</v>
      </c>
      <c r="S797" s="1">
        <v>1486990.98</v>
      </c>
      <c r="T797" s="1">
        <v>29.179571821035999</v>
      </c>
      <c r="U797" t="str">
        <f t="shared" si="12"/>
        <v>Week 1</v>
      </c>
    </row>
    <row r="798" spans="1:21" x14ac:dyDescent="0.25">
      <c r="A798" s="1">
        <v>797</v>
      </c>
      <c r="B798" s="1" t="s">
        <v>440</v>
      </c>
      <c r="C798" s="2">
        <v>46086</v>
      </c>
      <c r="D798" s="1" t="s">
        <v>169</v>
      </c>
      <c r="E798" s="1" t="s">
        <v>99</v>
      </c>
      <c r="F798" s="1" t="s">
        <v>30</v>
      </c>
      <c r="G798" s="1" t="s">
        <v>24</v>
      </c>
      <c r="H798" s="1">
        <v>1</v>
      </c>
      <c r="I798" s="1" t="s">
        <v>441</v>
      </c>
      <c r="J798" s="1"/>
      <c r="K798" s="1">
        <v>8082187.5</v>
      </c>
      <c r="L798" s="1">
        <v>0</v>
      </c>
      <c r="M798" s="1">
        <v>0</v>
      </c>
      <c r="N798" s="1">
        <v>889040.625</v>
      </c>
      <c r="O798" s="1">
        <v>0</v>
      </c>
      <c r="P798" s="1">
        <v>0</v>
      </c>
      <c r="Q798" s="1">
        <v>0</v>
      </c>
      <c r="R798" s="1">
        <v>8971228.125</v>
      </c>
      <c r="S798" s="1">
        <v>2257187.5</v>
      </c>
      <c r="T798" s="1">
        <v>27.927927927928</v>
      </c>
      <c r="U798" t="str">
        <f t="shared" si="12"/>
        <v>Week 1</v>
      </c>
    </row>
    <row r="799" spans="1:21" x14ac:dyDescent="0.25">
      <c r="A799" s="1">
        <v>798</v>
      </c>
      <c r="B799" s="1" t="s">
        <v>442</v>
      </c>
      <c r="C799" s="2">
        <v>46086</v>
      </c>
      <c r="D799" s="1" t="s">
        <v>248</v>
      </c>
      <c r="E799" s="1" t="s">
        <v>116</v>
      </c>
      <c r="F799" s="1" t="s">
        <v>30</v>
      </c>
      <c r="G799" s="1" t="s">
        <v>24</v>
      </c>
      <c r="H799" s="1">
        <v>1</v>
      </c>
      <c r="I799" s="1" t="s">
        <v>443</v>
      </c>
      <c r="J799" s="1" t="s">
        <v>26</v>
      </c>
      <c r="K799" s="1">
        <v>4472132</v>
      </c>
      <c r="L799" s="1">
        <v>0</v>
      </c>
      <c r="M799" s="1">
        <v>0</v>
      </c>
      <c r="N799" s="1">
        <v>491934.52</v>
      </c>
      <c r="O799" s="1">
        <v>0</v>
      </c>
      <c r="P799" s="1">
        <v>0</v>
      </c>
      <c r="Q799" s="1">
        <v>0</v>
      </c>
      <c r="R799" s="1">
        <v>4964066.5199999996</v>
      </c>
      <c r="S799" s="1">
        <v>2887826.32</v>
      </c>
      <c r="T799" s="1">
        <v>64.573816694141001</v>
      </c>
      <c r="U799" t="str">
        <f t="shared" si="12"/>
        <v>Week 1</v>
      </c>
    </row>
    <row r="800" spans="1:21" x14ac:dyDescent="0.25">
      <c r="A800" s="1">
        <v>799</v>
      </c>
      <c r="B800" s="1" t="s">
        <v>444</v>
      </c>
      <c r="C800" s="2">
        <v>46086</v>
      </c>
      <c r="D800" s="1" t="s">
        <v>33</v>
      </c>
      <c r="E800" s="1" t="s">
        <v>34</v>
      </c>
      <c r="F800" s="1" t="s">
        <v>30</v>
      </c>
      <c r="G800" s="1" t="s">
        <v>24</v>
      </c>
      <c r="H800" s="1">
        <v>1</v>
      </c>
      <c r="I800" s="1" t="s">
        <v>445</v>
      </c>
      <c r="J800" s="1"/>
      <c r="K800" s="1">
        <v>21908802.739999998</v>
      </c>
      <c r="L800" s="1">
        <v>0</v>
      </c>
      <c r="M800" s="1">
        <v>0</v>
      </c>
      <c r="N800" s="1">
        <v>2409968.3014000002</v>
      </c>
      <c r="O800" s="1">
        <v>0</v>
      </c>
      <c r="P800" s="1">
        <v>0</v>
      </c>
      <c r="Q800" s="1">
        <v>0</v>
      </c>
      <c r="R800" s="1">
        <v>24318771.0414</v>
      </c>
      <c r="S800" s="1">
        <v>6270317.0724323997</v>
      </c>
      <c r="T800" s="1">
        <v>28.620080918363001</v>
      </c>
      <c r="U800" t="str">
        <f t="shared" si="12"/>
        <v>Week 1</v>
      </c>
    </row>
    <row r="801" spans="1:21" x14ac:dyDescent="0.25">
      <c r="A801" s="1">
        <v>800</v>
      </c>
      <c r="B801" s="1" t="s">
        <v>446</v>
      </c>
      <c r="C801" s="2">
        <v>46086</v>
      </c>
      <c r="D801" s="1" t="s">
        <v>432</v>
      </c>
      <c r="E801" s="1" t="s">
        <v>116</v>
      </c>
      <c r="F801" s="1" t="s">
        <v>23</v>
      </c>
      <c r="G801" s="1" t="s">
        <v>24</v>
      </c>
      <c r="H801" s="1">
        <v>1</v>
      </c>
      <c r="I801" s="1" t="s">
        <v>447</v>
      </c>
      <c r="J801" s="1" t="s">
        <v>26</v>
      </c>
      <c r="K801" s="1">
        <v>45000000</v>
      </c>
      <c r="L801" s="1">
        <v>0</v>
      </c>
      <c r="M801" s="1">
        <v>0</v>
      </c>
      <c r="N801" s="1">
        <v>4950000</v>
      </c>
      <c r="O801" s="1">
        <v>0</v>
      </c>
      <c r="P801" s="1">
        <v>0</v>
      </c>
      <c r="Q801" s="1">
        <v>0</v>
      </c>
      <c r="R801" s="1">
        <v>49950000</v>
      </c>
      <c r="S801" s="1">
        <v>6750000</v>
      </c>
      <c r="T801" s="1">
        <v>15</v>
      </c>
      <c r="U801" t="str">
        <f t="shared" si="12"/>
        <v>Week 1</v>
      </c>
    </row>
    <row r="802" spans="1:21" x14ac:dyDescent="0.25">
      <c r="A802" s="1">
        <v>801</v>
      </c>
      <c r="B802" s="1" t="s">
        <v>448</v>
      </c>
      <c r="C802" s="2">
        <v>46086</v>
      </c>
      <c r="D802" s="1" t="s">
        <v>33</v>
      </c>
      <c r="E802" s="1" t="s">
        <v>38</v>
      </c>
      <c r="F802" s="1" t="s">
        <v>23</v>
      </c>
      <c r="G802" s="1" t="s">
        <v>24</v>
      </c>
      <c r="H802" s="1">
        <v>1</v>
      </c>
      <c r="I802" s="1" t="s">
        <v>449</v>
      </c>
      <c r="J802" s="1" t="s">
        <v>26</v>
      </c>
      <c r="K802" s="1">
        <v>7800000</v>
      </c>
      <c r="L802" s="1">
        <v>0</v>
      </c>
      <c r="M802" s="1">
        <v>0</v>
      </c>
      <c r="N802" s="1">
        <v>858000</v>
      </c>
      <c r="O802" s="1">
        <v>0</v>
      </c>
      <c r="P802" s="1">
        <v>0</v>
      </c>
      <c r="Q802" s="1">
        <v>0</v>
      </c>
      <c r="R802" s="1">
        <v>8658000</v>
      </c>
      <c r="S802" s="1">
        <v>7799996</v>
      </c>
      <c r="T802" s="1">
        <v>99.999948717948996</v>
      </c>
      <c r="U802" t="str">
        <f t="shared" si="12"/>
        <v>Week 1</v>
      </c>
    </row>
    <row r="803" spans="1:21" x14ac:dyDescent="0.25">
      <c r="A803" s="1">
        <v>802</v>
      </c>
      <c r="B803" s="1" t="s">
        <v>450</v>
      </c>
      <c r="C803" s="2">
        <v>46086</v>
      </c>
      <c r="D803" s="1" t="s">
        <v>169</v>
      </c>
      <c r="E803" s="1" t="s">
        <v>99</v>
      </c>
      <c r="F803" s="1" t="s">
        <v>23</v>
      </c>
      <c r="G803" s="1" t="s">
        <v>24</v>
      </c>
      <c r="H803" s="1">
        <v>1</v>
      </c>
      <c r="I803" s="1" t="s">
        <v>182</v>
      </c>
      <c r="J803" s="1"/>
      <c r="K803" s="1">
        <v>4500000</v>
      </c>
      <c r="L803" s="1">
        <v>0</v>
      </c>
      <c r="M803" s="1">
        <v>0</v>
      </c>
      <c r="N803" s="1">
        <v>495000</v>
      </c>
      <c r="O803" s="1">
        <v>0</v>
      </c>
      <c r="P803" s="1">
        <v>0</v>
      </c>
      <c r="Q803" s="1">
        <v>0</v>
      </c>
      <c r="R803" s="1">
        <v>4995000</v>
      </c>
      <c r="S803" s="1">
        <v>1560000</v>
      </c>
      <c r="T803" s="1">
        <v>34.666666666666998</v>
      </c>
      <c r="U803" t="str">
        <f t="shared" si="12"/>
        <v>Week 1</v>
      </c>
    </row>
    <row r="804" spans="1:21" x14ac:dyDescent="0.25">
      <c r="A804" s="1">
        <v>803</v>
      </c>
      <c r="B804" s="1" t="s">
        <v>451</v>
      </c>
      <c r="C804" s="2">
        <v>46086</v>
      </c>
      <c r="D804" s="1" t="s">
        <v>33</v>
      </c>
      <c r="E804" s="1" t="s">
        <v>34</v>
      </c>
      <c r="F804" s="1" t="s">
        <v>30</v>
      </c>
      <c r="G804" s="1" t="s">
        <v>24</v>
      </c>
      <c r="H804" s="1">
        <v>1</v>
      </c>
      <c r="I804" s="1" t="s">
        <v>452</v>
      </c>
      <c r="J804" s="1"/>
      <c r="K804" s="1">
        <v>3579388.2</v>
      </c>
      <c r="L804" s="1">
        <v>0</v>
      </c>
      <c r="M804" s="1">
        <v>0</v>
      </c>
      <c r="N804" s="1">
        <v>393732.70199999999</v>
      </c>
      <c r="O804" s="1">
        <v>0</v>
      </c>
      <c r="P804" s="1">
        <v>0</v>
      </c>
      <c r="Q804" s="1">
        <v>0</v>
      </c>
      <c r="R804" s="1">
        <v>3973120.9019999998</v>
      </c>
      <c r="S804" s="1">
        <v>411901.71351351001</v>
      </c>
      <c r="T804" s="1">
        <v>11.507601033984001</v>
      </c>
      <c r="U804" t="str">
        <f t="shared" si="12"/>
        <v>Week 1</v>
      </c>
    </row>
    <row r="805" spans="1:21" x14ac:dyDescent="0.25">
      <c r="A805" s="1">
        <v>804</v>
      </c>
      <c r="B805" s="1" t="s">
        <v>453</v>
      </c>
      <c r="C805" s="2">
        <v>46086</v>
      </c>
      <c r="D805" s="1" t="s">
        <v>21</v>
      </c>
      <c r="E805" s="1" t="s">
        <v>22</v>
      </c>
      <c r="F805" s="1" t="s">
        <v>23</v>
      </c>
      <c r="G805" s="1" t="s">
        <v>24</v>
      </c>
      <c r="H805" s="1">
        <v>1</v>
      </c>
      <c r="I805" s="1" t="s">
        <v>1134</v>
      </c>
      <c r="J805" s="1" t="s">
        <v>26</v>
      </c>
      <c r="K805" s="1">
        <v>79771304</v>
      </c>
      <c r="L805" s="1">
        <v>0</v>
      </c>
      <c r="M805" s="1">
        <v>0</v>
      </c>
      <c r="N805" s="1">
        <v>8774843.4399999995</v>
      </c>
      <c r="O805" s="1">
        <v>0</v>
      </c>
      <c r="P805" s="1">
        <v>0</v>
      </c>
      <c r="Q805" s="1">
        <v>0</v>
      </c>
      <c r="R805" s="1">
        <v>88546147.439999998</v>
      </c>
      <c r="S805" s="1">
        <v>20143443.52</v>
      </c>
      <c r="T805" s="1">
        <v>25.251490836855002</v>
      </c>
      <c r="U805" t="str">
        <f t="shared" si="12"/>
        <v>Week 1</v>
      </c>
    </row>
    <row r="806" spans="1:21" x14ac:dyDescent="0.25">
      <c r="A806" s="1">
        <v>805</v>
      </c>
      <c r="B806" s="1" t="s">
        <v>454</v>
      </c>
      <c r="C806" s="2">
        <v>46085</v>
      </c>
      <c r="D806" s="1" t="s">
        <v>202</v>
      </c>
      <c r="E806" s="1" t="s">
        <v>203</v>
      </c>
      <c r="F806" s="1" t="s">
        <v>23</v>
      </c>
      <c r="G806" s="1" t="s">
        <v>24</v>
      </c>
      <c r="H806" s="1">
        <v>1</v>
      </c>
      <c r="I806" s="1" t="s">
        <v>455</v>
      </c>
      <c r="J806" s="1" t="s">
        <v>26</v>
      </c>
      <c r="K806" s="1">
        <v>3150000</v>
      </c>
      <c r="L806" s="1">
        <v>0</v>
      </c>
      <c r="M806" s="1">
        <v>0</v>
      </c>
      <c r="N806" s="1">
        <v>346500</v>
      </c>
      <c r="O806" s="1">
        <v>0</v>
      </c>
      <c r="P806" s="1">
        <v>0</v>
      </c>
      <c r="Q806" s="1">
        <v>0</v>
      </c>
      <c r="R806" s="1">
        <v>3496500</v>
      </c>
      <c r="S806" s="1">
        <v>575000</v>
      </c>
      <c r="T806" s="1">
        <v>18.253968253968001</v>
      </c>
      <c r="U806" t="str">
        <f t="shared" si="12"/>
        <v>Week 1</v>
      </c>
    </row>
    <row r="807" spans="1:21" x14ac:dyDescent="0.25">
      <c r="A807" s="1">
        <v>806</v>
      </c>
      <c r="B807" s="1" t="s">
        <v>456</v>
      </c>
      <c r="C807" s="2">
        <v>46085</v>
      </c>
      <c r="D807" s="1" t="s">
        <v>33</v>
      </c>
      <c r="E807" s="1" t="s">
        <v>34</v>
      </c>
      <c r="F807" s="1" t="s">
        <v>30</v>
      </c>
      <c r="G807" s="1" t="s">
        <v>24</v>
      </c>
      <c r="H807" s="1">
        <v>1</v>
      </c>
      <c r="I807" s="1" t="s">
        <v>457</v>
      </c>
      <c r="J807" s="1"/>
      <c r="K807" s="1">
        <v>18205002</v>
      </c>
      <c r="L807" s="1">
        <v>0</v>
      </c>
      <c r="M807" s="1">
        <v>0</v>
      </c>
      <c r="N807" s="1">
        <v>2002550.22</v>
      </c>
      <c r="O807" s="1">
        <v>0</v>
      </c>
      <c r="P807" s="1">
        <v>0</v>
      </c>
      <c r="Q807" s="1">
        <v>0</v>
      </c>
      <c r="R807" s="1">
        <v>20207552.219999999</v>
      </c>
      <c r="S807" s="1">
        <v>-399998</v>
      </c>
      <c r="T807" s="1">
        <v>-2.1971873444451999</v>
      </c>
      <c r="U807" t="str">
        <f t="shared" si="12"/>
        <v>Week 1</v>
      </c>
    </row>
    <row r="808" spans="1:21" x14ac:dyDescent="0.25">
      <c r="A808" s="1">
        <v>807</v>
      </c>
      <c r="B808" s="1" t="s">
        <v>458</v>
      </c>
      <c r="C808" s="2">
        <v>46085</v>
      </c>
      <c r="D808" s="1" t="s">
        <v>33</v>
      </c>
      <c r="E808" s="1" t="s">
        <v>34</v>
      </c>
      <c r="F808" s="1" t="s">
        <v>30</v>
      </c>
      <c r="G808" s="1" t="s">
        <v>24</v>
      </c>
      <c r="H808" s="1">
        <v>1</v>
      </c>
      <c r="I808" s="1" t="s">
        <v>459</v>
      </c>
      <c r="J808" s="1"/>
      <c r="K808" s="1">
        <v>68600</v>
      </c>
      <c r="L808" s="1">
        <v>0</v>
      </c>
      <c r="M808" s="1">
        <v>0</v>
      </c>
      <c r="N808" s="1">
        <v>7546</v>
      </c>
      <c r="O808" s="1">
        <v>0</v>
      </c>
      <c r="P808" s="1">
        <v>0</v>
      </c>
      <c r="Q808" s="1">
        <v>0</v>
      </c>
      <c r="R808" s="1">
        <v>76146</v>
      </c>
      <c r="S808" s="1">
        <v>14600</v>
      </c>
      <c r="T808" s="1">
        <v>21.282798833819001</v>
      </c>
      <c r="U808" t="str">
        <f t="shared" si="12"/>
        <v>Week 1</v>
      </c>
    </row>
    <row r="809" spans="1:21" x14ac:dyDescent="0.25">
      <c r="A809" s="1">
        <v>808</v>
      </c>
      <c r="B809" s="1" t="s">
        <v>460</v>
      </c>
      <c r="C809" s="2">
        <v>46085</v>
      </c>
      <c r="D809" s="1" t="s">
        <v>202</v>
      </c>
      <c r="E809" s="1" t="s">
        <v>203</v>
      </c>
      <c r="F809" s="1" t="s">
        <v>30</v>
      </c>
      <c r="G809" s="1" t="s">
        <v>24</v>
      </c>
      <c r="H809" s="1">
        <v>1</v>
      </c>
      <c r="I809" s="1" t="s">
        <v>461</v>
      </c>
      <c r="J809" s="1" t="s">
        <v>26</v>
      </c>
      <c r="K809" s="1">
        <v>33784000</v>
      </c>
      <c r="L809" s="1">
        <v>0</v>
      </c>
      <c r="M809" s="1">
        <v>0</v>
      </c>
      <c r="N809" s="1">
        <v>3716240</v>
      </c>
      <c r="O809" s="1">
        <v>0</v>
      </c>
      <c r="P809" s="1">
        <v>0</v>
      </c>
      <c r="Q809" s="1">
        <v>0</v>
      </c>
      <c r="R809" s="1">
        <v>37500240</v>
      </c>
      <c r="S809" s="1">
        <v>2680000</v>
      </c>
      <c r="T809" s="1">
        <v>7.9327492304048999</v>
      </c>
      <c r="U809" t="str">
        <f t="shared" si="12"/>
        <v>Week 1</v>
      </c>
    </row>
    <row r="810" spans="1:21" x14ac:dyDescent="0.25">
      <c r="A810" s="1">
        <v>809</v>
      </c>
      <c r="B810" s="1" t="s">
        <v>462</v>
      </c>
      <c r="C810" s="2">
        <v>46085</v>
      </c>
      <c r="D810" s="1" t="s">
        <v>21</v>
      </c>
      <c r="E810" s="1" t="s">
        <v>22</v>
      </c>
      <c r="F810" s="1" t="s">
        <v>30</v>
      </c>
      <c r="G810" s="1" t="s">
        <v>24</v>
      </c>
      <c r="H810" s="1">
        <v>1</v>
      </c>
      <c r="I810" s="1" t="s">
        <v>463</v>
      </c>
      <c r="J810" s="1" t="s">
        <v>26</v>
      </c>
      <c r="K810" s="1">
        <v>63714000</v>
      </c>
      <c r="L810" s="1">
        <v>0</v>
      </c>
      <c r="M810" s="1">
        <v>0</v>
      </c>
      <c r="N810" s="1">
        <v>7008540</v>
      </c>
      <c r="O810" s="1">
        <v>0</v>
      </c>
      <c r="P810" s="1">
        <v>0</v>
      </c>
      <c r="Q810" s="1">
        <v>0</v>
      </c>
      <c r="R810" s="1">
        <v>70722540</v>
      </c>
      <c r="S810" s="1">
        <v>1913420</v>
      </c>
      <c r="T810" s="1">
        <v>3.0031390275293002</v>
      </c>
      <c r="U810" t="str">
        <f t="shared" si="12"/>
        <v>Week 1</v>
      </c>
    </row>
    <row r="811" spans="1:21" x14ac:dyDescent="0.25">
      <c r="A811" s="1">
        <v>810</v>
      </c>
      <c r="B811" s="1" t="s">
        <v>464</v>
      </c>
      <c r="C811" s="2">
        <v>46085</v>
      </c>
      <c r="D811" s="1" t="s">
        <v>21</v>
      </c>
      <c r="E811" s="1" t="s">
        <v>22</v>
      </c>
      <c r="F811" s="1" t="s">
        <v>30</v>
      </c>
      <c r="G811" s="1" t="s">
        <v>24</v>
      </c>
      <c r="H811" s="1">
        <v>1</v>
      </c>
      <c r="I811" s="1" t="s">
        <v>465</v>
      </c>
      <c r="J811" s="1" t="s">
        <v>26</v>
      </c>
      <c r="K811" s="1">
        <v>71070000</v>
      </c>
      <c r="L811" s="1">
        <v>0</v>
      </c>
      <c r="M811" s="1">
        <v>0</v>
      </c>
      <c r="N811" s="1">
        <v>7817700</v>
      </c>
      <c r="O811" s="1">
        <v>0</v>
      </c>
      <c r="P811" s="1">
        <v>0</v>
      </c>
      <c r="Q811" s="1">
        <v>0</v>
      </c>
      <c r="R811" s="1">
        <v>78887700</v>
      </c>
      <c r="S811" s="1">
        <v>6070000</v>
      </c>
      <c r="T811" s="1">
        <v>8.5408751934711997</v>
      </c>
      <c r="U811" t="str">
        <f t="shared" si="12"/>
        <v>Week 1</v>
      </c>
    </row>
    <row r="812" spans="1:21" x14ac:dyDescent="0.25">
      <c r="A812" s="1">
        <v>811</v>
      </c>
      <c r="B812" s="1" t="s">
        <v>466</v>
      </c>
      <c r="C812" s="2">
        <v>46085</v>
      </c>
      <c r="D812" s="1" t="s">
        <v>21</v>
      </c>
      <c r="E812" s="1" t="s">
        <v>22</v>
      </c>
      <c r="F812" s="1" t="s">
        <v>23</v>
      </c>
      <c r="G812" s="1" t="s">
        <v>24</v>
      </c>
      <c r="H812" s="1">
        <v>1</v>
      </c>
      <c r="I812" s="1" t="s">
        <v>467</v>
      </c>
      <c r="J812" s="1" t="s">
        <v>26</v>
      </c>
      <c r="K812" s="1">
        <v>49090000</v>
      </c>
      <c r="L812" s="1">
        <v>0</v>
      </c>
      <c r="M812" s="1">
        <v>0</v>
      </c>
      <c r="N812" s="1">
        <v>5399900</v>
      </c>
      <c r="O812" s="1">
        <v>0</v>
      </c>
      <c r="P812" s="1">
        <v>0</v>
      </c>
      <c r="Q812" s="1">
        <v>0</v>
      </c>
      <c r="R812" s="1">
        <v>54489900</v>
      </c>
      <c r="S812" s="1">
        <v>10543488</v>
      </c>
      <c r="T812" s="1">
        <v>21.477873293950001</v>
      </c>
      <c r="U812" t="str">
        <f t="shared" si="12"/>
        <v>Week 1</v>
      </c>
    </row>
    <row r="813" spans="1:21" x14ac:dyDescent="0.25">
      <c r="A813" s="1">
        <v>812</v>
      </c>
      <c r="B813" s="1" t="s">
        <v>468</v>
      </c>
      <c r="C813" s="2">
        <v>46085</v>
      </c>
      <c r="D813" s="1" t="s">
        <v>53</v>
      </c>
      <c r="E813" s="1" t="s">
        <v>54</v>
      </c>
      <c r="F813" s="1" t="s">
        <v>30</v>
      </c>
      <c r="G813" s="1" t="s">
        <v>24</v>
      </c>
      <c r="H813" s="1">
        <v>1</v>
      </c>
      <c r="I813" s="1" t="s">
        <v>469</v>
      </c>
      <c r="J813" s="1"/>
      <c r="K813" s="1">
        <v>190610000</v>
      </c>
      <c r="L813" s="1">
        <v>0</v>
      </c>
      <c r="M813" s="1">
        <v>0</v>
      </c>
      <c r="N813" s="1">
        <v>20967100</v>
      </c>
      <c r="O813" s="1">
        <v>0</v>
      </c>
      <c r="P813" s="1">
        <v>0</v>
      </c>
      <c r="Q813" s="1">
        <v>0</v>
      </c>
      <c r="R813" s="1">
        <v>211577100</v>
      </c>
      <c r="S813" s="1">
        <v>10010000</v>
      </c>
      <c r="T813" s="1">
        <v>5.2515607785530998</v>
      </c>
      <c r="U813" t="str">
        <f t="shared" si="12"/>
        <v>Week 1</v>
      </c>
    </row>
    <row r="814" spans="1:21" x14ac:dyDescent="0.25">
      <c r="A814" s="1">
        <v>813</v>
      </c>
      <c r="B814" s="1" t="s">
        <v>470</v>
      </c>
      <c r="C814" s="2">
        <v>46085</v>
      </c>
      <c r="D814" s="1" t="s">
        <v>248</v>
      </c>
      <c r="E814" s="1" t="s">
        <v>99</v>
      </c>
      <c r="F814" s="1" t="s">
        <v>30</v>
      </c>
      <c r="G814" s="1" t="s">
        <v>24</v>
      </c>
      <c r="H814" s="1">
        <v>1</v>
      </c>
      <c r="I814" s="1" t="s">
        <v>471</v>
      </c>
      <c r="J814" s="1"/>
      <c r="K814" s="1">
        <v>4508000</v>
      </c>
      <c r="L814" s="1">
        <v>0</v>
      </c>
      <c r="M814" s="1">
        <v>0</v>
      </c>
      <c r="N814" s="1">
        <v>495880</v>
      </c>
      <c r="O814" s="1">
        <v>0</v>
      </c>
      <c r="P814" s="1">
        <v>0</v>
      </c>
      <c r="Q814" s="1">
        <v>0</v>
      </c>
      <c r="R814" s="1">
        <v>5003880</v>
      </c>
      <c r="S814" s="1">
        <v>708000</v>
      </c>
      <c r="T814" s="1">
        <v>15.705412599822999</v>
      </c>
      <c r="U814" t="str">
        <f t="shared" si="12"/>
        <v>Week 1</v>
      </c>
    </row>
    <row r="815" spans="1:21" x14ac:dyDescent="0.25">
      <c r="A815" s="1">
        <v>814</v>
      </c>
      <c r="B815" s="1" t="s">
        <v>472</v>
      </c>
      <c r="C815" s="2">
        <v>46085</v>
      </c>
      <c r="D815" s="1" t="s">
        <v>28</v>
      </c>
      <c r="E815" s="1" t="s">
        <v>29</v>
      </c>
      <c r="F815" s="1" t="s">
        <v>23</v>
      </c>
      <c r="G815" s="1" t="s">
        <v>24</v>
      </c>
      <c r="H815" s="1">
        <v>1</v>
      </c>
      <c r="I815" s="1" t="s">
        <v>473</v>
      </c>
      <c r="J815" s="1"/>
      <c r="K815" s="1">
        <v>53225625</v>
      </c>
      <c r="L815" s="1">
        <v>0</v>
      </c>
      <c r="M815" s="1">
        <v>0</v>
      </c>
      <c r="N815" s="1">
        <v>5854818.75</v>
      </c>
      <c r="O815" s="1">
        <v>0</v>
      </c>
      <c r="P815" s="1">
        <v>0</v>
      </c>
      <c r="Q815" s="1">
        <v>0</v>
      </c>
      <c r="R815" s="1">
        <v>59080443.75</v>
      </c>
      <c r="S815" s="1">
        <v>10795125</v>
      </c>
      <c r="T815" s="1">
        <v>20.281819142564999</v>
      </c>
      <c r="U815" t="str">
        <f t="shared" si="12"/>
        <v>Week 1</v>
      </c>
    </row>
    <row r="816" spans="1:21" x14ac:dyDescent="0.25">
      <c r="A816" s="1">
        <v>815</v>
      </c>
      <c r="B816" s="1" t="s">
        <v>474</v>
      </c>
      <c r="C816" s="2">
        <v>46085</v>
      </c>
      <c r="D816" s="1" t="s">
        <v>33</v>
      </c>
      <c r="E816" s="1" t="s">
        <v>34</v>
      </c>
      <c r="F816" s="1" t="s">
        <v>30</v>
      </c>
      <c r="G816" s="1" t="s">
        <v>24</v>
      </c>
      <c r="H816" s="1">
        <v>1</v>
      </c>
      <c r="I816" s="1" t="s">
        <v>475</v>
      </c>
      <c r="J816" s="1"/>
      <c r="K816" s="1">
        <v>617400</v>
      </c>
      <c r="L816" s="1">
        <v>0</v>
      </c>
      <c r="M816" s="1">
        <v>0</v>
      </c>
      <c r="N816" s="1">
        <v>67914</v>
      </c>
      <c r="O816" s="1">
        <v>0</v>
      </c>
      <c r="P816" s="1">
        <v>0</v>
      </c>
      <c r="Q816" s="1">
        <v>0</v>
      </c>
      <c r="R816" s="1">
        <v>685314</v>
      </c>
      <c r="S816" s="1">
        <v>342200</v>
      </c>
      <c r="T816" s="1">
        <v>55.425979915775997</v>
      </c>
      <c r="U816" t="str">
        <f t="shared" si="12"/>
        <v>Week 1</v>
      </c>
    </row>
    <row r="817" spans="1:21" x14ac:dyDescent="0.25">
      <c r="A817" s="1">
        <v>816</v>
      </c>
      <c r="B817" s="1" t="s">
        <v>476</v>
      </c>
      <c r="C817" s="2">
        <v>46085</v>
      </c>
      <c r="D817" s="1" t="s">
        <v>53</v>
      </c>
      <c r="E817" s="1" t="s">
        <v>54</v>
      </c>
      <c r="F817" s="1" t="s">
        <v>30</v>
      </c>
      <c r="G817" s="1" t="s">
        <v>24</v>
      </c>
      <c r="H817" s="1">
        <v>1</v>
      </c>
      <c r="I817" s="1" t="s">
        <v>477</v>
      </c>
      <c r="J817" s="1"/>
      <c r="K817" s="1">
        <v>927000</v>
      </c>
      <c r="L817" s="1">
        <v>0</v>
      </c>
      <c r="M817" s="1">
        <v>0</v>
      </c>
      <c r="N817" s="1">
        <v>101970</v>
      </c>
      <c r="O817" s="1">
        <v>0</v>
      </c>
      <c r="P817" s="1">
        <v>0</v>
      </c>
      <c r="Q817" s="1">
        <v>0</v>
      </c>
      <c r="R817" s="1">
        <v>1028970</v>
      </c>
      <c r="S817" s="1">
        <v>162000</v>
      </c>
      <c r="T817" s="1">
        <v>17.475728155340001</v>
      </c>
      <c r="U817" t="str">
        <f t="shared" si="12"/>
        <v>Week 1</v>
      </c>
    </row>
    <row r="818" spans="1:21" x14ac:dyDescent="0.25">
      <c r="A818" s="1">
        <v>817</v>
      </c>
      <c r="B818" s="1" t="s">
        <v>478</v>
      </c>
      <c r="C818" s="2">
        <v>46085</v>
      </c>
      <c r="D818" s="1" t="s">
        <v>202</v>
      </c>
      <c r="E818" s="1" t="s">
        <v>203</v>
      </c>
      <c r="F818" s="1" t="s">
        <v>30</v>
      </c>
      <c r="G818" s="1" t="s">
        <v>24</v>
      </c>
      <c r="H818" s="1">
        <v>1</v>
      </c>
      <c r="I818" s="1" t="s">
        <v>479</v>
      </c>
      <c r="J818" s="1" t="s">
        <v>26</v>
      </c>
      <c r="K818" s="1">
        <v>10024402.359999999</v>
      </c>
      <c r="L818" s="1">
        <v>0</v>
      </c>
      <c r="M818" s="1">
        <v>0</v>
      </c>
      <c r="N818" s="1">
        <v>1102684.2596</v>
      </c>
      <c r="O818" s="1">
        <v>0</v>
      </c>
      <c r="P818" s="1">
        <v>0</v>
      </c>
      <c r="Q818" s="1">
        <v>0</v>
      </c>
      <c r="R818" s="1">
        <v>11127086.6196</v>
      </c>
      <c r="S818" s="1">
        <v>2742902.36</v>
      </c>
      <c r="T818" s="1">
        <v>27.362253244590999</v>
      </c>
      <c r="U818" t="str">
        <f t="shared" si="12"/>
        <v>Week 1</v>
      </c>
    </row>
    <row r="819" spans="1:21" x14ac:dyDescent="0.25">
      <c r="A819" s="1">
        <v>818</v>
      </c>
      <c r="B819" s="1" t="s">
        <v>480</v>
      </c>
      <c r="C819" s="2">
        <v>46085</v>
      </c>
      <c r="D819" s="1" t="s">
        <v>53</v>
      </c>
      <c r="E819" s="1" t="s">
        <v>54</v>
      </c>
      <c r="F819" s="1" t="s">
        <v>30</v>
      </c>
      <c r="G819" s="1" t="s">
        <v>24</v>
      </c>
      <c r="H819" s="1">
        <v>1</v>
      </c>
      <c r="I819" s="1" t="s">
        <v>481</v>
      </c>
      <c r="J819" s="1"/>
      <c r="K819" s="1">
        <v>3162100</v>
      </c>
      <c r="L819" s="1">
        <v>0</v>
      </c>
      <c r="M819" s="1">
        <v>0</v>
      </c>
      <c r="N819" s="1">
        <v>347831</v>
      </c>
      <c r="O819" s="1">
        <v>0</v>
      </c>
      <c r="P819" s="1">
        <v>0</v>
      </c>
      <c r="Q819" s="1">
        <v>0</v>
      </c>
      <c r="R819" s="1">
        <v>3509931</v>
      </c>
      <c r="S819" s="1">
        <v>445883.78378380003</v>
      </c>
      <c r="T819" s="1">
        <v>14.100875487295999</v>
      </c>
      <c r="U819" t="str">
        <f t="shared" si="12"/>
        <v>Week 1</v>
      </c>
    </row>
    <row r="820" spans="1:21" x14ac:dyDescent="0.25">
      <c r="A820" s="1">
        <v>819</v>
      </c>
      <c r="B820" s="1" t="s">
        <v>482</v>
      </c>
      <c r="C820" s="2">
        <v>46085</v>
      </c>
      <c r="D820" s="1" t="s">
        <v>169</v>
      </c>
      <c r="E820" s="1" t="s">
        <v>99</v>
      </c>
      <c r="F820" s="1" t="s">
        <v>30</v>
      </c>
      <c r="G820" s="1" t="s">
        <v>24</v>
      </c>
      <c r="H820" s="1">
        <v>1</v>
      </c>
      <c r="I820" s="1" t="s">
        <v>2817</v>
      </c>
      <c r="J820" s="1" t="s">
        <v>26</v>
      </c>
      <c r="K820" s="1">
        <v>20657325</v>
      </c>
      <c r="L820" s="1">
        <v>0</v>
      </c>
      <c r="M820" s="1">
        <v>0</v>
      </c>
      <c r="N820" s="1">
        <v>2272305.75</v>
      </c>
      <c r="O820" s="1">
        <v>0</v>
      </c>
      <c r="P820" s="1">
        <v>0</v>
      </c>
      <c r="Q820" s="1">
        <v>0</v>
      </c>
      <c r="R820" s="1">
        <v>22929630.75</v>
      </c>
      <c r="S820" s="1">
        <v>6486519.0999999996</v>
      </c>
      <c r="T820" s="1">
        <v>31.400576308887999</v>
      </c>
      <c r="U820" t="str">
        <f t="shared" si="12"/>
        <v>Week 1</v>
      </c>
    </row>
    <row r="821" spans="1:21" x14ac:dyDescent="0.25">
      <c r="A821" s="1">
        <v>820</v>
      </c>
      <c r="B821" s="1" t="s">
        <v>483</v>
      </c>
      <c r="C821" s="2">
        <v>46085</v>
      </c>
      <c r="D821" s="1" t="s">
        <v>53</v>
      </c>
      <c r="E821" s="1" t="s">
        <v>54</v>
      </c>
      <c r="F821" s="1" t="s">
        <v>30</v>
      </c>
      <c r="G821" s="1" t="s">
        <v>24</v>
      </c>
      <c r="H821" s="1">
        <v>1</v>
      </c>
      <c r="I821" s="1" t="s">
        <v>484</v>
      </c>
      <c r="J821" s="1"/>
      <c r="K821" s="1">
        <v>44024050</v>
      </c>
      <c r="L821" s="1">
        <v>0</v>
      </c>
      <c r="M821" s="1">
        <v>0</v>
      </c>
      <c r="N821" s="1">
        <v>4842645.5</v>
      </c>
      <c r="O821" s="1">
        <v>0</v>
      </c>
      <c r="P821" s="1">
        <v>0</v>
      </c>
      <c r="Q821" s="1">
        <v>0</v>
      </c>
      <c r="R821" s="1">
        <v>48866695.5</v>
      </c>
      <c r="S821" s="1">
        <v>12060986.936937001</v>
      </c>
      <c r="T821" s="1">
        <v>27.396359346623001</v>
      </c>
      <c r="U821" t="str">
        <f t="shared" si="12"/>
        <v>Week 1</v>
      </c>
    </row>
    <row r="822" spans="1:21" x14ac:dyDescent="0.25">
      <c r="A822" s="1">
        <v>821</v>
      </c>
      <c r="B822" s="1" t="s">
        <v>485</v>
      </c>
      <c r="C822" s="2">
        <v>46085</v>
      </c>
      <c r="D822" s="1" t="s">
        <v>53</v>
      </c>
      <c r="E822" s="1" t="s">
        <v>54</v>
      </c>
      <c r="F822" s="1" t="s">
        <v>30</v>
      </c>
      <c r="G822" s="1" t="s">
        <v>24</v>
      </c>
      <c r="H822" s="1">
        <v>1</v>
      </c>
      <c r="I822" s="1" t="s">
        <v>486</v>
      </c>
      <c r="J822" s="1"/>
      <c r="K822" s="1">
        <v>2196500</v>
      </c>
      <c r="L822" s="1">
        <v>0</v>
      </c>
      <c r="M822" s="1">
        <v>0</v>
      </c>
      <c r="N822" s="1">
        <v>241615</v>
      </c>
      <c r="O822" s="1">
        <v>0</v>
      </c>
      <c r="P822" s="1">
        <v>0</v>
      </c>
      <c r="Q822" s="1">
        <v>0</v>
      </c>
      <c r="R822" s="1">
        <v>2438115</v>
      </c>
      <c r="S822" s="1">
        <v>888211.48648647999</v>
      </c>
      <c r="T822" s="1">
        <v>40.437581902411999</v>
      </c>
      <c r="U822" t="str">
        <f t="shared" si="12"/>
        <v>Week 1</v>
      </c>
    </row>
    <row r="823" spans="1:21" x14ac:dyDescent="0.25">
      <c r="A823" s="1">
        <v>822</v>
      </c>
      <c r="B823" s="1" t="s">
        <v>487</v>
      </c>
      <c r="C823" s="2">
        <v>46085</v>
      </c>
      <c r="D823" s="1" t="s">
        <v>21</v>
      </c>
      <c r="E823" s="1" t="s">
        <v>22</v>
      </c>
      <c r="F823" s="1" t="s">
        <v>23</v>
      </c>
      <c r="G823" s="1" t="s">
        <v>24</v>
      </c>
      <c r="H823" s="1">
        <v>1</v>
      </c>
      <c r="I823" s="1" t="s">
        <v>147</v>
      </c>
      <c r="J823" s="1" t="s">
        <v>26</v>
      </c>
      <c r="K823" s="1">
        <v>97128378</v>
      </c>
      <c r="L823" s="1">
        <v>0</v>
      </c>
      <c r="M823" s="1">
        <v>0</v>
      </c>
      <c r="N823" s="1">
        <v>0</v>
      </c>
      <c r="O823" s="1">
        <v>0</v>
      </c>
      <c r="P823" s="1">
        <v>0</v>
      </c>
      <c r="Q823" s="1">
        <v>0</v>
      </c>
      <c r="R823" s="1">
        <v>97128378</v>
      </c>
      <c r="S823" s="1">
        <v>19425675</v>
      </c>
      <c r="T823" s="1">
        <v>19.999999382260999</v>
      </c>
      <c r="U823" t="str">
        <f t="shared" si="12"/>
        <v>Week 1</v>
      </c>
    </row>
    <row r="824" spans="1:21" x14ac:dyDescent="0.25">
      <c r="A824" s="1">
        <v>823</v>
      </c>
      <c r="B824" s="1" t="s">
        <v>488</v>
      </c>
      <c r="C824" s="2">
        <v>46085</v>
      </c>
      <c r="D824" s="1" t="s">
        <v>21</v>
      </c>
      <c r="E824" s="1" t="s">
        <v>22</v>
      </c>
      <c r="F824" s="1" t="s">
        <v>30</v>
      </c>
      <c r="G824" s="1" t="s">
        <v>24</v>
      </c>
      <c r="H824" s="1">
        <v>1</v>
      </c>
      <c r="I824" s="1" t="s">
        <v>3384</v>
      </c>
      <c r="J824" s="1" t="s">
        <v>26</v>
      </c>
      <c r="K824" s="1">
        <v>12888323</v>
      </c>
      <c r="L824" s="1">
        <v>0</v>
      </c>
      <c r="M824" s="1">
        <v>0</v>
      </c>
      <c r="N824" s="1">
        <v>0</v>
      </c>
      <c r="O824" s="1">
        <v>0</v>
      </c>
      <c r="P824" s="1">
        <v>0</v>
      </c>
      <c r="Q824" s="1">
        <v>0</v>
      </c>
      <c r="R824" s="1">
        <v>12888323</v>
      </c>
      <c r="S824" s="1">
        <v>2538323</v>
      </c>
      <c r="T824" s="1">
        <v>19.694750046224001</v>
      </c>
      <c r="U824" t="str">
        <f t="shared" si="12"/>
        <v>Week 1</v>
      </c>
    </row>
    <row r="825" spans="1:21" x14ac:dyDescent="0.25">
      <c r="A825" s="1">
        <v>824</v>
      </c>
      <c r="B825" s="1" t="s">
        <v>2219</v>
      </c>
      <c r="C825" s="2">
        <v>46084</v>
      </c>
      <c r="D825" s="1" t="s">
        <v>2210</v>
      </c>
      <c r="E825" s="1" t="s">
        <v>192</v>
      </c>
      <c r="F825" s="1" t="s">
        <v>23</v>
      </c>
      <c r="G825" s="1" t="s">
        <v>24</v>
      </c>
      <c r="H825" s="1">
        <v>1</v>
      </c>
      <c r="I825" s="1" t="s">
        <v>2220</v>
      </c>
      <c r="J825" s="1" t="s">
        <v>56</v>
      </c>
      <c r="K825" s="1">
        <v>2150198.39</v>
      </c>
      <c r="L825" s="1">
        <v>0</v>
      </c>
      <c r="M825" s="1">
        <v>0</v>
      </c>
      <c r="N825" s="1">
        <v>236521.8229</v>
      </c>
      <c r="O825" s="1">
        <v>0</v>
      </c>
      <c r="P825" s="1">
        <v>0</v>
      </c>
      <c r="Q825" s="1">
        <v>0</v>
      </c>
      <c r="R825" s="1">
        <v>2386720.2129000002</v>
      </c>
      <c r="S825" s="1">
        <v>242077.45270269999</v>
      </c>
      <c r="T825" s="1">
        <v>11.258377544534</v>
      </c>
      <c r="U825" t="str">
        <f t="shared" si="12"/>
        <v>Week 1</v>
      </c>
    </row>
    <row r="826" spans="1:21" x14ac:dyDescent="0.25">
      <c r="A826" s="1">
        <v>825</v>
      </c>
      <c r="B826" s="1" t="s">
        <v>489</v>
      </c>
      <c r="C826" s="2">
        <v>46084</v>
      </c>
      <c r="D826" s="1" t="s">
        <v>53</v>
      </c>
      <c r="E826" s="1" t="s">
        <v>54</v>
      </c>
      <c r="F826" s="1" t="s">
        <v>30</v>
      </c>
      <c r="G826" s="1" t="s">
        <v>24</v>
      </c>
      <c r="H826" s="1">
        <v>1</v>
      </c>
      <c r="I826" s="1" t="s">
        <v>490</v>
      </c>
      <c r="J826" s="1"/>
      <c r="K826" s="1">
        <v>13569131.6</v>
      </c>
      <c r="L826" s="1">
        <v>0</v>
      </c>
      <c r="M826" s="1">
        <v>0</v>
      </c>
      <c r="N826" s="1">
        <v>1492604.476</v>
      </c>
      <c r="O826" s="1">
        <v>0</v>
      </c>
      <c r="P826" s="1">
        <v>0</v>
      </c>
      <c r="Q826" s="1">
        <v>0</v>
      </c>
      <c r="R826" s="1">
        <v>15061736.075999999</v>
      </c>
      <c r="S826" s="1">
        <v>6509746.0144143999</v>
      </c>
      <c r="T826" s="1">
        <v>47.974669317927997</v>
      </c>
      <c r="U826" t="str">
        <f t="shared" si="12"/>
        <v>Week 1</v>
      </c>
    </row>
    <row r="827" spans="1:21" x14ac:dyDescent="0.25">
      <c r="A827" s="1">
        <v>826</v>
      </c>
      <c r="B827" s="1" t="s">
        <v>491</v>
      </c>
      <c r="C827" s="2">
        <v>46084</v>
      </c>
      <c r="D827" s="1" t="s">
        <v>184</v>
      </c>
      <c r="E827" s="1" t="s">
        <v>116</v>
      </c>
      <c r="F827" s="1" t="s">
        <v>23</v>
      </c>
      <c r="G827" s="1" t="s">
        <v>24</v>
      </c>
      <c r="H827" s="1">
        <v>1</v>
      </c>
      <c r="I827" s="1" t="s">
        <v>352</v>
      </c>
      <c r="J827" s="1" t="s">
        <v>26</v>
      </c>
      <c r="K827" s="1">
        <v>116523000</v>
      </c>
      <c r="L827" s="1">
        <v>0</v>
      </c>
      <c r="M827" s="1">
        <v>0</v>
      </c>
      <c r="N827" s="1">
        <v>12817530</v>
      </c>
      <c r="O827" s="1">
        <v>0</v>
      </c>
      <c r="P827" s="1">
        <v>0</v>
      </c>
      <c r="Q827" s="1">
        <v>0</v>
      </c>
      <c r="R827" s="1">
        <v>129340530</v>
      </c>
      <c r="S827" s="1">
        <v>27554531.539999999</v>
      </c>
      <c r="T827" s="1">
        <v>23.647289839774</v>
      </c>
      <c r="U827" t="str">
        <f t="shared" si="12"/>
        <v>Week 1</v>
      </c>
    </row>
    <row r="828" spans="1:21" x14ac:dyDescent="0.25">
      <c r="A828" s="1">
        <v>827</v>
      </c>
      <c r="B828" s="1" t="s">
        <v>492</v>
      </c>
      <c r="C828" s="2">
        <v>46084</v>
      </c>
      <c r="D828" s="1" t="s">
        <v>53</v>
      </c>
      <c r="E828" s="1" t="s">
        <v>54</v>
      </c>
      <c r="F828" s="1" t="s">
        <v>30</v>
      </c>
      <c r="G828" s="1" t="s">
        <v>24</v>
      </c>
      <c r="H828" s="1">
        <v>1</v>
      </c>
      <c r="I828" s="1" t="s">
        <v>493</v>
      </c>
      <c r="J828" s="1"/>
      <c r="K828" s="1">
        <v>20872040</v>
      </c>
      <c r="L828" s="1">
        <v>0</v>
      </c>
      <c r="M828" s="1">
        <v>0</v>
      </c>
      <c r="N828" s="1">
        <v>2295924.4</v>
      </c>
      <c r="O828" s="1">
        <v>0</v>
      </c>
      <c r="P828" s="1">
        <v>0</v>
      </c>
      <c r="Q828" s="1">
        <v>0</v>
      </c>
      <c r="R828" s="1">
        <v>23167964.399999999</v>
      </c>
      <c r="S828" s="1">
        <v>10553606.266666999</v>
      </c>
      <c r="T828" s="1">
        <v>50.563367388461998</v>
      </c>
      <c r="U828" t="str">
        <f t="shared" si="12"/>
        <v>Week 1</v>
      </c>
    </row>
    <row r="829" spans="1:21" x14ac:dyDescent="0.25">
      <c r="A829" s="1">
        <v>828</v>
      </c>
      <c r="B829" s="1" t="s">
        <v>494</v>
      </c>
      <c r="C829" s="2">
        <v>46084</v>
      </c>
      <c r="D829" s="1" t="s">
        <v>495</v>
      </c>
      <c r="E829" s="1" t="s">
        <v>192</v>
      </c>
      <c r="F829" s="1" t="s">
        <v>23</v>
      </c>
      <c r="G829" s="1" t="s">
        <v>24</v>
      </c>
      <c r="H829" s="1">
        <v>1</v>
      </c>
      <c r="I829" s="1" t="s">
        <v>496</v>
      </c>
      <c r="J829" s="1" t="s">
        <v>56</v>
      </c>
      <c r="K829" s="1">
        <v>63000000</v>
      </c>
      <c r="L829" s="1">
        <v>0</v>
      </c>
      <c r="M829" s="1">
        <v>0</v>
      </c>
      <c r="N829" s="1">
        <v>6930000</v>
      </c>
      <c r="O829" s="1">
        <v>0</v>
      </c>
      <c r="P829" s="1">
        <v>0</v>
      </c>
      <c r="Q829" s="1">
        <v>0</v>
      </c>
      <c r="R829" s="1">
        <v>69930000</v>
      </c>
      <c r="S829" s="1">
        <v>8945946.8469999991</v>
      </c>
      <c r="T829" s="1">
        <v>14.199915630158999</v>
      </c>
      <c r="U829" t="str">
        <f t="shared" si="12"/>
        <v>Week 1</v>
      </c>
    </row>
    <row r="830" spans="1:21" x14ac:dyDescent="0.25">
      <c r="A830" s="1">
        <v>829</v>
      </c>
      <c r="B830" s="1" t="s">
        <v>497</v>
      </c>
      <c r="C830" s="2">
        <v>46084</v>
      </c>
      <c r="D830" s="1" t="s">
        <v>21</v>
      </c>
      <c r="E830" s="1" t="s">
        <v>22</v>
      </c>
      <c r="F830" s="1" t="s">
        <v>30</v>
      </c>
      <c r="G830" s="1" t="s">
        <v>24</v>
      </c>
      <c r="H830" s="1">
        <v>1</v>
      </c>
      <c r="I830" s="1" t="s">
        <v>498</v>
      </c>
      <c r="J830" s="1" t="s">
        <v>56</v>
      </c>
      <c r="K830" s="1">
        <v>852840000</v>
      </c>
      <c r="L830" s="1">
        <v>0</v>
      </c>
      <c r="M830" s="1">
        <v>0</v>
      </c>
      <c r="N830" s="1">
        <v>93812400</v>
      </c>
      <c r="O830" s="1">
        <v>0</v>
      </c>
      <c r="P830" s="1">
        <v>0</v>
      </c>
      <c r="Q830" s="1">
        <v>0</v>
      </c>
      <c r="R830" s="1">
        <v>946652400</v>
      </c>
      <c r="S830" s="1">
        <v>72840000</v>
      </c>
      <c r="T830" s="1">
        <v>8.5408751934711997</v>
      </c>
      <c r="U830" t="str">
        <f t="shared" si="12"/>
        <v>Week 1</v>
      </c>
    </row>
    <row r="831" spans="1:21" x14ac:dyDescent="0.25">
      <c r="A831" s="1">
        <v>830</v>
      </c>
      <c r="B831" s="1" t="s">
        <v>499</v>
      </c>
      <c r="C831" s="2">
        <v>46084</v>
      </c>
      <c r="D831" s="1" t="s">
        <v>306</v>
      </c>
      <c r="E831" s="1" t="s">
        <v>99</v>
      </c>
      <c r="F831" s="1" t="s">
        <v>30</v>
      </c>
      <c r="G831" s="1" t="s">
        <v>24</v>
      </c>
      <c r="H831" s="1">
        <v>1</v>
      </c>
      <c r="I831" s="1" t="s">
        <v>500</v>
      </c>
      <c r="J831" s="1"/>
      <c r="K831" s="1">
        <v>2646000</v>
      </c>
      <c r="L831" s="1">
        <v>0</v>
      </c>
      <c r="M831" s="1">
        <v>0</v>
      </c>
      <c r="N831" s="1">
        <v>291060</v>
      </c>
      <c r="O831" s="1">
        <v>0</v>
      </c>
      <c r="P831" s="1">
        <v>0</v>
      </c>
      <c r="Q831" s="1">
        <v>0</v>
      </c>
      <c r="R831" s="1">
        <v>2937060</v>
      </c>
      <c r="S831" s="1">
        <v>1401810.75</v>
      </c>
      <c r="T831" s="1">
        <v>52.978486394557997</v>
      </c>
      <c r="U831" t="str">
        <f t="shared" si="12"/>
        <v>Week 1</v>
      </c>
    </row>
    <row r="832" spans="1:21" x14ac:dyDescent="0.25">
      <c r="A832" s="1">
        <v>831</v>
      </c>
      <c r="B832" s="1" t="s">
        <v>501</v>
      </c>
      <c r="C832" s="2">
        <v>46084</v>
      </c>
      <c r="D832" s="1" t="s">
        <v>169</v>
      </c>
      <c r="E832" s="1" t="s">
        <v>99</v>
      </c>
      <c r="F832" s="1" t="s">
        <v>23</v>
      </c>
      <c r="G832" s="1" t="s">
        <v>24</v>
      </c>
      <c r="H832" s="1">
        <v>1</v>
      </c>
      <c r="I832" s="1" t="s">
        <v>170</v>
      </c>
      <c r="J832" s="1"/>
      <c r="K832" s="1">
        <v>20525000</v>
      </c>
      <c r="L832" s="1">
        <v>0</v>
      </c>
      <c r="M832" s="1">
        <v>0</v>
      </c>
      <c r="N832" s="1">
        <v>2257750</v>
      </c>
      <c r="O832" s="1">
        <v>0</v>
      </c>
      <c r="P832" s="1">
        <v>0</v>
      </c>
      <c r="Q832" s="1">
        <v>0</v>
      </c>
      <c r="R832" s="1">
        <v>22782750</v>
      </c>
      <c r="S832" s="1">
        <v>7585000</v>
      </c>
      <c r="T832" s="1">
        <v>36.954933008525998</v>
      </c>
      <c r="U832" t="str">
        <f t="shared" si="12"/>
        <v>Week 1</v>
      </c>
    </row>
    <row r="833" spans="1:21" x14ac:dyDescent="0.25">
      <c r="A833" s="1">
        <v>832</v>
      </c>
      <c r="B833" s="1" t="s">
        <v>502</v>
      </c>
      <c r="C833" s="2">
        <v>46084</v>
      </c>
      <c r="D833" s="1" t="s">
        <v>169</v>
      </c>
      <c r="E833" s="1" t="s">
        <v>99</v>
      </c>
      <c r="F833" s="1" t="s">
        <v>23</v>
      </c>
      <c r="G833" s="1" t="s">
        <v>24</v>
      </c>
      <c r="H833" s="1">
        <v>1</v>
      </c>
      <c r="I833" s="1" t="s">
        <v>503</v>
      </c>
      <c r="J833" s="1"/>
      <c r="K833" s="1">
        <v>1575000</v>
      </c>
      <c r="L833" s="1">
        <v>0</v>
      </c>
      <c r="M833" s="1">
        <v>0</v>
      </c>
      <c r="N833" s="1">
        <v>173250</v>
      </c>
      <c r="O833" s="1">
        <v>0</v>
      </c>
      <c r="P833" s="1">
        <v>0</v>
      </c>
      <c r="Q833" s="1">
        <v>0</v>
      </c>
      <c r="R833" s="1">
        <v>1748250</v>
      </c>
      <c r="S833" s="1">
        <v>546000</v>
      </c>
      <c r="T833" s="1">
        <v>34.666666666666998</v>
      </c>
      <c r="U833" t="str">
        <f t="shared" si="12"/>
        <v>Week 1</v>
      </c>
    </row>
    <row r="834" spans="1:21" x14ac:dyDescent="0.25">
      <c r="A834" s="1">
        <v>833</v>
      </c>
      <c r="B834" s="1" t="s">
        <v>504</v>
      </c>
      <c r="C834" s="2">
        <v>46083</v>
      </c>
      <c r="D834" s="1" t="s">
        <v>21</v>
      </c>
      <c r="E834" s="1" t="s">
        <v>22</v>
      </c>
      <c r="F834" s="1" t="s">
        <v>23</v>
      </c>
      <c r="G834" s="1" t="s">
        <v>24</v>
      </c>
      <c r="H834" s="1">
        <v>1</v>
      </c>
      <c r="I834" s="1" t="s">
        <v>505</v>
      </c>
      <c r="J834" s="1" t="s">
        <v>26</v>
      </c>
      <c r="K834" s="1">
        <v>96814500</v>
      </c>
      <c r="L834" s="1">
        <v>0</v>
      </c>
      <c r="M834" s="1">
        <v>0</v>
      </c>
      <c r="N834" s="1">
        <v>10649595</v>
      </c>
      <c r="O834" s="1">
        <v>0</v>
      </c>
      <c r="P834" s="1">
        <v>0</v>
      </c>
      <c r="Q834" s="1">
        <v>0</v>
      </c>
      <c r="R834" s="1">
        <v>107464095</v>
      </c>
      <c r="S834" s="1">
        <v>31388058.729729999</v>
      </c>
      <c r="T834" s="1">
        <v>32.420824080825</v>
      </c>
      <c r="U834" t="str">
        <f t="shared" si="12"/>
        <v>Week 1</v>
      </c>
    </row>
    <row r="835" spans="1:21" x14ac:dyDescent="0.25">
      <c r="A835" s="1">
        <v>834</v>
      </c>
      <c r="B835" s="1" t="s">
        <v>506</v>
      </c>
      <c r="C835" s="2">
        <v>46083</v>
      </c>
      <c r="D835" s="1" t="s">
        <v>37</v>
      </c>
      <c r="E835" s="1" t="s">
        <v>38</v>
      </c>
      <c r="F835" s="1" t="s">
        <v>30</v>
      </c>
      <c r="G835" s="1" t="s">
        <v>24</v>
      </c>
      <c r="H835" s="1">
        <v>1</v>
      </c>
      <c r="I835" s="1" t="s">
        <v>507</v>
      </c>
      <c r="J835" s="1"/>
      <c r="K835" s="1">
        <v>1198920</v>
      </c>
      <c r="L835" s="1">
        <v>0</v>
      </c>
      <c r="M835" s="1">
        <v>0</v>
      </c>
      <c r="N835" s="1">
        <v>131881.20000000001</v>
      </c>
      <c r="O835" s="1">
        <v>0</v>
      </c>
      <c r="P835" s="1">
        <v>0</v>
      </c>
      <c r="Q835" s="1">
        <v>0</v>
      </c>
      <c r="R835" s="1">
        <v>1330801.2</v>
      </c>
      <c r="S835" s="1">
        <v>732703.78378377995</v>
      </c>
      <c r="T835" s="1">
        <v>61.113650934489002</v>
      </c>
      <c r="U835" t="str">
        <f t="shared" ref="U835:U898" si="13">"Week "&amp;IF(DAY(C835)&gt;=24,4,INT((DAY(C835)-1)/7)+1)</f>
        <v>Week 1</v>
      </c>
    </row>
    <row r="836" spans="1:21" x14ac:dyDescent="0.25">
      <c r="A836" s="1">
        <v>835</v>
      </c>
      <c r="B836" s="1" t="s">
        <v>508</v>
      </c>
      <c r="C836" s="2">
        <v>46083</v>
      </c>
      <c r="D836" s="1" t="s">
        <v>21</v>
      </c>
      <c r="E836" s="1" t="s">
        <v>22</v>
      </c>
      <c r="F836" s="1" t="s">
        <v>30</v>
      </c>
      <c r="G836" s="1" t="s">
        <v>24</v>
      </c>
      <c r="H836" s="1">
        <v>1</v>
      </c>
      <c r="I836" s="1" t="s">
        <v>509</v>
      </c>
      <c r="J836" s="1" t="s">
        <v>26</v>
      </c>
      <c r="K836" s="1">
        <v>2074660</v>
      </c>
      <c r="L836" s="1">
        <v>0</v>
      </c>
      <c r="M836" s="1">
        <v>0</v>
      </c>
      <c r="N836" s="1">
        <v>228212.6</v>
      </c>
      <c r="O836" s="1">
        <v>0</v>
      </c>
      <c r="P836" s="1">
        <v>0</v>
      </c>
      <c r="Q836" s="1">
        <v>0</v>
      </c>
      <c r="R836" s="1">
        <v>2302872.6</v>
      </c>
      <c r="S836" s="1">
        <v>1067813.1499999999</v>
      </c>
      <c r="T836" s="1">
        <v>51.469308223997999</v>
      </c>
      <c r="U836" t="str">
        <f t="shared" si="13"/>
        <v>Week 1</v>
      </c>
    </row>
    <row r="837" spans="1:21" x14ac:dyDescent="0.25">
      <c r="A837" s="1">
        <v>836</v>
      </c>
      <c r="B837" s="1" t="s">
        <v>512</v>
      </c>
      <c r="C837" s="2">
        <v>46083</v>
      </c>
      <c r="D837" s="1" t="s">
        <v>2979</v>
      </c>
      <c r="E837" s="1" t="s">
        <v>203</v>
      </c>
      <c r="F837" s="1" t="s">
        <v>23</v>
      </c>
      <c r="G837" s="1" t="s">
        <v>24</v>
      </c>
      <c r="H837" s="1">
        <v>1</v>
      </c>
      <c r="I837" s="1" t="s">
        <v>513</v>
      </c>
      <c r="J837" s="1" t="s">
        <v>26</v>
      </c>
      <c r="K837" s="1">
        <v>73086979.175676003</v>
      </c>
      <c r="L837" s="1">
        <v>0</v>
      </c>
      <c r="M837" s="1">
        <v>0</v>
      </c>
      <c r="N837" s="1">
        <v>8039567.7093243003</v>
      </c>
      <c r="O837" s="1">
        <v>0</v>
      </c>
      <c r="P837" s="1">
        <v>0</v>
      </c>
      <c r="Q837" s="1">
        <v>0</v>
      </c>
      <c r="R837" s="1">
        <v>81126546.885000005</v>
      </c>
      <c r="S837" s="1">
        <v>21135428.539639998</v>
      </c>
      <c r="T837" s="1">
        <v>28.918185945047</v>
      </c>
      <c r="U837" t="str">
        <f t="shared" si="13"/>
        <v>Week 1</v>
      </c>
    </row>
    <row r="838" spans="1:21" x14ac:dyDescent="0.25">
      <c r="A838" s="1">
        <v>837</v>
      </c>
      <c r="B838" s="1" t="s">
        <v>514</v>
      </c>
      <c r="C838" s="2">
        <v>46083</v>
      </c>
      <c r="D838" s="1" t="s">
        <v>37</v>
      </c>
      <c r="E838" s="1" t="s">
        <v>38</v>
      </c>
      <c r="F838" s="1" t="s">
        <v>23</v>
      </c>
      <c r="G838" s="1" t="s">
        <v>24</v>
      </c>
      <c r="H838" s="1">
        <v>1</v>
      </c>
      <c r="I838" s="1" t="s">
        <v>515</v>
      </c>
      <c r="J838" s="1" t="s">
        <v>26</v>
      </c>
      <c r="K838" s="1">
        <v>25409722</v>
      </c>
      <c r="L838" s="1">
        <v>0</v>
      </c>
      <c r="M838" s="1">
        <v>0</v>
      </c>
      <c r="N838" s="1">
        <v>2795069.42</v>
      </c>
      <c r="O838" s="1">
        <v>0</v>
      </c>
      <c r="P838" s="1">
        <v>0</v>
      </c>
      <c r="Q838" s="1">
        <v>0</v>
      </c>
      <c r="R838" s="1">
        <v>28204791.420000002</v>
      </c>
      <c r="S838" s="1">
        <v>6743772</v>
      </c>
      <c r="T838" s="1">
        <v>26.540125074961001</v>
      </c>
      <c r="U838" t="str">
        <f t="shared" si="13"/>
        <v>Week 1</v>
      </c>
    </row>
    <row r="839" spans="1:21" x14ac:dyDescent="0.25">
      <c r="A839" s="1">
        <v>838</v>
      </c>
      <c r="B839" s="1" t="s">
        <v>516</v>
      </c>
      <c r="C839" s="2">
        <v>46083</v>
      </c>
      <c r="D839" s="1" t="s">
        <v>248</v>
      </c>
      <c r="E839" s="1" t="s">
        <v>116</v>
      </c>
      <c r="F839" s="1" t="s">
        <v>30</v>
      </c>
      <c r="G839" s="1" t="s">
        <v>24</v>
      </c>
      <c r="H839" s="1">
        <v>1</v>
      </c>
      <c r="I839" s="1" t="s">
        <v>517</v>
      </c>
      <c r="J839" s="1" t="s">
        <v>26</v>
      </c>
      <c r="K839" s="1">
        <v>11319804</v>
      </c>
      <c r="L839" s="1">
        <v>0</v>
      </c>
      <c r="M839" s="1">
        <v>0</v>
      </c>
      <c r="N839" s="1">
        <v>1245178.44</v>
      </c>
      <c r="O839" s="1">
        <v>0</v>
      </c>
      <c r="P839" s="1">
        <v>0</v>
      </c>
      <c r="Q839" s="1">
        <v>0</v>
      </c>
      <c r="R839" s="1">
        <v>12564982.439999999</v>
      </c>
      <c r="S839" s="1">
        <v>836724</v>
      </c>
      <c r="T839" s="1">
        <v>7.3916827535175997</v>
      </c>
      <c r="U839" t="str">
        <f t="shared" si="13"/>
        <v>Week 1</v>
      </c>
    </row>
    <row r="840" spans="1:21" x14ac:dyDescent="0.25">
      <c r="A840" s="1">
        <v>839</v>
      </c>
      <c r="B840" s="1" t="s">
        <v>518</v>
      </c>
      <c r="C840" s="2">
        <v>46083</v>
      </c>
      <c r="D840" s="1" t="s">
        <v>202</v>
      </c>
      <c r="E840" s="1" t="s">
        <v>203</v>
      </c>
      <c r="F840" s="1" t="s">
        <v>23</v>
      </c>
      <c r="G840" s="1" t="s">
        <v>24</v>
      </c>
      <c r="H840" s="1">
        <v>1</v>
      </c>
      <c r="I840" s="1" t="s">
        <v>519</v>
      </c>
      <c r="J840" s="1" t="s">
        <v>26</v>
      </c>
      <c r="K840" s="1">
        <v>1590540.56</v>
      </c>
      <c r="L840" s="1">
        <v>0</v>
      </c>
      <c r="M840" s="1">
        <v>0</v>
      </c>
      <c r="N840" s="1">
        <v>174959.46160000001</v>
      </c>
      <c r="O840" s="1">
        <v>0</v>
      </c>
      <c r="P840" s="1">
        <v>0</v>
      </c>
      <c r="Q840" s="1">
        <v>0</v>
      </c>
      <c r="R840" s="1">
        <v>1765500.0216000001</v>
      </c>
      <c r="S840" s="1">
        <v>338608.04</v>
      </c>
      <c r="T840" s="1">
        <v>21.288865465964999</v>
      </c>
      <c r="U840" t="str">
        <f t="shared" si="13"/>
        <v>Week 1</v>
      </c>
    </row>
    <row r="841" spans="1:21" x14ac:dyDescent="0.25">
      <c r="A841" s="1">
        <v>840</v>
      </c>
      <c r="B841" s="1" t="s">
        <v>520</v>
      </c>
      <c r="C841" s="2">
        <v>46083</v>
      </c>
      <c r="D841" s="1" t="s">
        <v>33</v>
      </c>
      <c r="E841" s="1" t="s">
        <v>34</v>
      </c>
      <c r="F841" s="1" t="s">
        <v>30</v>
      </c>
      <c r="G841" s="1" t="s">
        <v>24</v>
      </c>
      <c r="H841" s="1">
        <v>1</v>
      </c>
      <c r="I841" s="1" t="s">
        <v>521</v>
      </c>
      <c r="J841" s="1"/>
      <c r="K841" s="1">
        <v>7157695.2999999998</v>
      </c>
      <c r="L841" s="1">
        <v>0</v>
      </c>
      <c r="M841" s="1">
        <v>0</v>
      </c>
      <c r="N841" s="1">
        <v>787346.48300000001</v>
      </c>
      <c r="O841" s="1">
        <v>0</v>
      </c>
      <c r="P841" s="1">
        <v>0</v>
      </c>
      <c r="Q841" s="1">
        <v>0</v>
      </c>
      <c r="R841" s="1">
        <v>7945041.7829999998</v>
      </c>
      <c r="S841" s="1">
        <v>1819979.9846846999</v>
      </c>
      <c r="T841" s="1">
        <v>25.426899419491999</v>
      </c>
      <c r="U841" t="str">
        <f t="shared" si="13"/>
        <v>Week 1</v>
      </c>
    </row>
    <row r="842" spans="1:21" x14ac:dyDescent="0.25">
      <c r="A842" s="1">
        <v>841</v>
      </c>
      <c r="B842" s="1" t="s">
        <v>524</v>
      </c>
      <c r="C842" s="2">
        <v>46083</v>
      </c>
      <c r="D842" s="1" t="s">
        <v>21</v>
      </c>
      <c r="E842" s="1" t="s">
        <v>22</v>
      </c>
      <c r="F842" s="1" t="s">
        <v>30</v>
      </c>
      <c r="G842" s="1" t="s">
        <v>24</v>
      </c>
      <c r="H842" s="1">
        <v>1</v>
      </c>
      <c r="I842" s="1" t="s">
        <v>525</v>
      </c>
      <c r="J842" s="1" t="s">
        <v>26</v>
      </c>
      <c r="K842" s="1">
        <v>12771850</v>
      </c>
      <c r="L842" s="1">
        <v>0</v>
      </c>
      <c r="M842" s="1">
        <v>0</v>
      </c>
      <c r="N842" s="1">
        <v>1404903.5</v>
      </c>
      <c r="O842" s="1">
        <v>0</v>
      </c>
      <c r="P842" s="1">
        <v>0</v>
      </c>
      <c r="Q842" s="1">
        <v>0</v>
      </c>
      <c r="R842" s="1">
        <v>14176753.5</v>
      </c>
      <c r="S842" s="1">
        <v>3650230</v>
      </c>
      <c r="T842" s="1">
        <v>28.580276154198</v>
      </c>
      <c r="U842" t="str">
        <f t="shared" si="13"/>
        <v>Week 1</v>
      </c>
    </row>
    <row r="843" spans="1:21" x14ac:dyDescent="0.25">
      <c r="A843" s="1">
        <v>842</v>
      </c>
      <c r="B843" s="1" t="s">
        <v>526</v>
      </c>
      <c r="C843" s="2">
        <v>46082</v>
      </c>
      <c r="D843" s="1" t="s">
        <v>527</v>
      </c>
      <c r="E843" s="1" t="s">
        <v>22</v>
      </c>
      <c r="F843" s="1" t="s">
        <v>23</v>
      </c>
      <c r="G843" s="1" t="s">
        <v>24</v>
      </c>
      <c r="H843" s="1">
        <v>1</v>
      </c>
      <c r="I843" s="1" t="s">
        <v>528</v>
      </c>
      <c r="J843" s="1" t="s">
        <v>26</v>
      </c>
      <c r="K843" s="1">
        <v>10109606</v>
      </c>
      <c r="L843" s="1">
        <v>0</v>
      </c>
      <c r="M843" s="1">
        <v>0</v>
      </c>
      <c r="N843" s="1">
        <v>1112056.6599999999</v>
      </c>
      <c r="O843" s="1">
        <v>0</v>
      </c>
      <c r="P843" s="1">
        <v>0</v>
      </c>
      <c r="Q843" s="1">
        <v>0</v>
      </c>
      <c r="R843" s="1">
        <v>11221662.66</v>
      </c>
      <c r="S843" s="1">
        <v>6195162.7279283004</v>
      </c>
      <c r="T843" s="1">
        <v>61.279962126401003</v>
      </c>
      <c r="U843" t="str">
        <f t="shared" si="13"/>
        <v>Week 1</v>
      </c>
    </row>
    <row r="844" spans="1:21" x14ac:dyDescent="0.25">
      <c r="A844" s="1">
        <v>843</v>
      </c>
      <c r="B844" s="1" t="s">
        <v>529</v>
      </c>
      <c r="C844" s="2">
        <v>46081</v>
      </c>
      <c r="D844" s="1" t="s">
        <v>432</v>
      </c>
      <c r="E844" s="1" t="s">
        <v>116</v>
      </c>
      <c r="F844" s="1" t="s">
        <v>23</v>
      </c>
      <c r="G844" s="1" t="s">
        <v>24</v>
      </c>
      <c r="H844" s="1">
        <v>1</v>
      </c>
      <c r="I844" s="1" t="s">
        <v>530</v>
      </c>
      <c r="J844" s="1" t="s">
        <v>26</v>
      </c>
      <c r="K844" s="1">
        <v>143412018.75</v>
      </c>
      <c r="L844" s="1">
        <v>0</v>
      </c>
      <c r="M844" s="1">
        <v>0</v>
      </c>
      <c r="N844" s="1">
        <v>15775322.0625</v>
      </c>
      <c r="O844" s="1">
        <v>0</v>
      </c>
      <c r="P844" s="1">
        <v>0</v>
      </c>
      <c r="Q844" s="1">
        <v>0</v>
      </c>
      <c r="R844" s="1">
        <v>159187340.8125</v>
      </c>
      <c r="S844" s="1">
        <v>40437018.75</v>
      </c>
      <c r="T844" s="1">
        <v>28.196394627490001</v>
      </c>
      <c r="U844" t="str">
        <f t="shared" si="13"/>
        <v>Week 4</v>
      </c>
    </row>
    <row r="845" spans="1:21" x14ac:dyDescent="0.25">
      <c r="A845" s="1">
        <v>844</v>
      </c>
      <c r="B845" s="1" t="s">
        <v>531</v>
      </c>
      <c r="C845" s="2">
        <v>46081</v>
      </c>
      <c r="D845" s="1" t="s">
        <v>28</v>
      </c>
      <c r="E845" s="1" t="s">
        <v>29</v>
      </c>
      <c r="F845" s="1" t="s">
        <v>30</v>
      </c>
      <c r="G845" s="1" t="s">
        <v>24</v>
      </c>
      <c r="H845" s="1">
        <v>1</v>
      </c>
      <c r="I845" s="1" t="s">
        <v>532</v>
      </c>
      <c r="J845" s="1"/>
      <c r="K845" s="1">
        <v>101688445</v>
      </c>
      <c r="L845" s="1">
        <v>0</v>
      </c>
      <c r="M845" s="1">
        <v>0</v>
      </c>
      <c r="N845" s="1">
        <v>11185728.949999999</v>
      </c>
      <c r="O845" s="1">
        <v>0</v>
      </c>
      <c r="P845" s="1">
        <v>0</v>
      </c>
      <c r="Q845" s="1">
        <v>0</v>
      </c>
      <c r="R845" s="1">
        <v>112874173.95</v>
      </c>
      <c r="S845" s="1">
        <v>-46511555</v>
      </c>
      <c r="T845" s="1">
        <v>-45.739272539765999</v>
      </c>
      <c r="U845" t="str">
        <f t="shared" si="13"/>
        <v>Week 4</v>
      </c>
    </row>
    <row r="846" spans="1:21" x14ac:dyDescent="0.25">
      <c r="A846" s="1">
        <v>845</v>
      </c>
      <c r="B846" s="1" t="s">
        <v>533</v>
      </c>
      <c r="C846" s="2">
        <v>46081</v>
      </c>
      <c r="D846" s="1" t="s">
        <v>28</v>
      </c>
      <c r="E846" s="1" t="s">
        <v>29</v>
      </c>
      <c r="F846" s="1" t="s">
        <v>30</v>
      </c>
      <c r="G846" s="1" t="s">
        <v>24</v>
      </c>
      <c r="H846" s="1">
        <v>1</v>
      </c>
      <c r="I846" s="1" t="s">
        <v>534</v>
      </c>
      <c r="J846" s="1"/>
      <c r="K846" s="1">
        <v>264989186</v>
      </c>
      <c r="L846" s="1">
        <v>0</v>
      </c>
      <c r="M846" s="1">
        <v>0</v>
      </c>
      <c r="N846" s="1">
        <v>29148810.460000001</v>
      </c>
      <c r="O846" s="1">
        <v>0</v>
      </c>
      <c r="P846" s="1">
        <v>0</v>
      </c>
      <c r="Q846" s="1">
        <v>0</v>
      </c>
      <c r="R846" s="1">
        <v>294137996.45999998</v>
      </c>
      <c r="S846" s="1">
        <v>25932418.702702999</v>
      </c>
      <c r="T846" s="1">
        <v>9.7862177299200006</v>
      </c>
      <c r="U846" t="str">
        <f t="shared" si="13"/>
        <v>Week 4</v>
      </c>
    </row>
    <row r="847" spans="1:21" x14ac:dyDescent="0.25">
      <c r="A847" s="1">
        <v>846</v>
      </c>
      <c r="B847" s="1" t="s">
        <v>535</v>
      </c>
      <c r="C847" s="2">
        <v>46081</v>
      </c>
      <c r="D847" s="1" t="s">
        <v>349</v>
      </c>
      <c r="E847" s="1" t="s">
        <v>29</v>
      </c>
      <c r="F847" s="1" t="s">
        <v>30</v>
      </c>
      <c r="G847" s="1" t="s">
        <v>24</v>
      </c>
      <c r="H847" s="1">
        <v>1</v>
      </c>
      <c r="I847" s="1" t="s">
        <v>536</v>
      </c>
      <c r="J847" s="1"/>
      <c r="K847" s="1">
        <v>57218400</v>
      </c>
      <c r="L847" s="1">
        <v>0</v>
      </c>
      <c r="M847" s="1">
        <v>0</v>
      </c>
      <c r="N847" s="1">
        <v>6294024</v>
      </c>
      <c r="O847" s="1">
        <v>0</v>
      </c>
      <c r="P847" s="1">
        <v>0</v>
      </c>
      <c r="Q847" s="1">
        <v>0</v>
      </c>
      <c r="R847" s="1">
        <v>63512424</v>
      </c>
      <c r="S847" s="1">
        <v>6780044</v>
      </c>
      <c r="T847" s="1">
        <v>11.849412077234</v>
      </c>
      <c r="U847" t="str">
        <f t="shared" si="13"/>
        <v>Week 4</v>
      </c>
    </row>
    <row r="848" spans="1:21" x14ac:dyDescent="0.25">
      <c r="A848" s="1">
        <v>847</v>
      </c>
      <c r="B848" s="1" t="s">
        <v>537</v>
      </c>
      <c r="C848" s="2">
        <v>46081</v>
      </c>
      <c r="D848" s="1" t="s">
        <v>28</v>
      </c>
      <c r="E848" s="1" t="s">
        <v>29</v>
      </c>
      <c r="F848" s="1" t="s">
        <v>30</v>
      </c>
      <c r="G848" s="1" t="s">
        <v>24</v>
      </c>
      <c r="H848" s="1">
        <v>1</v>
      </c>
      <c r="I848" s="1" t="s">
        <v>538</v>
      </c>
      <c r="J848" s="1"/>
      <c r="K848" s="1">
        <v>10392700</v>
      </c>
      <c r="L848" s="1">
        <v>0</v>
      </c>
      <c r="M848" s="1">
        <v>0</v>
      </c>
      <c r="N848" s="1">
        <v>1143197</v>
      </c>
      <c r="O848" s="1">
        <v>0</v>
      </c>
      <c r="P848" s="1">
        <v>0</v>
      </c>
      <c r="Q848" s="1">
        <v>0</v>
      </c>
      <c r="R848" s="1">
        <v>11535897</v>
      </c>
      <c r="S848" s="1">
        <v>302700</v>
      </c>
      <c r="T848" s="1">
        <v>2.9126213592233001</v>
      </c>
      <c r="U848" t="str">
        <f t="shared" si="13"/>
        <v>Week 4</v>
      </c>
    </row>
    <row r="849" spans="1:21" x14ac:dyDescent="0.25">
      <c r="A849" s="1">
        <v>848</v>
      </c>
      <c r="B849" s="1" t="s">
        <v>539</v>
      </c>
      <c r="C849" s="2">
        <v>46081</v>
      </c>
      <c r="D849" s="1" t="s">
        <v>28</v>
      </c>
      <c r="E849" s="1" t="s">
        <v>29</v>
      </c>
      <c r="F849" s="1" t="s">
        <v>30</v>
      </c>
      <c r="G849" s="1" t="s">
        <v>24</v>
      </c>
      <c r="H849" s="1">
        <v>1</v>
      </c>
      <c r="I849" s="1" t="s">
        <v>540</v>
      </c>
      <c r="J849" s="1"/>
      <c r="K849" s="1">
        <v>266811200</v>
      </c>
      <c r="L849" s="1">
        <v>0</v>
      </c>
      <c r="M849" s="1">
        <v>0</v>
      </c>
      <c r="N849" s="1">
        <v>29349232</v>
      </c>
      <c r="O849" s="1">
        <v>0</v>
      </c>
      <c r="P849" s="1">
        <v>0</v>
      </c>
      <c r="Q849" s="1">
        <v>0</v>
      </c>
      <c r="R849" s="1">
        <v>296160432</v>
      </c>
      <c r="S849" s="1">
        <v>241200</v>
      </c>
      <c r="T849" s="1">
        <v>9.0401002656559995E-2</v>
      </c>
      <c r="U849" t="str">
        <f t="shared" si="13"/>
        <v>Week 4</v>
      </c>
    </row>
    <row r="850" spans="1:21" x14ac:dyDescent="0.25">
      <c r="A850" s="1">
        <v>849</v>
      </c>
      <c r="B850" s="1" t="s">
        <v>541</v>
      </c>
      <c r="C850" s="2">
        <v>46081</v>
      </c>
      <c r="D850" s="1" t="s">
        <v>28</v>
      </c>
      <c r="E850" s="1" t="s">
        <v>29</v>
      </c>
      <c r="F850" s="1" t="s">
        <v>30</v>
      </c>
      <c r="G850" s="1" t="s">
        <v>24</v>
      </c>
      <c r="H850" s="1">
        <v>1</v>
      </c>
      <c r="I850" s="1" t="s">
        <v>542</v>
      </c>
      <c r="J850" s="1"/>
      <c r="K850" s="1">
        <v>233604000</v>
      </c>
      <c r="L850" s="1">
        <v>0</v>
      </c>
      <c r="M850" s="1">
        <v>0</v>
      </c>
      <c r="N850" s="1">
        <v>25696440</v>
      </c>
      <c r="O850" s="1">
        <v>0</v>
      </c>
      <c r="P850" s="1">
        <v>0</v>
      </c>
      <c r="Q850" s="1">
        <v>0</v>
      </c>
      <c r="R850" s="1">
        <v>259300440</v>
      </c>
      <c r="S850" s="1">
        <v>19404000</v>
      </c>
      <c r="T850" s="1">
        <v>8.3063646170441992</v>
      </c>
      <c r="U850" t="str">
        <f t="shared" si="13"/>
        <v>Week 4</v>
      </c>
    </row>
    <row r="851" spans="1:21" x14ac:dyDescent="0.25">
      <c r="A851" s="1">
        <v>850</v>
      </c>
      <c r="B851" s="1" t="s">
        <v>543</v>
      </c>
      <c r="C851" s="2">
        <v>46081</v>
      </c>
      <c r="D851" s="1" t="s">
        <v>53</v>
      </c>
      <c r="E851" s="1" t="s">
        <v>54</v>
      </c>
      <c r="F851" s="1" t="s">
        <v>39</v>
      </c>
      <c r="G851" s="1" t="s">
        <v>24</v>
      </c>
      <c r="H851" s="1">
        <v>1</v>
      </c>
      <c r="I851" s="1" t="s">
        <v>544</v>
      </c>
      <c r="J851" s="1"/>
      <c r="K851" s="1">
        <v>1</v>
      </c>
      <c r="L851" s="1">
        <v>0</v>
      </c>
      <c r="M851" s="1">
        <v>0</v>
      </c>
      <c r="N851" s="1">
        <v>0.11</v>
      </c>
      <c r="O851" s="1">
        <v>0</v>
      </c>
      <c r="P851" s="1">
        <v>0</v>
      </c>
      <c r="Q851" s="1">
        <v>0</v>
      </c>
      <c r="R851" s="1">
        <v>1.1100000000000001</v>
      </c>
      <c r="S851" s="1">
        <v>-10578499</v>
      </c>
      <c r="T851" s="1">
        <v>-1057849900</v>
      </c>
      <c r="U851" t="str">
        <f t="shared" si="13"/>
        <v>Week 4</v>
      </c>
    </row>
    <row r="852" spans="1:21" x14ac:dyDescent="0.25">
      <c r="A852" s="1">
        <v>851</v>
      </c>
      <c r="B852" s="1" t="s">
        <v>545</v>
      </c>
      <c r="C852" s="2">
        <v>46081</v>
      </c>
      <c r="D852" s="1" t="s">
        <v>202</v>
      </c>
      <c r="E852" s="1" t="s">
        <v>203</v>
      </c>
      <c r="F852" s="1" t="s">
        <v>260</v>
      </c>
      <c r="G852" s="1" t="s">
        <v>24</v>
      </c>
      <c r="H852" s="1">
        <v>1</v>
      </c>
      <c r="I852" s="1" t="s">
        <v>233</v>
      </c>
      <c r="J852" s="1" t="s">
        <v>26</v>
      </c>
      <c r="K852" s="1">
        <v>39348000</v>
      </c>
      <c r="L852" s="1">
        <v>0</v>
      </c>
      <c r="M852" s="1">
        <v>0</v>
      </c>
      <c r="N852" s="1">
        <v>4328280</v>
      </c>
      <c r="O852" s="1">
        <v>0</v>
      </c>
      <c r="P852" s="1">
        <v>0</v>
      </c>
      <c r="Q852" s="1">
        <v>0</v>
      </c>
      <c r="R852" s="1">
        <v>43676280</v>
      </c>
      <c r="S852" s="1">
        <v>15494342.342342</v>
      </c>
      <c r="T852" s="1">
        <v>39.377712570759002</v>
      </c>
      <c r="U852" t="str">
        <f t="shared" si="13"/>
        <v>Week 4</v>
      </c>
    </row>
    <row r="853" spans="1:21" x14ac:dyDescent="0.25">
      <c r="A853" s="1">
        <v>852</v>
      </c>
      <c r="B853" s="1" t="s">
        <v>2221</v>
      </c>
      <c r="C853" s="2">
        <v>46081</v>
      </c>
      <c r="D853" s="1" t="s">
        <v>2210</v>
      </c>
      <c r="E853" s="1" t="s">
        <v>192</v>
      </c>
      <c r="F853" s="1" t="s">
        <v>30</v>
      </c>
      <c r="G853" s="1" t="s">
        <v>24</v>
      </c>
      <c r="H853" s="1">
        <v>1</v>
      </c>
      <c r="I853" s="1" t="s">
        <v>2222</v>
      </c>
      <c r="J853" s="1"/>
      <c r="K853" s="1">
        <v>53764132.340000004</v>
      </c>
      <c r="L853" s="1">
        <v>0</v>
      </c>
      <c r="M853" s="1">
        <v>0</v>
      </c>
      <c r="N853" s="1">
        <v>5914054.5574000003</v>
      </c>
      <c r="O853" s="1">
        <v>0</v>
      </c>
      <c r="P853" s="1">
        <v>0</v>
      </c>
      <c r="Q853" s="1">
        <v>0</v>
      </c>
      <c r="R853" s="1">
        <v>59678186.897399999</v>
      </c>
      <c r="S853" s="1">
        <v>-1100411.5338739001</v>
      </c>
      <c r="T853" s="1">
        <v>-2.0467391288211001</v>
      </c>
      <c r="U853" t="str">
        <f t="shared" si="13"/>
        <v>Week 4</v>
      </c>
    </row>
    <row r="854" spans="1:21" x14ac:dyDescent="0.25">
      <c r="A854" s="1">
        <v>853</v>
      </c>
      <c r="B854" s="1" t="s">
        <v>546</v>
      </c>
      <c r="C854" s="2">
        <v>46081</v>
      </c>
      <c r="D854" s="1" t="s">
        <v>33</v>
      </c>
      <c r="E854" s="1" t="s">
        <v>34</v>
      </c>
      <c r="F854" s="1" t="s">
        <v>30</v>
      </c>
      <c r="G854" s="1" t="s">
        <v>24</v>
      </c>
      <c r="H854" s="1">
        <v>1</v>
      </c>
      <c r="I854" s="1" t="s">
        <v>547</v>
      </c>
      <c r="J854" s="1" t="s">
        <v>56</v>
      </c>
      <c r="K854" s="1">
        <v>37500000</v>
      </c>
      <c r="L854" s="1">
        <v>0</v>
      </c>
      <c r="M854" s="1">
        <v>0</v>
      </c>
      <c r="N854" s="1">
        <v>4125000</v>
      </c>
      <c r="O854" s="1">
        <v>0</v>
      </c>
      <c r="P854" s="1">
        <v>0</v>
      </c>
      <c r="Q854" s="1">
        <v>0</v>
      </c>
      <c r="R854" s="1">
        <v>41625000</v>
      </c>
      <c r="S854" s="1">
        <v>4000000</v>
      </c>
      <c r="T854" s="1">
        <v>10.666666666667</v>
      </c>
      <c r="U854" t="str">
        <f t="shared" si="13"/>
        <v>Week 4</v>
      </c>
    </row>
    <row r="855" spans="1:21" x14ac:dyDescent="0.25">
      <c r="A855" s="1">
        <v>854</v>
      </c>
      <c r="B855" s="1" t="s">
        <v>548</v>
      </c>
      <c r="C855" s="2">
        <v>46081</v>
      </c>
      <c r="D855" s="1" t="s">
        <v>53</v>
      </c>
      <c r="E855" s="1" t="s">
        <v>54</v>
      </c>
      <c r="F855" s="1" t="s">
        <v>30</v>
      </c>
      <c r="G855" s="1" t="s">
        <v>24</v>
      </c>
      <c r="H855" s="1">
        <v>1</v>
      </c>
      <c r="I855" s="1" t="s">
        <v>549</v>
      </c>
      <c r="J855" s="1"/>
      <c r="K855" s="1">
        <v>11730600</v>
      </c>
      <c r="L855" s="1">
        <v>0</v>
      </c>
      <c r="M855" s="1">
        <v>0</v>
      </c>
      <c r="N855" s="1">
        <v>1290366</v>
      </c>
      <c r="O855" s="1">
        <v>0</v>
      </c>
      <c r="P855" s="1">
        <v>0</v>
      </c>
      <c r="Q855" s="1">
        <v>0</v>
      </c>
      <c r="R855" s="1">
        <v>13020966</v>
      </c>
      <c r="S855" s="1">
        <v>4130600</v>
      </c>
      <c r="T855" s="1">
        <v>35.212180110139002</v>
      </c>
      <c r="U855" t="str">
        <f t="shared" si="13"/>
        <v>Week 4</v>
      </c>
    </row>
    <row r="856" spans="1:21" x14ac:dyDescent="0.25">
      <c r="A856" s="1">
        <v>855</v>
      </c>
      <c r="B856" s="1" t="s">
        <v>550</v>
      </c>
      <c r="C856" s="2">
        <v>46081</v>
      </c>
      <c r="D856" s="1" t="s">
        <v>21</v>
      </c>
      <c r="E856" s="1" t="s">
        <v>54</v>
      </c>
      <c r="F856" s="1" t="s">
        <v>30</v>
      </c>
      <c r="G856" s="1" t="s">
        <v>24</v>
      </c>
      <c r="H856" s="1">
        <v>1</v>
      </c>
      <c r="I856" s="1" t="s">
        <v>551</v>
      </c>
      <c r="J856" s="1"/>
      <c r="K856" s="1">
        <v>11730600</v>
      </c>
      <c r="L856" s="1">
        <v>0</v>
      </c>
      <c r="M856" s="1">
        <v>0</v>
      </c>
      <c r="N856" s="1">
        <v>1290366</v>
      </c>
      <c r="O856" s="1">
        <v>0</v>
      </c>
      <c r="P856" s="1">
        <v>0</v>
      </c>
      <c r="Q856" s="1">
        <v>0</v>
      </c>
      <c r="R856" s="1">
        <v>13020966</v>
      </c>
      <c r="S856" s="1">
        <v>4130600</v>
      </c>
      <c r="T856" s="1">
        <v>35.212180110139002</v>
      </c>
      <c r="U856" t="str">
        <f t="shared" si="13"/>
        <v>Week 4</v>
      </c>
    </row>
    <row r="857" spans="1:21" x14ac:dyDescent="0.25">
      <c r="A857" s="1">
        <v>856</v>
      </c>
      <c r="B857" s="1" t="s">
        <v>552</v>
      </c>
      <c r="C857" s="2">
        <v>46081</v>
      </c>
      <c r="D857" s="1" t="s">
        <v>53</v>
      </c>
      <c r="E857" s="1" t="s">
        <v>54</v>
      </c>
      <c r="F857" s="1" t="s">
        <v>30</v>
      </c>
      <c r="G857" s="1" t="s">
        <v>24</v>
      </c>
      <c r="H857" s="1">
        <v>1</v>
      </c>
      <c r="I857" s="1" t="s">
        <v>553</v>
      </c>
      <c r="J857" s="1"/>
      <c r="K857" s="1">
        <v>33720900</v>
      </c>
      <c r="L857" s="1">
        <v>0</v>
      </c>
      <c r="M857" s="1">
        <v>0</v>
      </c>
      <c r="N857" s="1">
        <v>3709299</v>
      </c>
      <c r="O857" s="1">
        <v>0</v>
      </c>
      <c r="P857" s="1">
        <v>0</v>
      </c>
      <c r="Q857" s="1">
        <v>0</v>
      </c>
      <c r="R857" s="1">
        <v>37430199</v>
      </c>
      <c r="S857" s="1">
        <v>18855900</v>
      </c>
      <c r="T857" s="1">
        <v>55.917546684697001</v>
      </c>
      <c r="U857" t="str">
        <f t="shared" si="13"/>
        <v>Week 4</v>
      </c>
    </row>
    <row r="858" spans="1:21" x14ac:dyDescent="0.25">
      <c r="A858" s="1">
        <v>857</v>
      </c>
      <c r="B858" s="1" t="s">
        <v>554</v>
      </c>
      <c r="C858" s="2">
        <v>46081</v>
      </c>
      <c r="D858" s="1" t="s">
        <v>202</v>
      </c>
      <c r="E858" s="1" t="s">
        <v>203</v>
      </c>
      <c r="F858" s="1" t="s">
        <v>23</v>
      </c>
      <c r="G858" s="1" t="s">
        <v>24</v>
      </c>
      <c r="H858" s="1">
        <v>1</v>
      </c>
      <c r="I858" s="1" t="s">
        <v>555</v>
      </c>
      <c r="J858" s="1" t="s">
        <v>26</v>
      </c>
      <c r="K858" s="1">
        <v>13125000</v>
      </c>
      <c r="L858" s="1">
        <v>0</v>
      </c>
      <c r="M858" s="1">
        <v>0</v>
      </c>
      <c r="N858" s="1">
        <v>1443750</v>
      </c>
      <c r="O858" s="1">
        <v>0</v>
      </c>
      <c r="P858" s="1">
        <v>0</v>
      </c>
      <c r="Q858" s="1">
        <v>0</v>
      </c>
      <c r="R858" s="1">
        <v>14568750</v>
      </c>
      <c r="S858" s="1">
        <v>2625000</v>
      </c>
      <c r="T858" s="1">
        <v>20</v>
      </c>
      <c r="U858" t="str">
        <f t="shared" si="13"/>
        <v>Week 4</v>
      </c>
    </row>
    <row r="859" spans="1:21" x14ac:dyDescent="0.25">
      <c r="A859" s="1">
        <v>858</v>
      </c>
      <c r="B859" s="1" t="s">
        <v>556</v>
      </c>
      <c r="C859" s="2">
        <v>46081</v>
      </c>
      <c r="D859" s="1" t="s">
        <v>33</v>
      </c>
      <c r="E859" s="1" t="s">
        <v>34</v>
      </c>
      <c r="F859" s="1" t="s">
        <v>23</v>
      </c>
      <c r="G859" s="1" t="s">
        <v>24</v>
      </c>
      <c r="H859" s="1">
        <v>1</v>
      </c>
      <c r="I859" s="1" t="s">
        <v>557</v>
      </c>
      <c r="J859" s="1"/>
      <c r="K859" s="1">
        <v>35690000</v>
      </c>
      <c r="L859" s="1">
        <v>0</v>
      </c>
      <c r="M859" s="1">
        <v>0</v>
      </c>
      <c r="N859" s="1">
        <v>3925900</v>
      </c>
      <c r="O859" s="1">
        <v>0</v>
      </c>
      <c r="P859" s="1">
        <v>0</v>
      </c>
      <c r="Q859" s="1">
        <v>0</v>
      </c>
      <c r="R859" s="1">
        <v>39615900</v>
      </c>
      <c r="S859" s="1">
        <v>9979000</v>
      </c>
      <c r="T859" s="1">
        <v>27.960212944801999</v>
      </c>
      <c r="U859" t="str">
        <f t="shared" si="13"/>
        <v>Week 4</v>
      </c>
    </row>
    <row r="860" spans="1:21" x14ac:dyDescent="0.25">
      <c r="A860" s="1">
        <v>859</v>
      </c>
      <c r="B860" s="1" t="s">
        <v>558</v>
      </c>
      <c r="C860" s="2">
        <v>46080</v>
      </c>
      <c r="D860" s="1" t="s">
        <v>432</v>
      </c>
      <c r="E860" s="1" t="s">
        <v>116</v>
      </c>
      <c r="F860" s="1" t="s">
        <v>260</v>
      </c>
      <c r="G860" s="1" t="s">
        <v>24</v>
      </c>
      <c r="H860" s="1">
        <v>1</v>
      </c>
      <c r="I860" s="1" t="s">
        <v>559</v>
      </c>
      <c r="J860" s="1" t="s">
        <v>26</v>
      </c>
      <c r="K860" s="1">
        <v>30323700</v>
      </c>
      <c r="L860" s="1">
        <v>0</v>
      </c>
      <c r="M860" s="1">
        <v>0</v>
      </c>
      <c r="N860" s="1">
        <v>3335607</v>
      </c>
      <c r="O860" s="1">
        <v>0</v>
      </c>
      <c r="P860" s="1">
        <v>0</v>
      </c>
      <c r="Q860" s="1">
        <v>0</v>
      </c>
      <c r="R860" s="1">
        <v>33659307</v>
      </c>
      <c r="S860" s="1">
        <v>15729213.513561999</v>
      </c>
      <c r="T860" s="1">
        <v>51.871023369714003</v>
      </c>
      <c r="U860" t="str">
        <f t="shared" si="13"/>
        <v>Week 4</v>
      </c>
    </row>
    <row r="861" spans="1:21" x14ac:dyDescent="0.25">
      <c r="A861" s="1">
        <v>860</v>
      </c>
      <c r="B861" s="1" t="s">
        <v>562</v>
      </c>
      <c r="C861" s="2">
        <v>46080</v>
      </c>
      <c r="D861" s="1" t="s">
        <v>33</v>
      </c>
      <c r="E861" s="1" t="s">
        <v>34</v>
      </c>
      <c r="F861" s="1" t="s">
        <v>30</v>
      </c>
      <c r="G861" s="1" t="s">
        <v>24</v>
      </c>
      <c r="H861" s="1">
        <v>1</v>
      </c>
      <c r="I861" s="1" t="s">
        <v>563</v>
      </c>
      <c r="J861" s="1" t="s">
        <v>56</v>
      </c>
      <c r="K861" s="1">
        <v>255858400</v>
      </c>
      <c r="L861" s="1">
        <v>0</v>
      </c>
      <c r="M861" s="1">
        <v>0</v>
      </c>
      <c r="N861" s="1">
        <v>28144424</v>
      </c>
      <c r="O861" s="1">
        <v>0</v>
      </c>
      <c r="P861" s="1">
        <v>0</v>
      </c>
      <c r="Q861" s="1">
        <v>0</v>
      </c>
      <c r="R861" s="1">
        <v>284002824</v>
      </c>
      <c r="S861" s="1">
        <v>46994400</v>
      </c>
      <c r="T861" s="1">
        <v>18.367346938775999</v>
      </c>
      <c r="U861" t="str">
        <f t="shared" si="13"/>
        <v>Week 4</v>
      </c>
    </row>
    <row r="862" spans="1:21" x14ac:dyDescent="0.25">
      <c r="A862" s="1">
        <v>861</v>
      </c>
      <c r="B862" s="1" t="s">
        <v>564</v>
      </c>
      <c r="C862" s="2">
        <v>46080</v>
      </c>
      <c r="D862" s="1" t="s">
        <v>28</v>
      </c>
      <c r="E862" s="1" t="s">
        <v>29</v>
      </c>
      <c r="F862" s="1" t="s">
        <v>30</v>
      </c>
      <c r="G862" s="1" t="s">
        <v>24</v>
      </c>
      <c r="H862" s="1">
        <v>1</v>
      </c>
      <c r="I862" s="1" t="s">
        <v>565</v>
      </c>
      <c r="J862" s="1"/>
      <c r="K862" s="1">
        <v>79271143.75</v>
      </c>
      <c r="L862" s="1">
        <v>0</v>
      </c>
      <c r="M862" s="1">
        <v>0</v>
      </c>
      <c r="N862" s="1">
        <v>8719825.8125</v>
      </c>
      <c r="O862" s="1">
        <v>0</v>
      </c>
      <c r="P862" s="1">
        <v>0</v>
      </c>
      <c r="Q862" s="1">
        <v>0</v>
      </c>
      <c r="R862" s="1">
        <v>87990969.5625</v>
      </c>
      <c r="S862" s="1">
        <v>8731793.75</v>
      </c>
      <c r="T862" s="1">
        <v>11.015097470445999</v>
      </c>
      <c r="U862" t="str">
        <f t="shared" si="13"/>
        <v>Week 4</v>
      </c>
    </row>
    <row r="863" spans="1:21" x14ac:dyDescent="0.25">
      <c r="A863" s="1">
        <v>862</v>
      </c>
      <c r="B863" s="1" t="s">
        <v>566</v>
      </c>
      <c r="C863" s="2">
        <v>46080</v>
      </c>
      <c r="D863" s="1" t="s">
        <v>184</v>
      </c>
      <c r="E863" s="1" t="s">
        <v>116</v>
      </c>
      <c r="F863" s="1" t="s">
        <v>30</v>
      </c>
      <c r="G863" s="1" t="s">
        <v>24</v>
      </c>
      <c r="H863" s="1">
        <v>1</v>
      </c>
      <c r="I863" s="1" t="s">
        <v>567</v>
      </c>
      <c r="J863" s="1" t="s">
        <v>26</v>
      </c>
      <c r="K863" s="1">
        <v>158105</v>
      </c>
      <c r="L863" s="1">
        <v>0</v>
      </c>
      <c r="M863" s="1">
        <v>0</v>
      </c>
      <c r="N863" s="1">
        <v>17391.55</v>
      </c>
      <c r="O863" s="1">
        <v>0</v>
      </c>
      <c r="P863" s="1">
        <v>0</v>
      </c>
      <c r="Q863" s="1">
        <v>0</v>
      </c>
      <c r="R863" s="1">
        <v>175496.55</v>
      </c>
      <c r="S863" s="1">
        <v>22294.189189190001</v>
      </c>
      <c r="T863" s="1">
        <v>14.100875487295999</v>
      </c>
      <c r="U863" t="str">
        <f t="shared" si="13"/>
        <v>Week 4</v>
      </c>
    </row>
    <row r="864" spans="1:21" x14ac:dyDescent="0.25">
      <c r="A864" s="1">
        <v>863</v>
      </c>
      <c r="B864" s="1" t="s">
        <v>568</v>
      </c>
      <c r="C864" s="2">
        <v>46080</v>
      </c>
      <c r="D864" s="1" t="s">
        <v>53</v>
      </c>
      <c r="E864" s="1" t="s">
        <v>54</v>
      </c>
      <c r="F864" s="1" t="s">
        <v>30</v>
      </c>
      <c r="G864" s="1" t="s">
        <v>24</v>
      </c>
      <c r="H864" s="1">
        <v>1</v>
      </c>
      <c r="I864" s="1" t="s">
        <v>569</v>
      </c>
      <c r="J864" s="1"/>
      <c r="K864" s="1">
        <v>13764096</v>
      </c>
      <c r="L864" s="1">
        <v>0</v>
      </c>
      <c r="M864" s="1">
        <v>0</v>
      </c>
      <c r="N864" s="1">
        <v>1514050.5600000001</v>
      </c>
      <c r="O864" s="1">
        <v>0</v>
      </c>
      <c r="P864" s="1">
        <v>0</v>
      </c>
      <c r="Q864" s="1">
        <v>0</v>
      </c>
      <c r="R864" s="1">
        <v>15278146.560000001</v>
      </c>
      <c r="S864" s="1">
        <v>-155904</v>
      </c>
      <c r="T864" s="1">
        <v>-1.1326860841424</v>
      </c>
      <c r="U864" t="str">
        <f t="shared" si="13"/>
        <v>Week 4</v>
      </c>
    </row>
    <row r="865" spans="1:21" x14ac:dyDescent="0.25">
      <c r="A865" s="1">
        <v>864</v>
      </c>
      <c r="B865" s="1" t="s">
        <v>570</v>
      </c>
      <c r="C865" s="2">
        <v>46080</v>
      </c>
      <c r="D865" s="1" t="s">
        <v>184</v>
      </c>
      <c r="E865" s="1" t="s">
        <v>116</v>
      </c>
      <c r="F865" s="1" t="s">
        <v>30</v>
      </c>
      <c r="G865" s="1" t="s">
        <v>24</v>
      </c>
      <c r="H865" s="1">
        <v>1</v>
      </c>
      <c r="I865" s="1" t="s">
        <v>571</v>
      </c>
      <c r="J865" s="1" t="s">
        <v>26</v>
      </c>
      <c r="K865" s="1">
        <v>539000</v>
      </c>
      <c r="L865" s="1">
        <v>0</v>
      </c>
      <c r="M865" s="1">
        <v>0</v>
      </c>
      <c r="N865" s="1">
        <v>59290</v>
      </c>
      <c r="O865" s="1">
        <v>0</v>
      </c>
      <c r="P865" s="1">
        <v>0</v>
      </c>
      <c r="Q865" s="1">
        <v>0</v>
      </c>
      <c r="R865" s="1">
        <v>598290</v>
      </c>
      <c r="S865" s="1">
        <v>5500</v>
      </c>
      <c r="T865" s="1">
        <v>0</v>
      </c>
      <c r="U865" t="str">
        <f t="shared" si="13"/>
        <v>Week 4</v>
      </c>
    </row>
    <row r="866" spans="1:21" x14ac:dyDescent="0.25">
      <c r="A866" s="1">
        <v>865</v>
      </c>
      <c r="B866" s="1" t="s">
        <v>572</v>
      </c>
      <c r="C866" s="2">
        <v>46080</v>
      </c>
      <c r="D866" s="1" t="s">
        <v>248</v>
      </c>
      <c r="E866" s="1" t="s">
        <v>99</v>
      </c>
      <c r="F866" s="1" t="s">
        <v>23</v>
      </c>
      <c r="G866" s="1" t="s">
        <v>24</v>
      </c>
      <c r="H866" s="1">
        <v>1</v>
      </c>
      <c r="I866" s="1" t="s">
        <v>573</v>
      </c>
      <c r="J866" s="1"/>
      <c r="K866" s="1">
        <v>47513000</v>
      </c>
      <c r="L866" s="1">
        <v>0</v>
      </c>
      <c r="M866" s="1">
        <v>0</v>
      </c>
      <c r="N866" s="1">
        <v>5226430</v>
      </c>
      <c r="O866" s="1">
        <v>0</v>
      </c>
      <c r="P866" s="1">
        <v>0</v>
      </c>
      <c r="Q866" s="1">
        <v>0</v>
      </c>
      <c r="R866" s="1">
        <v>52739430</v>
      </c>
      <c r="S866" s="1">
        <v>18650840</v>
      </c>
      <c r="T866" s="1">
        <v>39.254183065687002</v>
      </c>
      <c r="U866" t="str">
        <f t="shared" si="13"/>
        <v>Week 4</v>
      </c>
    </row>
    <row r="867" spans="1:21" x14ac:dyDescent="0.25">
      <c r="A867" s="1">
        <v>866</v>
      </c>
      <c r="B867" s="1" t="s">
        <v>574</v>
      </c>
      <c r="C867" s="2">
        <v>46080</v>
      </c>
      <c r="D867" s="1" t="s">
        <v>21</v>
      </c>
      <c r="E867" s="1" t="s">
        <v>22</v>
      </c>
      <c r="F867" s="1" t="s">
        <v>30</v>
      </c>
      <c r="G867" s="1" t="s">
        <v>24</v>
      </c>
      <c r="H867" s="1">
        <v>1</v>
      </c>
      <c r="I867" s="1" t="s">
        <v>575</v>
      </c>
      <c r="J867" s="1" t="s">
        <v>26</v>
      </c>
      <c r="K867" s="1">
        <v>2311183</v>
      </c>
      <c r="L867" s="1">
        <v>0</v>
      </c>
      <c r="M867" s="1">
        <v>0</v>
      </c>
      <c r="N867" s="1">
        <v>254230.13</v>
      </c>
      <c r="O867" s="1">
        <v>0</v>
      </c>
      <c r="P867" s="1">
        <v>0</v>
      </c>
      <c r="Q867" s="1">
        <v>0</v>
      </c>
      <c r="R867" s="1">
        <v>2565413.13</v>
      </c>
      <c r="S867" s="1">
        <v>793333.45</v>
      </c>
      <c r="T867" s="1">
        <v>34.325860392708002</v>
      </c>
      <c r="U867" t="str">
        <f t="shared" si="13"/>
        <v>Week 4</v>
      </c>
    </row>
    <row r="868" spans="1:21" x14ac:dyDescent="0.25">
      <c r="A868" s="1">
        <v>867</v>
      </c>
      <c r="B868" s="1" t="s">
        <v>576</v>
      </c>
      <c r="C868" s="2">
        <v>46080</v>
      </c>
      <c r="D868" s="1" t="s">
        <v>53</v>
      </c>
      <c r="E868" s="1" t="s">
        <v>54</v>
      </c>
      <c r="F868" s="1" t="s">
        <v>30</v>
      </c>
      <c r="G868" s="1" t="s">
        <v>24</v>
      </c>
      <c r="H868" s="1">
        <v>1</v>
      </c>
      <c r="I868" s="1" t="s">
        <v>577</v>
      </c>
      <c r="J868" s="1"/>
      <c r="K868" s="1">
        <v>539000000</v>
      </c>
      <c r="L868" s="1">
        <v>0</v>
      </c>
      <c r="M868" s="1">
        <v>0</v>
      </c>
      <c r="N868" s="1">
        <v>59290000</v>
      </c>
      <c r="O868" s="1">
        <v>0</v>
      </c>
      <c r="P868" s="1">
        <v>0</v>
      </c>
      <c r="Q868" s="1">
        <v>0</v>
      </c>
      <c r="R868" s="1">
        <v>598290000</v>
      </c>
      <c r="S868" s="1">
        <v>254000000</v>
      </c>
      <c r="T868" s="1">
        <v>0</v>
      </c>
      <c r="U868" t="str">
        <f t="shared" si="13"/>
        <v>Week 4</v>
      </c>
    </row>
    <row r="869" spans="1:21" x14ac:dyDescent="0.25">
      <c r="A869" s="1">
        <v>868</v>
      </c>
      <c r="B869" s="1" t="s">
        <v>578</v>
      </c>
      <c r="C869" s="2">
        <v>46080</v>
      </c>
      <c r="D869" s="1" t="s">
        <v>37</v>
      </c>
      <c r="E869" s="1" t="s">
        <v>38</v>
      </c>
      <c r="F869" s="1" t="s">
        <v>30</v>
      </c>
      <c r="G869" s="1" t="s">
        <v>24</v>
      </c>
      <c r="H869" s="1">
        <v>1</v>
      </c>
      <c r="I869" s="1" t="s">
        <v>579</v>
      </c>
      <c r="J869" s="1"/>
      <c r="K869" s="1">
        <v>6494150</v>
      </c>
      <c r="L869" s="1">
        <v>0</v>
      </c>
      <c r="M869" s="1">
        <v>0</v>
      </c>
      <c r="N869" s="1">
        <v>714356.5</v>
      </c>
      <c r="O869" s="1">
        <v>0</v>
      </c>
      <c r="P869" s="1">
        <v>0</v>
      </c>
      <c r="Q869" s="1">
        <v>0</v>
      </c>
      <c r="R869" s="1">
        <v>7208506.5</v>
      </c>
      <c r="S869" s="1">
        <v>187844</v>
      </c>
      <c r="T869" s="1">
        <v>2.8925109521646002</v>
      </c>
      <c r="U869" t="str">
        <f t="shared" si="13"/>
        <v>Week 4</v>
      </c>
    </row>
    <row r="870" spans="1:21" x14ac:dyDescent="0.25">
      <c r="A870" s="1">
        <v>869</v>
      </c>
      <c r="B870" s="1" t="s">
        <v>580</v>
      </c>
      <c r="C870" s="2">
        <v>46080</v>
      </c>
      <c r="D870" s="1" t="s">
        <v>202</v>
      </c>
      <c r="E870" s="1" t="s">
        <v>203</v>
      </c>
      <c r="F870" s="1" t="s">
        <v>23</v>
      </c>
      <c r="G870" s="1" t="s">
        <v>24</v>
      </c>
      <c r="H870" s="1">
        <v>1</v>
      </c>
      <c r="I870" s="1" t="s">
        <v>581</v>
      </c>
      <c r="J870" s="1" t="s">
        <v>26</v>
      </c>
      <c r="K870" s="1">
        <v>1930000</v>
      </c>
      <c r="L870" s="1">
        <v>0</v>
      </c>
      <c r="M870" s="1">
        <v>0</v>
      </c>
      <c r="N870" s="1">
        <v>212300</v>
      </c>
      <c r="O870" s="1">
        <v>0</v>
      </c>
      <c r="P870" s="1">
        <v>0</v>
      </c>
      <c r="Q870" s="1">
        <v>0</v>
      </c>
      <c r="R870" s="1">
        <v>2142300</v>
      </c>
      <c r="S870" s="1">
        <v>641713</v>
      </c>
      <c r="T870" s="1">
        <v>33.249378238341997</v>
      </c>
      <c r="U870" t="str">
        <f t="shared" si="13"/>
        <v>Week 4</v>
      </c>
    </row>
    <row r="871" spans="1:21" x14ac:dyDescent="0.25">
      <c r="A871" s="1">
        <v>870</v>
      </c>
      <c r="B871" s="1" t="s">
        <v>583</v>
      </c>
      <c r="C871" s="2">
        <v>46079</v>
      </c>
      <c r="D871" s="1" t="s">
        <v>37</v>
      </c>
      <c r="E871" s="1" t="s">
        <v>38</v>
      </c>
      <c r="F871" s="1" t="s">
        <v>30</v>
      </c>
      <c r="G871" s="1" t="s">
        <v>24</v>
      </c>
      <c r="H871" s="1">
        <v>1</v>
      </c>
      <c r="I871" s="1" t="s">
        <v>276</v>
      </c>
      <c r="J871" s="1"/>
      <c r="K871" s="1">
        <v>5332843.8</v>
      </c>
      <c r="L871" s="1">
        <v>0</v>
      </c>
      <c r="M871" s="1">
        <v>0</v>
      </c>
      <c r="N871" s="1">
        <v>586612.81799999997</v>
      </c>
      <c r="O871" s="1">
        <v>0</v>
      </c>
      <c r="P871" s="1">
        <v>0</v>
      </c>
      <c r="Q871" s="1">
        <v>0</v>
      </c>
      <c r="R871" s="1">
        <v>5919456.6179999998</v>
      </c>
      <c r="S871" s="1">
        <v>1264945.3135142999</v>
      </c>
      <c r="T871" s="1">
        <v>23.719901818882001</v>
      </c>
      <c r="U871" t="str">
        <f t="shared" si="13"/>
        <v>Week 4</v>
      </c>
    </row>
    <row r="872" spans="1:21" x14ac:dyDescent="0.25">
      <c r="A872" s="1">
        <v>871</v>
      </c>
      <c r="B872" s="1" t="s">
        <v>2223</v>
      </c>
      <c r="C872" s="2">
        <v>46079</v>
      </c>
      <c r="D872" s="1" t="s">
        <v>2210</v>
      </c>
      <c r="E872" s="1" t="s">
        <v>192</v>
      </c>
      <c r="F872" s="1" t="s">
        <v>30</v>
      </c>
      <c r="G872" s="1" t="s">
        <v>24</v>
      </c>
      <c r="H872" s="1">
        <v>1</v>
      </c>
      <c r="I872" s="1" t="s">
        <v>2224</v>
      </c>
      <c r="J872" s="1" t="s">
        <v>56</v>
      </c>
      <c r="K872" s="1">
        <v>460997728</v>
      </c>
      <c r="L872" s="1">
        <v>0</v>
      </c>
      <c r="M872" s="1">
        <v>0</v>
      </c>
      <c r="N872" s="1">
        <v>50709750.079999998</v>
      </c>
      <c r="O872" s="1">
        <v>0</v>
      </c>
      <c r="P872" s="1">
        <v>0</v>
      </c>
      <c r="Q872" s="1">
        <v>0</v>
      </c>
      <c r="R872" s="1">
        <v>511707478.07999998</v>
      </c>
      <c r="S872" s="1">
        <v>54502228</v>
      </c>
      <c r="T872" s="1">
        <v>11.822667377658</v>
      </c>
      <c r="U872" t="str">
        <f t="shared" si="13"/>
        <v>Week 4</v>
      </c>
    </row>
    <row r="873" spans="1:21" x14ac:dyDescent="0.25">
      <c r="A873" s="1">
        <v>872</v>
      </c>
      <c r="B873" s="1" t="s">
        <v>584</v>
      </c>
      <c r="C873" s="2">
        <v>46079</v>
      </c>
      <c r="D873" s="1" t="s">
        <v>53</v>
      </c>
      <c r="E873" s="1" t="s">
        <v>54</v>
      </c>
      <c r="F873" s="1" t="s">
        <v>30</v>
      </c>
      <c r="G873" s="1" t="s">
        <v>24</v>
      </c>
      <c r="H873" s="1">
        <v>1</v>
      </c>
      <c r="I873" s="1" t="s">
        <v>585</v>
      </c>
      <c r="J873" s="1"/>
      <c r="K873" s="1">
        <v>224025000</v>
      </c>
      <c r="L873" s="1">
        <v>0</v>
      </c>
      <c r="M873" s="1">
        <v>0</v>
      </c>
      <c r="N873" s="1">
        <v>24642750</v>
      </c>
      <c r="O873" s="1">
        <v>0</v>
      </c>
      <c r="P873" s="1">
        <v>0</v>
      </c>
      <c r="Q873" s="1">
        <v>0</v>
      </c>
      <c r="R873" s="1">
        <v>248667750</v>
      </c>
      <c r="S873" s="1">
        <v>19025000</v>
      </c>
      <c r="T873" s="1">
        <v>8.4923557638656</v>
      </c>
      <c r="U873" t="str">
        <f t="shared" si="13"/>
        <v>Week 4</v>
      </c>
    </row>
    <row r="874" spans="1:21" x14ac:dyDescent="0.25">
      <c r="A874" s="1">
        <v>873</v>
      </c>
      <c r="B874" s="1" t="s">
        <v>586</v>
      </c>
      <c r="C874" s="2">
        <v>46079</v>
      </c>
      <c r="D874" s="1" t="s">
        <v>21</v>
      </c>
      <c r="E874" s="1" t="s">
        <v>22</v>
      </c>
      <c r="F874" s="1" t="s">
        <v>30</v>
      </c>
      <c r="G874" s="1" t="s">
        <v>24</v>
      </c>
      <c r="H874" s="1">
        <v>1</v>
      </c>
      <c r="I874" s="1" t="s">
        <v>587</v>
      </c>
      <c r="J874" s="1" t="s">
        <v>366</v>
      </c>
      <c r="K874" s="1">
        <v>3457016512</v>
      </c>
      <c r="L874" s="1">
        <v>0</v>
      </c>
      <c r="M874" s="1">
        <v>0</v>
      </c>
      <c r="N874" s="1">
        <v>380271816.31999999</v>
      </c>
      <c r="O874" s="1">
        <v>0</v>
      </c>
      <c r="P874" s="1">
        <v>0</v>
      </c>
      <c r="Q874" s="1">
        <v>0</v>
      </c>
      <c r="R874" s="1">
        <v>3837288328.3200002</v>
      </c>
      <c r="S874" s="1">
        <v>100689412.7</v>
      </c>
      <c r="T874" s="1">
        <v>2.9126101177269001</v>
      </c>
      <c r="U874" t="str">
        <f t="shared" si="13"/>
        <v>Week 4</v>
      </c>
    </row>
    <row r="875" spans="1:21" x14ac:dyDescent="0.25">
      <c r="A875" s="1">
        <v>874</v>
      </c>
      <c r="B875" s="1" t="s">
        <v>588</v>
      </c>
      <c r="C875" s="2">
        <v>46079</v>
      </c>
      <c r="D875" s="1" t="s">
        <v>37</v>
      </c>
      <c r="E875" s="1" t="s">
        <v>38</v>
      </c>
      <c r="F875" s="1" t="s">
        <v>30</v>
      </c>
      <c r="G875" s="1" t="s">
        <v>24</v>
      </c>
      <c r="H875" s="1">
        <v>1</v>
      </c>
      <c r="I875" s="1" t="s">
        <v>589</v>
      </c>
      <c r="J875" s="1"/>
      <c r="K875" s="1">
        <v>3234000</v>
      </c>
      <c r="L875" s="1">
        <v>0</v>
      </c>
      <c r="M875" s="1">
        <v>0</v>
      </c>
      <c r="N875" s="1">
        <v>355740</v>
      </c>
      <c r="O875" s="1">
        <v>0</v>
      </c>
      <c r="P875" s="1">
        <v>0</v>
      </c>
      <c r="Q875" s="1">
        <v>0</v>
      </c>
      <c r="R875" s="1">
        <v>3589740</v>
      </c>
      <c r="S875" s="1">
        <v>33000</v>
      </c>
      <c r="T875" s="1">
        <v>1.0204081632652999</v>
      </c>
      <c r="U875" t="str">
        <f t="shared" si="13"/>
        <v>Week 4</v>
      </c>
    </row>
    <row r="876" spans="1:21" x14ac:dyDescent="0.25">
      <c r="A876" s="1">
        <v>875</v>
      </c>
      <c r="B876" s="1" t="s">
        <v>590</v>
      </c>
      <c r="C876" s="2">
        <v>46079</v>
      </c>
      <c r="D876" s="1" t="s">
        <v>202</v>
      </c>
      <c r="E876" s="1" t="s">
        <v>203</v>
      </c>
      <c r="F876" s="1" t="s">
        <v>23</v>
      </c>
      <c r="G876" s="1" t="s">
        <v>24</v>
      </c>
      <c r="H876" s="1">
        <v>1</v>
      </c>
      <c r="I876" s="1" t="s">
        <v>591</v>
      </c>
      <c r="J876" s="1" t="s">
        <v>26</v>
      </c>
      <c r="K876" s="1">
        <v>10385996.08</v>
      </c>
      <c r="L876" s="1">
        <v>0</v>
      </c>
      <c r="M876" s="1">
        <v>0</v>
      </c>
      <c r="N876" s="1">
        <v>1142459.5688</v>
      </c>
      <c r="O876" s="1">
        <v>0</v>
      </c>
      <c r="P876" s="1">
        <v>0</v>
      </c>
      <c r="Q876" s="1">
        <v>0</v>
      </c>
      <c r="R876" s="1">
        <v>11528455.648800001</v>
      </c>
      <c r="S876" s="1">
        <v>4755496.08</v>
      </c>
      <c r="T876" s="1">
        <v>45.787578229087998</v>
      </c>
      <c r="U876" t="str">
        <f t="shared" si="13"/>
        <v>Week 4</v>
      </c>
    </row>
    <row r="877" spans="1:21" x14ac:dyDescent="0.25">
      <c r="A877" s="1">
        <v>876</v>
      </c>
      <c r="B877" s="1" t="s">
        <v>592</v>
      </c>
      <c r="C877" s="2">
        <v>46079</v>
      </c>
      <c r="D877" s="1" t="s">
        <v>33</v>
      </c>
      <c r="E877" s="1" t="s">
        <v>38</v>
      </c>
      <c r="F877" s="1" t="s">
        <v>30</v>
      </c>
      <c r="G877" s="1" t="s">
        <v>24</v>
      </c>
      <c r="H877" s="1">
        <v>1</v>
      </c>
      <c r="I877" s="1" t="s">
        <v>593</v>
      </c>
      <c r="J877" s="1"/>
      <c r="K877" s="1">
        <v>38916356</v>
      </c>
      <c r="L877" s="1">
        <v>0</v>
      </c>
      <c r="M877" s="1">
        <v>0</v>
      </c>
      <c r="N877" s="1">
        <v>4280799.16</v>
      </c>
      <c r="O877" s="1">
        <v>0</v>
      </c>
      <c r="P877" s="1">
        <v>0</v>
      </c>
      <c r="Q877" s="1">
        <v>0</v>
      </c>
      <c r="R877" s="1">
        <v>43197155.159999996</v>
      </c>
      <c r="S877" s="1">
        <v>6580691</v>
      </c>
      <c r="T877" s="1">
        <v>16.909833490063001</v>
      </c>
      <c r="U877" t="str">
        <f t="shared" si="13"/>
        <v>Week 4</v>
      </c>
    </row>
    <row r="878" spans="1:21" x14ac:dyDescent="0.25">
      <c r="A878" s="1">
        <v>877</v>
      </c>
      <c r="B878" s="1" t="s">
        <v>594</v>
      </c>
      <c r="C878" s="2">
        <v>46079</v>
      </c>
      <c r="D878" s="1" t="s">
        <v>33</v>
      </c>
      <c r="E878" s="1" t="s">
        <v>34</v>
      </c>
      <c r="F878" s="1" t="s">
        <v>30</v>
      </c>
      <c r="G878" s="1" t="s">
        <v>24</v>
      </c>
      <c r="H878" s="1">
        <v>1</v>
      </c>
      <c r="I878" s="1" t="s">
        <v>595</v>
      </c>
      <c r="J878" s="1"/>
      <c r="K878" s="1">
        <v>16066979</v>
      </c>
      <c r="L878" s="1">
        <v>0</v>
      </c>
      <c r="M878" s="1">
        <v>0</v>
      </c>
      <c r="N878" s="1">
        <v>1767367.69</v>
      </c>
      <c r="O878" s="1">
        <v>0</v>
      </c>
      <c r="P878" s="1">
        <v>0</v>
      </c>
      <c r="Q878" s="1">
        <v>0</v>
      </c>
      <c r="R878" s="1">
        <v>17834346.690000001</v>
      </c>
      <c r="S878" s="1">
        <v>-353021</v>
      </c>
      <c r="T878" s="1">
        <v>-2.1971834281976999</v>
      </c>
      <c r="U878" t="str">
        <f t="shared" si="13"/>
        <v>Week 4</v>
      </c>
    </row>
    <row r="879" spans="1:21" x14ac:dyDescent="0.25">
      <c r="A879" s="1">
        <v>878</v>
      </c>
      <c r="B879" s="1" t="s">
        <v>596</v>
      </c>
      <c r="C879" s="2">
        <v>46079</v>
      </c>
      <c r="D879" s="1" t="s">
        <v>53</v>
      </c>
      <c r="E879" s="1" t="s">
        <v>54</v>
      </c>
      <c r="F879" s="1" t="s">
        <v>30</v>
      </c>
      <c r="G879" s="1" t="s">
        <v>24</v>
      </c>
      <c r="H879" s="1">
        <v>1</v>
      </c>
      <c r="I879" s="1" t="s">
        <v>597</v>
      </c>
      <c r="J879" s="1"/>
      <c r="K879" s="1">
        <v>10876800</v>
      </c>
      <c r="L879" s="1">
        <v>0</v>
      </c>
      <c r="M879" s="1">
        <v>0</v>
      </c>
      <c r="N879" s="1">
        <v>1196448</v>
      </c>
      <c r="O879" s="1">
        <v>0</v>
      </c>
      <c r="P879" s="1">
        <v>0</v>
      </c>
      <c r="Q879" s="1">
        <v>0</v>
      </c>
      <c r="R879" s="1">
        <v>12073248</v>
      </c>
      <c r="S879" s="1">
        <v>-986533.32</v>
      </c>
      <c r="T879" s="1">
        <v>-9.0700695057370009</v>
      </c>
      <c r="U879" t="str">
        <f t="shared" si="13"/>
        <v>Week 4</v>
      </c>
    </row>
    <row r="880" spans="1:21" x14ac:dyDescent="0.25">
      <c r="A880" s="1">
        <v>879</v>
      </c>
      <c r="B880" s="1" t="s">
        <v>598</v>
      </c>
      <c r="C880" s="2">
        <v>46079</v>
      </c>
      <c r="D880" s="1" t="s">
        <v>98</v>
      </c>
      <c r="E880" s="1" t="s">
        <v>99</v>
      </c>
      <c r="F880" s="1" t="s">
        <v>23</v>
      </c>
      <c r="G880" s="1" t="s">
        <v>24</v>
      </c>
      <c r="H880" s="1">
        <v>1</v>
      </c>
      <c r="I880" s="1" t="s">
        <v>599</v>
      </c>
      <c r="J880" s="1"/>
      <c r="K880" s="1">
        <v>152464000</v>
      </c>
      <c r="L880" s="1">
        <v>0</v>
      </c>
      <c r="M880" s="1">
        <v>0</v>
      </c>
      <c r="N880" s="1">
        <v>16771040</v>
      </c>
      <c r="O880" s="1">
        <v>0</v>
      </c>
      <c r="P880" s="1">
        <v>0</v>
      </c>
      <c r="Q880" s="1">
        <v>0</v>
      </c>
      <c r="R880" s="1">
        <v>169235040</v>
      </c>
      <c r="S880" s="1">
        <v>34741600</v>
      </c>
      <c r="T880" s="1">
        <v>22.786756217861001</v>
      </c>
      <c r="U880" t="str">
        <f t="shared" si="13"/>
        <v>Week 4</v>
      </c>
    </row>
    <row r="881" spans="1:21" x14ac:dyDescent="0.25">
      <c r="A881" s="1">
        <v>880</v>
      </c>
      <c r="B881" s="1" t="s">
        <v>600</v>
      </c>
      <c r="C881" s="2">
        <v>46079</v>
      </c>
      <c r="D881" s="1" t="s">
        <v>21</v>
      </c>
      <c r="E881" s="1" t="s">
        <v>22</v>
      </c>
      <c r="F881" s="1" t="s">
        <v>30</v>
      </c>
      <c r="G881" s="1" t="s">
        <v>24</v>
      </c>
      <c r="H881" s="1">
        <v>1</v>
      </c>
      <c r="I881" s="1" t="s">
        <v>601</v>
      </c>
      <c r="J881" s="1" t="s">
        <v>26</v>
      </c>
      <c r="K881" s="1">
        <v>20580000</v>
      </c>
      <c r="L881" s="1">
        <v>0</v>
      </c>
      <c r="M881" s="1">
        <v>0</v>
      </c>
      <c r="N881" s="1">
        <v>2263800</v>
      </c>
      <c r="O881" s="1">
        <v>0</v>
      </c>
      <c r="P881" s="1">
        <v>0</v>
      </c>
      <c r="Q881" s="1">
        <v>0</v>
      </c>
      <c r="R881" s="1">
        <v>22843800</v>
      </c>
      <c r="S881" s="1">
        <v>2080000</v>
      </c>
      <c r="T881" s="1">
        <v>10.106899902818</v>
      </c>
      <c r="U881" t="str">
        <f t="shared" si="13"/>
        <v>Week 4</v>
      </c>
    </row>
    <row r="882" spans="1:21" x14ac:dyDescent="0.25">
      <c r="A882" s="1">
        <v>881</v>
      </c>
      <c r="B882" s="1" t="s">
        <v>602</v>
      </c>
      <c r="C882" s="2">
        <v>46079</v>
      </c>
      <c r="D882" s="1" t="s">
        <v>53</v>
      </c>
      <c r="E882" s="1" t="s">
        <v>54</v>
      </c>
      <c r="F882" s="1" t="s">
        <v>30</v>
      </c>
      <c r="G882" s="1" t="s">
        <v>24</v>
      </c>
      <c r="H882" s="1">
        <v>1</v>
      </c>
      <c r="I882" s="1" t="s">
        <v>603</v>
      </c>
      <c r="J882" s="1"/>
      <c r="K882" s="1">
        <v>33990000</v>
      </c>
      <c r="L882" s="1">
        <v>0</v>
      </c>
      <c r="M882" s="1">
        <v>0</v>
      </c>
      <c r="N882" s="1">
        <v>3738900</v>
      </c>
      <c r="O882" s="1">
        <v>0</v>
      </c>
      <c r="P882" s="1">
        <v>0</v>
      </c>
      <c r="Q882" s="1">
        <v>0</v>
      </c>
      <c r="R882" s="1">
        <v>37728900</v>
      </c>
      <c r="S882" s="1">
        <v>5190000</v>
      </c>
      <c r="T882" s="1">
        <v>15.269196822594999</v>
      </c>
      <c r="U882" t="str">
        <f t="shared" si="13"/>
        <v>Week 4</v>
      </c>
    </row>
    <row r="883" spans="1:21" x14ac:dyDescent="0.25">
      <c r="A883" s="1">
        <v>882</v>
      </c>
      <c r="B883" s="1" t="s">
        <v>604</v>
      </c>
      <c r="C883" s="2">
        <v>46079</v>
      </c>
      <c r="D883" s="1" t="s">
        <v>33</v>
      </c>
      <c r="E883" s="1" t="s">
        <v>34</v>
      </c>
      <c r="F883" s="1" t="s">
        <v>30</v>
      </c>
      <c r="G883" s="1" t="s">
        <v>24</v>
      </c>
      <c r="H883" s="1">
        <v>1</v>
      </c>
      <c r="I883" s="1" t="s">
        <v>605</v>
      </c>
      <c r="J883" s="1"/>
      <c r="K883" s="1">
        <v>18420381</v>
      </c>
      <c r="L883" s="1">
        <v>0</v>
      </c>
      <c r="M883" s="1">
        <v>0</v>
      </c>
      <c r="N883" s="1">
        <v>2026241.91</v>
      </c>
      <c r="O883" s="1">
        <v>0</v>
      </c>
      <c r="P883" s="1">
        <v>0</v>
      </c>
      <c r="Q883" s="1">
        <v>0</v>
      </c>
      <c r="R883" s="1">
        <v>20446622.91</v>
      </c>
      <c r="S883" s="1">
        <v>5324227.0464864997</v>
      </c>
      <c r="T883" s="1">
        <v>28.904000663647999</v>
      </c>
      <c r="U883" t="str">
        <f t="shared" si="13"/>
        <v>Week 4</v>
      </c>
    </row>
    <row r="884" spans="1:21" x14ac:dyDescent="0.25">
      <c r="A884" s="1">
        <v>883</v>
      </c>
      <c r="B884" s="1" t="s">
        <v>606</v>
      </c>
      <c r="C884" s="2">
        <v>46079</v>
      </c>
      <c r="D884" s="1" t="s">
        <v>112</v>
      </c>
      <c r="E884" s="1" t="s">
        <v>38</v>
      </c>
      <c r="F884" s="1" t="s">
        <v>30</v>
      </c>
      <c r="G884" s="1" t="s">
        <v>24</v>
      </c>
      <c r="H884" s="1">
        <v>1</v>
      </c>
      <c r="I884" s="1" t="s">
        <v>607</v>
      </c>
      <c r="J884" s="1"/>
      <c r="K884" s="1">
        <v>11916800</v>
      </c>
      <c r="L884" s="1">
        <v>0</v>
      </c>
      <c r="M884" s="1">
        <v>0</v>
      </c>
      <c r="N884" s="1">
        <v>1310848</v>
      </c>
      <c r="O884" s="1">
        <v>0</v>
      </c>
      <c r="P884" s="1">
        <v>0</v>
      </c>
      <c r="Q884" s="1">
        <v>0</v>
      </c>
      <c r="R884" s="1">
        <v>13227648</v>
      </c>
      <c r="S884" s="1">
        <v>9692708</v>
      </c>
      <c r="T884" s="1">
        <v>81.336499731472003</v>
      </c>
      <c r="U884" t="str">
        <f t="shared" si="13"/>
        <v>Week 4</v>
      </c>
    </row>
    <row r="885" spans="1:21" x14ac:dyDescent="0.25">
      <c r="A885" s="1">
        <v>884</v>
      </c>
      <c r="B885" s="1" t="s">
        <v>608</v>
      </c>
      <c r="C885" s="2">
        <v>46079</v>
      </c>
      <c r="D885" s="1" t="s">
        <v>98</v>
      </c>
      <c r="E885" s="1" t="s">
        <v>99</v>
      </c>
      <c r="F885" s="1" t="s">
        <v>30</v>
      </c>
      <c r="G885" s="1" t="s">
        <v>24</v>
      </c>
      <c r="H885" s="1">
        <v>1</v>
      </c>
      <c r="I885" s="1" t="s">
        <v>609</v>
      </c>
      <c r="J885" s="1"/>
      <c r="K885" s="1">
        <v>76053288</v>
      </c>
      <c r="L885" s="1">
        <v>0</v>
      </c>
      <c r="M885" s="1">
        <v>0</v>
      </c>
      <c r="N885" s="1">
        <v>8365861.6799999997</v>
      </c>
      <c r="O885" s="1">
        <v>0</v>
      </c>
      <c r="P885" s="1">
        <v>0</v>
      </c>
      <c r="Q885" s="1">
        <v>0</v>
      </c>
      <c r="R885" s="1">
        <v>84419149.680000007</v>
      </c>
      <c r="S885" s="1">
        <v>22996480.855877999</v>
      </c>
      <c r="T885" s="1">
        <v>30.237326301892001</v>
      </c>
      <c r="U885" t="str">
        <f t="shared" si="13"/>
        <v>Week 4</v>
      </c>
    </row>
    <row r="886" spans="1:21" x14ac:dyDescent="0.25">
      <c r="A886" s="1">
        <v>885</v>
      </c>
      <c r="B886" s="1" t="s">
        <v>610</v>
      </c>
      <c r="C886" s="2">
        <v>46079</v>
      </c>
      <c r="D886" s="1" t="s">
        <v>169</v>
      </c>
      <c r="E886" s="1" t="s">
        <v>99</v>
      </c>
      <c r="F886" s="1" t="s">
        <v>23</v>
      </c>
      <c r="G886" s="1" t="s">
        <v>24</v>
      </c>
      <c r="H886" s="1">
        <v>1</v>
      </c>
      <c r="I886" s="1" t="s">
        <v>611</v>
      </c>
      <c r="J886" s="1"/>
      <c r="K886" s="1">
        <v>274336000</v>
      </c>
      <c r="L886" s="1">
        <v>0</v>
      </c>
      <c r="M886" s="1">
        <v>0</v>
      </c>
      <c r="N886" s="1">
        <v>30176960</v>
      </c>
      <c r="O886" s="1">
        <v>0</v>
      </c>
      <c r="P886" s="1">
        <v>0</v>
      </c>
      <c r="Q886" s="1">
        <v>0</v>
      </c>
      <c r="R886" s="1">
        <v>304512960</v>
      </c>
      <c r="S886" s="1">
        <v>58324000</v>
      </c>
      <c r="T886" s="1">
        <v>21.260060655545999</v>
      </c>
      <c r="U886" t="str">
        <f t="shared" si="13"/>
        <v>Week 4</v>
      </c>
    </row>
    <row r="887" spans="1:21" x14ac:dyDescent="0.25">
      <c r="A887" s="1">
        <v>886</v>
      </c>
      <c r="B887" s="1" t="s">
        <v>612</v>
      </c>
      <c r="C887" s="2">
        <v>46079</v>
      </c>
      <c r="D887" s="1" t="s">
        <v>53</v>
      </c>
      <c r="E887" s="1" t="s">
        <v>54</v>
      </c>
      <c r="F887" s="1" t="s">
        <v>30</v>
      </c>
      <c r="G887" s="1" t="s">
        <v>24</v>
      </c>
      <c r="H887" s="1">
        <v>1</v>
      </c>
      <c r="I887" s="1" t="s">
        <v>613</v>
      </c>
      <c r="J887" s="1"/>
      <c r="K887" s="1">
        <v>1794200</v>
      </c>
      <c r="L887" s="1">
        <v>0</v>
      </c>
      <c r="M887" s="1">
        <v>0</v>
      </c>
      <c r="N887" s="1">
        <v>197362</v>
      </c>
      <c r="O887" s="1">
        <v>0</v>
      </c>
      <c r="P887" s="1">
        <v>0</v>
      </c>
      <c r="Q887" s="1">
        <v>0</v>
      </c>
      <c r="R887" s="1">
        <v>1991562</v>
      </c>
      <c r="S887" s="1">
        <v>237200</v>
      </c>
      <c r="T887" s="1">
        <v>13.220376769591001</v>
      </c>
      <c r="U887" t="str">
        <f t="shared" si="13"/>
        <v>Week 4</v>
      </c>
    </row>
    <row r="888" spans="1:21" x14ac:dyDescent="0.25">
      <c r="A888" s="1">
        <v>887</v>
      </c>
      <c r="B888" s="1" t="s">
        <v>614</v>
      </c>
      <c r="C888" s="2">
        <v>46079</v>
      </c>
      <c r="D888" s="1" t="s">
        <v>21</v>
      </c>
      <c r="E888" s="1" t="s">
        <v>22</v>
      </c>
      <c r="F888" s="1" t="s">
        <v>30</v>
      </c>
      <c r="G888" s="1" t="s">
        <v>24</v>
      </c>
      <c r="H888" s="1">
        <v>1</v>
      </c>
      <c r="I888" s="1" t="s">
        <v>615</v>
      </c>
      <c r="J888" s="1" t="s">
        <v>26</v>
      </c>
      <c r="K888" s="1">
        <v>9561060</v>
      </c>
      <c r="L888" s="1">
        <v>0</v>
      </c>
      <c r="M888" s="1">
        <v>0</v>
      </c>
      <c r="N888" s="1">
        <v>1051716.6000000001</v>
      </c>
      <c r="O888" s="1">
        <v>0</v>
      </c>
      <c r="P888" s="1">
        <v>0</v>
      </c>
      <c r="Q888" s="1">
        <v>0</v>
      </c>
      <c r="R888" s="1">
        <v>10612776.6</v>
      </c>
      <c r="S888" s="1">
        <v>531153</v>
      </c>
      <c r="T888" s="1">
        <v>5.5553777510025002</v>
      </c>
      <c r="U888" t="str">
        <f t="shared" si="13"/>
        <v>Week 4</v>
      </c>
    </row>
    <row r="889" spans="1:21" x14ac:dyDescent="0.25">
      <c r="A889" s="1">
        <v>888</v>
      </c>
      <c r="B889" s="1" t="s">
        <v>616</v>
      </c>
      <c r="C889" s="2">
        <v>46079</v>
      </c>
      <c r="D889" s="1" t="s">
        <v>21</v>
      </c>
      <c r="E889" s="1" t="s">
        <v>22</v>
      </c>
      <c r="F889" s="1" t="s">
        <v>30</v>
      </c>
      <c r="G889" s="1" t="s">
        <v>24</v>
      </c>
      <c r="H889" s="1">
        <v>1</v>
      </c>
      <c r="I889" s="1" t="s">
        <v>617</v>
      </c>
      <c r="J889" s="1" t="s">
        <v>26</v>
      </c>
      <c r="K889" s="1">
        <v>22579852</v>
      </c>
      <c r="L889" s="1">
        <v>0</v>
      </c>
      <c r="M889" s="1">
        <v>0</v>
      </c>
      <c r="N889" s="1">
        <v>2483783.7200000002</v>
      </c>
      <c r="O889" s="1">
        <v>0</v>
      </c>
      <c r="P889" s="1">
        <v>0</v>
      </c>
      <c r="Q889" s="1">
        <v>0</v>
      </c>
      <c r="R889" s="1">
        <v>25063635.719999999</v>
      </c>
      <c r="S889" s="1">
        <v>590899.38</v>
      </c>
      <c r="T889" s="1">
        <v>2.6169320330354999</v>
      </c>
      <c r="U889" t="str">
        <f t="shared" si="13"/>
        <v>Week 4</v>
      </c>
    </row>
    <row r="890" spans="1:21" x14ac:dyDescent="0.25">
      <c r="A890" s="1">
        <v>889</v>
      </c>
      <c r="B890" s="1" t="s">
        <v>618</v>
      </c>
      <c r="C890" s="2">
        <v>46079</v>
      </c>
      <c r="D890" s="1" t="s">
        <v>112</v>
      </c>
      <c r="E890" s="1" t="s">
        <v>38</v>
      </c>
      <c r="F890" s="1" t="s">
        <v>30</v>
      </c>
      <c r="G890" s="1" t="s">
        <v>24</v>
      </c>
      <c r="H890" s="1">
        <v>1</v>
      </c>
      <c r="I890" s="1" t="s">
        <v>415</v>
      </c>
      <c r="J890" s="1"/>
      <c r="K890" s="1">
        <v>158105</v>
      </c>
      <c r="L890" s="1">
        <v>0</v>
      </c>
      <c r="M890" s="1">
        <v>0</v>
      </c>
      <c r="N890" s="1">
        <v>17391.55</v>
      </c>
      <c r="O890" s="1">
        <v>0</v>
      </c>
      <c r="P890" s="1">
        <v>0</v>
      </c>
      <c r="Q890" s="1">
        <v>0</v>
      </c>
      <c r="R890" s="1">
        <v>175496.55</v>
      </c>
      <c r="S890" s="1">
        <v>11736.85</v>
      </c>
      <c r="T890" s="1">
        <v>7.4234527687296001</v>
      </c>
      <c r="U890" t="str">
        <f t="shared" si="13"/>
        <v>Week 4</v>
      </c>
    </row>
    <row r="891" spans="1:21" x14ac:dyDescent="0.25">
      <c r="A891" s="1">
        <v>890</v>
      </c>
      <c r="B891" s="1" t="s">
        <v>619</v>
      </c>
      <c r="C891" s="2">
        <v>46079</v>
      </c>
      <c r="D891" s="1" t="s">
        <v>112</v>
      </c>
      <c r="E891" s="1" t="s">
        <v>38</v>
      </c>
      <c r="F891" s="1" t="s">
        <v>30</v>
      </c>
      <c r="G891" s="1" t="s">
        <v>24</v>
      </c>
      <c r="H891" s="1">
        <v>1</v>
      </c>
      <c r="I891" s="1" t="s">
        <v>620</v>
      </c>
      <c r="J891" s="1"/>
      <c r="K891" s="1">
        <v>1568000</v>
      </c>
      <c r="L891" s="1">
        <v>0</v>
      </c>
      <c r="M891" s="1">
        <v>0</v>
      </c>
      <c r="N891" s="1">
        <v>172480</v>
      </c>
      <c r="O891" s="1">
        <v>0</v>
      </c>
      <c r="P891" s="1">
        <v>0</v>
      </c>
      <c r="Q891" s="1">
        <v>0</v>
      </c>
      <c r="R891" s="1">
        <v>1740480</v>
      </c>
      <c r="S891" s="1">
        <v>1074000</v>
      </c>
      <c r="T891" s="1">
        <v>68.494897959184001</v>
      </c>
      <c r="U891" t="str">
        <f t="shared" si="13"/>
        <v>Week 4</v>
      </c>
    </row>
    <row r="892" spans="1:21" x14ac:dyDescent="0.25">
      <c r="A892" s="1">
        <v>891</v>
      </c>
      <c r="B892" s="1" t="s">
        <v>621</v>
      </c>
      <c r="C892" s="2">
        <v>46079</v>
      </c>
      <c r="D892" s="1" t="s">
        <v>349</v>
      </c>
      <c r="E892" s="1" t="s">
        <v>29</v>
      </c>
      <c r="F892" s="1" t="s">
        <v>30</v>
      </c>
      <c r="G892" s="1" t="s">
        <v>24</v>
      </c>
      <c r="H892" s="1">
        <v>1</v>
      </c>
      <c r="I892" s="1" t="s">
        <v>198</v>
      </c>
      <c r="J892" s="1"/>
      <c r="K892" s="1">
        <v>1225000</v>
      </c>
      <c r="L892" s="1">
        <v>0</v>
      </c>
      <c r="M892" s="1">
        <v>0</v>
      </c>
      <c r="N892" s="1">
        <v>134750</v>
      </c>
      <c r="O892" s="1">
        <v>0</v>
      </c>
      <c r="P892" s="1">
        <v>0</v>
      </c>
      <c r="Q892" s="1">
        <v>0</v>
      </c>
      <c r="R892" s="1">
        <v>1359750</v>
      </c>
      <c r="S892" s="1">
        <v>1225000</v>
      </c>
      <c r="T892" s="1">
        <v>0</v>
      </c>
      <c r="U892" t="str">
        <f t="shared" si="13"/>
        <v>Week 4</v>
      </c>
    </row>
    <row r="893" spans="1:21" x14ac:dyDescent="0.25">
      <c r="A893" s="1">
        <v>892</v>
      </c>
      <c r="B893" s="1" t="s">
        <v>622</v>
      </c>
      <c r="C893" s="2">
        <v>46079</v>
      </c>
      <c r="D893" s="1" t="s">
        <v>53</v>
      </c>
      <c r="E893" s="1" t="s">
        <v>54</v>
      </c>
      <c r="F893" s="1" t="s">
        <v>30</v>
      </c>
      <c r="G893" s="1" t="s">
        <v>24</v>
      </c>
      <c r="H893" s="1">
        <v>1</v>
      </c>
      <c r="I893" s="1" t="s">
        <v>623</v>
      </c>
      <c r="J893" s="1"/>
      <c r="K893" s="1">
        <v>43015875</v>
      </c>
      <c r="L893" s="1">
        <v>0</v>
      </c>
      <c r="M893" s="1">
        <v>0</v>
      </c>
      <c r="N893" s="1">
        <v>4731746.25</v>
      </c>
      <c r="O893" s="1">
        <v>0</v>
      </c>
      <c r="P893" s="1">
        <v>0</v>
      </c>
      <c r="Q893" s="1">
        <v>0</v>
      </c>
      <c r="R893" s="1">
        <v>47747621.25</v>
      </c>
      <c r="S893" s="1">
        <v>10981953.678679001</v>
      </c>
      <c r="T893" s="1">
        <v>25.530001839271002</v>
      </c>
      <c r="U893" t="str">
        <f t="shared" si="13"/>
        <v>Week 4</v>
      </c>
    </row>
    <row r="894" spans="1:21" x14ac:dyDescent="0.25">
      <c r="A894" s="1">
        <v>893</v>
      </c>
      <c r="B894" s="1" t="s">
        <v>624</v>
      </c>
      <c r="C894" s="2">
        <v>46079</v>
      </c>
      <c r="D894" s="1" t="s">
        <v>33</v>
      </c>
      <c r="E894" s="1" t="s">
        <v>34</v>
      </c>
      <c r="F894" s="1" t="s">
        <v>23</v>
      </c>
      <c r="G894" s="1" t="s">
        <v>24</v>
      </c>
      <c r="H894" s="1">
        <v>1</v>
      </c>
      <c r="I894" s="1" t="s">
        <v>625</v>
      </c>
      <c r="J894" s="1"/>
      <c r="K894" s="1">
        <v>283678813.25</v>
      </c>
      <c r="L894" s="1">
        <v>0</v>
      </c>
      <c r="M894" s="1">
        <v>0</v>
      </c>
      <c r="N894" s="1">
        <v>31204669.4575</v>
      </c>
      <c r="O894" s="1">
        <v>0</v>
      </c>
      <c r="P894" s="1">
        <v>0</v>
      </c>
      <c r="Q894" s="1">
        <v>0</v>
      </c>
      <c r="R894" s="1">
        <v>314883482.70749998</v>
      </c>
      <c r="S894" s="1">
        <v>83192759.195945993</v>
      </c>
      <c r="T894" s="1">
        <v>29.326391436441</v>
      </c>
      <c r="U894" t="str">
        <f t="shared" si="13"/>
        <v>Week 4</v>
      </c>
    </row>
    <row r="895" spans="1:21" x14ac:dyDescent="0.25">
      <c r="A895" s="1">
        <v>894</v>
      </c>
      <c r="B895" s="1" t="s">
        <v>626</v>
      </c>
      <c r="C895" s="2">
        <v>46079</v>
      </c>
      <c r="D895" s="1" t="s">
        <v>37</v>
      </c>
      <c r="E895" s="1" t="s">
        <v>38</v>
      </c>
      <c r="F895" s="1" t="s">
        <v>23</v>
      </c>
      <c r="G895" s="1" t="s">
        <v>24</v>
      </c>
      <c r="H895" s="1">
        <v>1</v>
      </c>
      <c r="I895" s="1" t="s">
        <v>627</v>
      </c>
      <c r="J895" s="1" t="s">
        <v>26</v>
      </c>
      <c r="K895" s="1">
        <v>4990000</v>
      </c>
      <c r="L895" s="1">
        <v>0</v>
      </c>
      <c r="M895" s="1">
        <v>0</v>
      </c>
      <c r="N895" s="1">
        <v>548900</v>
      </c>
      <c r="O895" s="1">
        <v>0</v>
      </c>
      <c r="P895" s="1">
        <v>0</v>
      </c>
      <c r="Q895" s="1">
        <v>0</v>
      </c>
      <c r="R895" s="1">
        <v>5538900</v>
      </c>
      <c r="S895" s="1">
        <v>952432.4</v>
      </c>
      <c r="T895" s="1">
        <v>19.086821643286999</v>
      </c>
      <c r="U895" t="str">
        <f t="shared" si="13"/>
        <v>Week 4</v>
      </c>
    </row>
    <row r="896" spans="1:21" x14ac:dyDescent="0.25">
      <c r="A896" s="1">
        <v>895</v>
      </c>
      <c r="B896" s="1" t="s">
        <v>628</v>
      </c>
      <c r="C896" s="2">
        <v>46079</v>
      </c>
      <c r="D896" s="1" t="s">
        <v>202</v>
      </c>
      <c r="E896" s="1" t="s">
        <v>203</v>
      </c>
      <c r="F896" s="1" t="s">
        <v>30</v>
      </c>
      <c r="G896" s="1" t="s">
        <v>24</v>
      </c>
      <c r="H896" s="1">
        <v>1</v>
      </c>
      <c r="I896" s="1" t="s">
        <v>479</v>
      </c>
      <c r="J896" s="1" t="s">
        <v>26</v>
      </c>
      <c r="K896" s="1">
        <v>5071500</v>
      </c>
      <c r="L896" s="1">
        <v>0</v>
      </c>
      <c r="M896" s="1">
        <v>0</v>
      </c>
      <c r="N896" s="1">
        <v>557865</v>
      </c>
      <c r="O896" s="1">
        <v>0</v>
      </c>
      <c r="P896" s="1">
        <v>0</v>
      </c>
      <c r="Q896" s="1">
        <v>0</v>
      </c>
      <c r="R896" s="1">
        <v>5629365</v>
      </c>
      <c r="S896" s="1">
        <v>931500</v>
      </c>
      <c r="T896" s="1">
        <v>18.367346938775999</v>
      </c>
      <c r="U896" t="str">
        <f t="shared" si="13"/>
        <v>Week 4</v>
      </c>
    </row>
    <row r="897" spans="1:21" x14ac:dyDescent="0.25">
      <c r="A897" s="1">
        <v>896</v>
      </c>
      <c r="B897" s="1" t="s">
        <v>629</v>
      </c>
      <c r="C897" s="2">
        <v>46079</v>
      </c>
      <c r="D897" s="1" t="s">
        <v>53</v>
      </c>
      <c r="E897" s="1" t="s">
        <v>54</v>
      </c>
      <c r="F897" s="1" t="s">
        <v>30</v>
      </c>
      <c r="G897" s="1" t="s">
        <v>24</v>
      </c>
      <c r="H897" s="1">
        <v>1</v>
      </c>
      <c r="I897" s="1" t="s">
        <v>630</v>
      </c>
      <c r="J897" s="1"/>
      <c r="K897" s="1">
        <v>6139700</v>
      </c>
      <c r="L897" s="1">
        <v>0</v>
      </c>
      <c r="M897" s="1">
        <v>0</v>
      </c>
      <c r="N897" s="1">
        <v>675367</v>
      </c>
      <c r="O897" s="1">
        <v>0</v>
      </c>
      <c r="P897" s="1">
        <v>0</v>
      </c>
      <c r="Q897" s="1">
        <v>0</v>
      </c>
      <c r="R897" s="1">
        <v>6815067</v>
      </c>
      <c r="S897" s="1">
        <v>970374.32432431995</v>
      </c>
      <c r="T897" s="1">
        <v>15.804914317056999</v>
      </c>
      <c r="U897" t="str">
        <f t="shared" si="13"/>
        <v>Week 4</v>
      </c>
    </row>
    <row r="898" spans="1:21" x14ac:dyDescent="0.25">
      <c r="A898" s="1">
        <v>897</v>
      </c>
      <c r="B898" s="1" t="s">
        <v>631</v>
      </c>
      <c r="C898" s="2">
        <v>46079</v>
      </c>
      <c r="D898" s="1" t="s">
        <v>53</v>
      </c>
      <c r="E898" s="1" t="s">
        <v>54</v>
      </c>
      <c r="F898" s="1" t="s">
        <v>30</v>
      </c>
      <c r="G898" s="1" t="s">
        <v>24</v>
      </c>
      <c r="H898" s="1">
        <v>1</v>
      </c>
      <c r="I898" s="1" t="s">
        <v>632</v>
      </c>
      <c r="J898" s="1"/>
      <c r="K898" s="1">
        <v>49440000</v>
      </c>
      <c r="L898" s="1">
        <v>0</v>
      </c>
      <c r="M898" s="1">
        <v>0</v>
      </c>
      <c r="N898" s="1">
        <v>5438400</v>
      </c>
      <c r="O898" s="1">
        <v>0</v>
      </c>
      <c r="P898" s="1">
        <v>0</v>
      </c>
      <c r="Q898" s="1">
        <v>0</v>
      </c>
      <c r="R898" s="1">
        <v>54878400</v>
      </c>
      <c r="S898" s="1">
        <v>9660400</v>
      </c>
      <c r="T898" s="1">
        <v>19.539644012945001</v>
      </c>
      <c r="U898" t="str">
        <f t="shared" si="13"/>
        <v>Week 4</v>
      </c>
    </row>
    <row r="899" spans="1:21" x14ac:dyDescent="0.25">
      <c r="A899" s="1">
        <v>898</v>
      </c>
      <c r="B899" s="1" t="s">
        <v>2225</v>
      </c>
      <c r="C899" s="2">
        <v>46078</v>
      </c>
      <c r="D899" s="1" t="s">
        <v>2210</v>
      </c>
      <c r="E899" s="1" t="s">
        <v>192</v>
      </c>
      <c r="F899" s="1" t="s">
        <v>23</v>
      </c>
      <c r="G899" s="1" t="s">
        <v>24</v>
      </c>
      <c r="H899" s="1">
        <v>1</v>
      </c>
      <c r="I899" s="1" t="s">
        <v>2226</v>
      </c>
      <c r="J899" s="1" t="s">
        <v>56</v>
      </c>
      <c r="K899" s="1">
        <v>1803697</v>
      </c>
      <c r="L899" s="1">
        <v>0</v>
      </c>
      <c r="M899" s="1">
        <v>0</v>
      </c>
      <c r="N899" s="1">
        <v>198406.67</v>
      </c>
      <c r="O899" s="1">
        <v>0</v>
      </c>
      <c r="P899" s="1">
        <v>0</v>
      </c>
      <c r="Q899" s="1">
        <v>0</v>
      </c>
      <c r="R899" s="1">
        <v>2002103.67</v>
      </c>
      <c r="S899" s="1">
        <v>-308235.88288289</v>
      </c>
      <c r="T899" s="1">
        <v>-17.089116569074001</v>
      </c>
      <c r="U899" t="str">
        <f t="shared" ref="U899:U962" si="14">"Week "&amp;IF(DAY(C899)&gt;=24,4,INT((DAY(C899)-1)/7)+1)</f>
        <v>Week 4</v>
      </c>
    </row>
    <row r="900" spans="1:21" x14ac:dyDescent="0.25">
      <c r="A900" s="1">
        <v>899</v>
      </c>
      <c r="B900" s="1" t="s">
        <v>633</v>
      </c>
      <c r="C900" s="2">
        <v>46078</v>
      </c>
      <c r="D900" s="1" t="s">
        <v>53</v>
      </c>
      <c r="E900" s="1" t="s">
        <v>54</v>
      </c>
      <c r="F900" s="1" t="s">
        <v>39</v>
      </c>
      <c r="G900" s="1" t="s">
        <v>24</v>
      </c>
      <c r="H900" s="1">
        <v>1</v>
      </c>
      <c r="I900" s="1" t="s">
        <v>302</v>
      </c>
      <c r="J900" s="1"/>
      <c r="K900" s="1">
        <v>6966750</v>
      </c>
      <c r="L900" s="1">
        <v>0</v>
      </c>
      <c r="M900" s="1">
        <v>0</v>
      </c>
      <c r="N900" s="1">
        <v>766342.5</v>
      </c>
      <c r="O900" s="1">
        <v>0</v>
      </c>
      <c r="P900" s="1">
        <v>0</v>
      </c>
      <c r="Q900" s="1">
        <v>0</v>
      </c>
      <c r="R900" s="1">
        <v>7733092.5</v>
      </c>
      <c r="S900" s="1">
        <v>2387470.7229729998</v>
      </c>
      <c r="T900" s="1">
        <v>34.269504761516998</v>
      </c>
      <c r="U900" t="str">
        <f t="shared" si="14"/>
        <v>Week 4</v>
      </c>
    </row>
    <row r="901" spans="1:21" x14ac:dyDescent="0.25">
      <c r="A901" s="1">
        <v>900</v>
      </c>
      <c r="B901" s="1" t="s">
        <v>634</v>
      </c>
      <c r="C901" s="2">
        <v>46078</v>
      </c>
      <c r="D901" s="1" t="s">
        <v>306</v>
      </c>
      <c r="E901" s="1" t="s">
        <v>99</v>
      </c>
      <c r="F901" s="1" t="s">
        <v>30</v>
      </c>
      <c r="G901" s="1" t="s">
        <v>24</v>
      </c>
      <c r="H901" s="1">
        <v>1</v>
      </c>
      <c r="I901" s="1" t="s">
        <v>635</v>
      </c>
      <c r="J901" s="1" t="s">
        <v>26</v>
      </c>
      <c r="K901" s="1">
        <v>882000</v>
      </c>
      <c r="L901" s="1">
        <v>0</v>
      </c>
      <c r="M901" s="1">
        <v>0</v>
      </c>
      <c r="N901" s="1">
        <v>97020</v>
      </c>
      <c r="O901" s="1">
        <v>0</v>
      </c>
      <c r="P901" s="1">
        <v>0</v>
      </c>
      <c r="Q901" s="1">
        <v>0</v>
      </c>
      <c r="R901" s="1">
        <v>979020</v>
      </c>
      <c r="S901" s="1">
        <v>467270.25</v>
      </c>
      <c r="T901" s="1">
        <v>52.978486394557997</v>
      </c>
      <c r="U901" t="str">
        <f t="shared" si="14"/>
        <v>Week 4</v>
      </c>
    </row>
    <row r="902" spans="1:21" x14ac:dyDescent="0.25">
      <c r="A902" s="1">
        <v>901</v>
      </c>
      <c r="B902" s="1" t="s">
        <v>636</v>
      </c>
      <c r="C902" s="2">
        <v>46078</v>
      </c>
      <c r="D902" s="1" t="s">
        <v>53</v>
      </c>
      <c r="E902" s="1" t="s">
        <v>54</v>
      </c>
      <c r="F902" s="1" t="s">
        <v>23</v>
      </c>
      <c r="G902" s="1" t="s">
        <v>24</v>
      </c>
      <c r="H902" s="1">
        <v>1</v>
      </c>
      <c r="I902" s="1" t="s">
        <v>302</v>
      </c>
      <c r="J902" s="1"/>
      <c r="K902" s="1">
        <v>3750000</v>
      </c>
      <c r="L902" s="1">
        <v>0</v>
      </c>
      <c r="M902" s="1">
        <v>0</v>
      </c>
      <c r="N902" s="1">
        <v>412500</v>
      </c>
      <c r="O902" s="1">
        <v>0</v>
      </c>
      <c r="P902" s="1">
        <v>0</v>
      </c>
      <c r="Q902" s="1">
        <v>0</v>
      </c>
      <c r="R902" s="1">
        <v>4162500</v>
      </c>
      <c r="S902" s="1">
        <v>3750000</v>
      </c>
      <c r="T902" s="1">
        <v>100</v>
      </c>
      <c r="U902" t="str">
        <f t="shared" si="14"/>
        <v>Week 4</v>
      </c>
    </row>
    <row r="903" spans="1:21" x14ac:dyDescent="0.25">
      <c r="A903" s="1">
        <v>902</v>
      </c>
      <c r="B903" s="1" t="s">
        <v>637</v>
      </c>
      <c r="C903" s="2">
        <v>46078</v>
      </c>
      <c r="D903" s="1" t="s">
        <v>33</v>
      </c>
      <c r="E903" s="1" t="s">
        <v>34</v>
      </c>
      <c r="F903" s="1" t="s">
        <v>30</v>
      </c>
      <c r="G903" s="1" t="s">
        <v>24</v>
      </c>
      <c r="H903" s="1">
        <v>1</v>
      </c>
      <c r="I903" s="1" t="s">
        <v>638</v>
      </c>
      <c r="J903" s="1"/>
      <c r="K903" s="1">
        <v>1885324</v>
      </c>
      <c r="L903" s="1">
        <v>0</v>
      </c>
      <c r="M903" s="1">
        <v>0</v>
      </c>
      <c r="N903" s="1">
        <v>207385.64</v>
      </c>
      <c r="O903" s="1">
        <v>0</v>
      </c>
      <c r="P903" s="1">
        <v>0</v>
      </c>
      <c r="Q903" s="1">
        <v>0</v>
      </c>
      <c r="R903" s="1">
        <v>2092709.64</v>
      </c>
      <c r="S903" s="1">
        <v>482588</v>
      </c>
      <c r="T903" s="1">
        <v>25.597085699857999</v>
      </c>
      <c r="U903" t="str">
        <f t="shared" si="14"/>
        <v>Week 4</v>
      </c>
    </row>
    <row r="904" spans="1:21" x14ac:dyDescent="0.25">
      <c r="A904" s="1">
        <v>903</v>
      </c>
      <c r="B904" s="1" t="s">
        <v>639</v>
      </c>
      <c r="C904" s="2">
        <v>46078</v>
      </c>
      <c r="D904" s="1" t="s">
        <v>202</v>
      </c>
      <c r="E904" s="1" t="s">
        <v>203</v>
      </c>
      <c r="F904" s="1" t="s">
        <v>260</v>
      </c>
      <c r="G904" s="1" t="s">
        <v>24</v>
      </c>
      <c r="H904" s="1">
        <v>1</v>
      </c>
      <c r="I904" s="1" t="s">
        <v>640</v>
      </c>
      <c r="J904" s="1" t="s">
        <v>26</v>
      </c>
      <c r="K904" s="1">
        <v>882280</v>
      </c>
      <c r="L904" s="1">
        <v>0</v>
      </c>
      <c r="M904" s="1">
        <v>0</v>
      </c>
      <c r="N904" s="1">
        <v>97050.8</v>
      </c>
      <c r="O904" s="1">
        <v>0</v>
      </c>
      <c r="P904" s="1">
        <v>0</v>
      </c>
      <c r="Q904" s="1">
        <v>0</v>
      </c>
      <c r="R904" s="1">
        <v>979330.8</v>
      </c>
      <c r="S904" s="1">
        <v>127280</v>
      </c>
      <c r="T904" s="1">
        <v>14.426259237429999</v>
      </c>
      <c r="U904" t="str">
        <f t="shared" si="14"/>
        <v>Week 4</v>
      </c>
    </row>
    <row r="905" spans="1:21" x14ac:dyDescent="0.25">
      <c r="A905" s="1">
        <v>904</v>
      </c>
      <c r="B905" s="1" t="s">
        <v>641</v>
      </c>
      <c r="C905" s="2">
        <v>46078</v>
      </c>
      <c r="D905" s="1" t="s">
        <v>33</v>
      </c>
      <c r="E905" s="1" t="s">
        <v>34</v>
      </c>
      <c r="F905" s="1" t="s">
        <v>30</v>
      </c>
      <c r="G905" s="1" t="s">
        <v>24</v>
      </c>
      <c r="H905" s="1">
        <v>1</v>
      </c>
      <c r="I905" s="1" t="s">
        <v>642</v>
      </c>
      <c r="J905" s="1"/>
      <c r="K905" s="1">
        <v>156800</v>
      </c>
      <c r="L905" s="1">
        <v>0</v>
      </c>
      <c r="M905" s="1">
        <v>0</v>
      </c>
      <c r="N905" s="1">
        <v>17248</v>
      </c>
      <c r="O905" s="1">
        <v>0</v>
      </c>
      <c r="P905" s="1">
        <v>0</v>
      </c>
      <c r="Q905" s="1">
        <v>0</v>
      </c>
      <c r="R905" s="1">
        <v>174048</v>
      </c>
      <c r="S905" s="1">
        <v>78380</v>
      </c>
      <c r="T905" s="1">
        <v>49.987244897959002</v>
      </c>
      <c r="U905" t="str">
        <f t="shared" si="14"/>
        <v>Week 4</v>
      </c>
    </row>
    <row r="906" spans="1:21" x14ac:dyDescent="0.25">
      <c r="A906" s="1">
        <v>905</v>
      </c>
      <c r="B906" s="1" t="s">
        <v>643</v>
      </c>
      <c r="C906" s="2">
        <v>46078</v>
      </c>
      <c r="D906" s="1" t="s">
        <v>33</v>
      </c>
      <c r="E906" s="1" t="s">
        <v>34</v>
      </c>
      <c r="F906" s="1" t="s">
        <v>30</v>
      </c>
      <c r="G906" s="1" t="s">
        <v>24</v>
      </c>
      <c r="H906" s="1">
        <v>1</v>
      </c>
      <c r="I906" s="1" t="s">
        <v>644</v>
      </c>
      <c r="J906" s="1"/>
      <c r="K906" s="1">
        <v>529200</v>
      </c>
      <c r="L906" s="1">
        <v>0</v>
      </c>
      <c r="M906" s="1">
        <v>0</v>
      </c>
      <c r="N906" s="1">
        <v>58212</v>
      </c>
      <c r="O906" s="1">
        <v>0</v>
      </c>
      <c r="P906" s="1">
        <v>0</v>
      </c>
      <c r="Q906" s="1">
        <v>0</v>
      </c>
      <c r="R906" s="1">
        <v>587412</v>
      </c>
      <c r="S906" s="1">
        <v>430300.90090091003</v>
      </c>
      <c r="T906" s="1">
        <v>81.311583692537994</v>
      </c>
      <c r="U906" t="str">
        <f t="shared" si="14"/>
        <v>Week 4</v>
      </c>
    </row>
    <row r="907" spans="1:21" x14ac:dyDescent="0.25">
      <c r="A907" s="1">
        <v>906</v>
      </c>
      <c r="B907" s="1" t="s">
        <v>645</v>
      </c>
      <c r="C907" s="2">
        <v>46078</v>
      </c>
      <c r="D907" s="1" t="s">
        <v>21</v>
      </c>
      <c r="E907" s="1" t="s">
        <v>22</v>
      </c>
      <c r="F907" s="1" t="s">
        <v>30</v>
      </c>
      <c r="G907" s="1" t="s">
        <v>24</v>
      </c>
      <c r="H907" s="1">
        <v>1</v>
      </c>
      <c r="I907" s="1" t="s">
        <v>646</v>
      </c>
      <c r="J907" s="1" t="s">
        <v>26</v>
      </c>
      <c r="K907" s="1">
        <v>20580000</v>
      </c>
      <c r="L907" s="1">
        <v>0</v>
      </c>
      <c r="M907" s="1">
        <v>0</v>
      </c>
      <c r="N907" s="1">
        <v>2263800</v>
      </c>
      <c r="O907" s="1">
        <v>0</v>
      </c>
      <c r="P907" s="1">
        <v>0</v>
      </c>
      <c r="Q907" s="1">
        <v>0</v>
      </c>
      <c r="R907" s="1">
        <v>22843800</v>
      </c>
      <c r="S907" s="1">
        <v>2080000</v>
      </c>
      <c r="T907" s="1">
        <v>10.106899902818</v>
      </c>
      <c r="U907" t="str">
        <f t="shared" si="14"/>
        <v>Week 4</v>
      </c>
    </row>
    <row r="908" spans="1:21" x14ac:dyDescent="0.25">
      <c r="A908" s="1">
        <v>907</v>
      </c>
      <c r="B908" s="1" t="s">
        <v>647</v>
      </c>
      <c r="C908" s="2">
        <v>46078</v>
      </c>
      <c r="D908" s="1" t="s">
        <v>53</v>
      </c>
      <c r="E908" s="1" t="s">
        <v>54</v>
      </c>
      <c r="F908" s="1" t="s">
        <v>23</v>
      </c>
      <c r="G908" s="1" t="s">
        <v>24</v>
      </c>
      <c r="H908" s="1">
        <v>1</v>
      </c>
      <c r="I908" s="1" t="s">
        <v>302</v>
      </c>
      <c r="J908" s="1"/>
      <c r="K908" s="1">
        <v>7549800</v>
      </c>
      <c r="L908" s="1">
        <v>0</v>
      </c>
      <c r="M908" s="1">
        <v>0</v>
      </c>
      <c r="N908" s="1">
        <v>830478</v>
      </c>
      <c r="O908" s="1">
        <v>0</v>
      </c>
      <c r="P908" s="1">
        <v>0</v>
      </c>
      <c r="Q908" s="1">
        <v>0</v>
      </c>
      <c r="R908" s="1">
        <v>8380278</v>
      </c>
      <c r="S908" s="1">
        <v>3489776.94</v>
      </c>
      <c r="T908" s="1">
        <v>46.223435587697999</v>
      </c>
      <c r="U908" t="str">
        <f t="shared" si="14"/>
        <v>Week 4</v>
      </c>
    </row>
    <row r="909" spans="1:21" x14ac:dyDescent="0.25">
      <c r="A909" s="1">
        <v>908</v>
      </c>
      <c r="B909" s="1" t="s">
        <v>648</v>
      </c>
      <c r="C909" s="2">
        <v>46078</v>
      </c>
      <c r="D909" s="1" t="s">
        <v>33</v>
      </c>
      <c r="E909" s="1" t="s">
        <v>34</v>
      </c>
      <c r="F909" s="1" t="s">
        <v>30</v>
      </c>
      <c r="G909" s="1" t="s">
        <v>24</v>
      </c>
      <c r="H909" s="1">
        <v>1</v>
      </c>
      <c r="I909" s="1" t="s">
        <v>649</v>
      </c>
      <c r="J909" s="1"/>
      <c r="K909" s="1">
        <v>1734600</v>
      </c>
      <c r="L909" s="1">
        <v>0</v>
      </c>
      <c r="M909" s="1">
        <v>0</v>
      </c>
      <c r="N909" s="1">
        <v>190806</v>
      </c>
      <c r="O909" s="1">
        <v>0</v>
      </c>
      <c r="P909" s="1">
        <v>0</v>
      </c>
      <c r="Q909" s="1">
        <v>0</v>
      </c>
      <c r="R909" s="1">
        <v>1925406</v>
      </c>
      <c r="S909" s="1">
        <v>649600</v>
      </c>
      <c r="T909" s="1">
        <v>37.449556093623997</v>
      </c>
      <c r="U909" t="str">
        <f t="shared" si="14"/>
        <v>Week 4</v>
      </c>
    </row>
    <row r="910" spans="1:21" x14ac:dyDescent="0.25">
      <c r="A910" s="1">
        <v>909</v>
      </c>
      <c r="B910" s="1" t="s">
        <v>650</v>
      </c>
      <c r="C910" s="2">
        <v>46078</v>
      </c>
      <c r="D910" s="1" t="s">
        <v>21</v>
      </c>
      <c r="E910" s="1" t="s">
        <v>22</v>
      </c>
      <c r="F910" s="1" t="s">
        <v>30</v>
      </c>
      <c r="G910" s="1" t="s">
        <v>24</v>
      </c>
      <c r="H910" s="1">
        <v>1</v>
      </c>
      <c r="I910" s="1" t="s">
        <v>651</v>
      </c>
      <c r="J910" s="1" t="s">
        <v>26</v>
      </c>
      <c r="K910" s="1">
        <v>322823.76</v>
      </c>
      <c r="L910" s="1">
        <v>0</v>
      </c>
      <c r="M910" s="1">
        <v>0</v>
      </c>
      <c r="N910" s="1">
        <v>35510.613599999997</v>
      </c>
      <c r="O910" s="1">
        <v>0</v>
      </c>
      <c r="P910" s="1">
        <v>0</v>
      </c>
      <c r="Q910" s="1">
        <v>0</v>
      </c>
      <c r="R910" s="1">
        <v>358334.37359999999</v>
      </c>
      <c r="S910" s="1">
        <v>52553.489729729998</v>
      </c>
      <c r="T910" s="1">
        <v>16.279312814438001</v>
      </c>
      <c r="U910" t="str">
        <f t="shared" si="14"/>
        <v>Week 4</v>
      </c>
    </row>
    <row r="911" spans="1:21" x14ac:dyDescent="0.25">
      <c r="A911" s="1">
        <v>910</v>
      </c>
      <c r="B911" s="1" t="s">
        <v>652</v>
      </c>
      <c r="C911" s="2">
        <v>46078</v>
      </c>
      <c r="D911" s="1" t="s">
        <v>21</v>
      </c>
      <c r="E911" s="1" t="s">
        <v>22</v>
      </c>
      <c r="F911" s="1" t="s">
        <v>23</v>
      </c>
      <c r="G911" s="1" t="s">
        <v>24</v>
      </c>
      <c r="H911" s="1">
        <v>1</v>
      </c>
      <c r="I911" s="1" t="s">
        <v>653</v>
      </c>
      <c r="J911" s="1" t="s">
        <v>56</v>
      </c>
      <c r="K911" s="1">
        <v>103500000</v>
      </c>
      <c r="L911" s="1">
        <v>0</v>
      </c>
      <c r="M911" s="1">
        <v>0</v>
      </c>
      <c r="N911" s="1">
        <v>11385000</v>
      </c>
      <c r="O911" s="1">
        <v>0</v>
      </c>
      <c r="P911" s="1">
        <v>0</v>
      </c>
      <c r="Q911" s="1">
        <v>0</v>
      </c>
      <c r="R911" s="1">
        <v>114885000</v>
      </c>
      <c r="S911" s="1">
        <v>23400000</v>
      </c>
      <c r="T911" s="1">
        <v>22.608695652173999</v>
      </c>
      <c r="U911" t="str">
        <f t="shared" si="14"/>
        <v>Week 4</v>
      </c>
    </row>
    <row r="912" spans="1:21" x14ac:dyDescent="0.25">
      <c r="A912" s="1">
        <v>911</v>
      </c>
      <c r="B912" s="1" t="s">
        <v>2227</v>
      </c>
      <c r="C912" s="2">
        <v>46078</v>
      </c>
      <c r="D912" s="1" t="s">
        <v>2210</v>
      </c>
      <c r="E912" s="1" t="s">
        <v>192</v>
      </c>
      <c r="F912" s="1" t="s">
        <v>30</v>
      </c>
      <c r="G912" s="1" t="s">
        <v>24</v>
      </c>
      <c r="H912" s="1">
        <v>1</v>
      </c>
      <c r="I912" s="1" t="s">
        <v>2228</v>
      </c>
      <c r="J912" s="1" t="s">
        <v>56</v>
      </c>
      <c r="K912" s="1">
        <v>193998400</v>
      </c>
      <c r="L912" s="1">
        <v>0</v>
      </c>
      <c r="M912" s="1">
        <v>0</v>
      </c>
      <c r="N912" s="1">
        <v>21339824</v>
      </c>
      <c r="O912" s="1">
        <v>0</v>
      </c>
      <c r="P912" s="1">
        <v>0</v>
      </c>
      <c r="Q912" s="1">
        <v>0</v>
      </c>
      <c r="R912" s="1">
        <v>215338224</v>
      </c>
      <c r="S912" s="1">
        <v>23958400</v>
      </c>
      <c r="T912" s="1">
        <v>12.349792575608999</v>
      </c>
      <c r="U912" t="str">
        <f t="shared" si="14"/>
        <v>Week 4</v>
      </c>
    </row>
    <row r="913" spans="1:21" x14ac:dyDescent="0.25">
      <c r="A913" s="1">
        <v>912</v>
      </c>
      <c r="B913" s="1" t="s">
        <v>654</v>
      </c>
      <c r="C913" s="2">
        <v>46078</v>
      </c>
      <c r="D913" s="1" t="s">
        <v>21</v>
      </c>
      <c r="E913" s="1" t="s">
        <v>22</v>
      </c>
      <c r="F913" s="1" t="s">
        <v>23</v>
      </c>
      <c r="G913" s="1" t="s">
        <v>24</v>
      </c>
      <c r="H913" s="1">
        <v>1</v>
      </c>
      <c r="I913" s="1" t="s">
        <v>655</v>
      </c>
      <c r="J913" s="1" t="s">
        <v>26</v>
      </c>
      <c r="K913" s="1">
        <v>6115000</v>
      </c>
      <c r="L913" s="1">
        <v>0</v>
      </c>
      <c r="M913" s="1">
        <v>0</v>
      </c>
      <c r="N913" s="1">
        <v>672650</v>
      </c>
      <c r="O913" s="1">
        <v>0</v>
      </c>
      <c r="P913" s="1">
        <v>0</v>
      </c>
      <c r="Q913" s="1">
        <v>0</v>
      </c>
      <c r="R913" s="1">
        <v>6787650</v>
      </c>
      <c r="S913" s="1">
        <v>2640000</v>
      </c>
      <c r="T913" s="1">
        <v>43.172526573997999</v>
      </c>
      <c r="U913" t="str">
        <f t="shared" si="14"/>
        <v>Week 4</v>
      </c>
    </row>
    <row r="914" spans="1:21" x14ac:dyDescent="0.25">
      <c r="A914" s="1">
        <v>913</v>
      </c>
      <c r="B914" s="1" t="s">
        <v>656</v>
      </c>
      <c r="C914" s="2">
        <v>46078</v>
      </c>
      <c r="D914" s="1" t="s">
        <v>21</v>
      </c>
      <c r="E914" s="1" t="s">
        <v>22</v>
      </c>
      <c r="F914" s="1" t="s">
        <v>30</v>
      </c>
      <c r="G914" s="1" t="s">
        <v>24</v>
      </c>
      <c r="H914" s="1">
        <v>1</v>
      </c>
      <c r="I914" s="1" t="s">
        <v>657</v>
      </c>
      <c r="J914" s="1" t="s">
        <v>26</v>
      </c>
      <c r="K914" s="1">
        <v>27994680</v>
      </c>
      <c r="L914" s="1">
        <v>0</v>
      </c>
      <c r="M914" s="1">
        <v>0</v>
      </c>
      <c r="N914" s="1">
        <v>3079414.8</v>
      </c>
      <c r="O914" s="1">
        <v>0</v>
      </c>
      <c r="P914" s="1">
        <v>0</v>
      </c>
      <c r="Q914" s="1">
        <v>0</v>
      </c>
      <c r="R914" s="1">
        <v>31074094.800000001</v>
      </c>
      <c r="S914" s="1">
        <v>13490175.495495999</v>
      </c>
      <c r="T914" s="1">
        <v>48.188353985455002</v>
      </c>
      <c r="U914" t="str">
        <f t="shared" si="14"/>
        <v>Week 4</v>
      </c>
    </row>
    <row r="915" spans="1:21" x14ac:dyDescent="0.25">
      <c r="A915" s="1">
        <v>914</v>
      </c>
      <c r="B915" s="1" t="s">
        <v>658</v>
      </c>
      <c r="C915" s="2">
        <v>46078</v>
      </c>
      <c r="D915" s="1" t="s">
        <v>202</v>
      </c>
      <c r="E915" s="1" t="s">
        <v>203</v>
      </c>
      <c r="F915" s="1" t="s">
        <v>260</v>
      </c>
      <c r="G915" s="1" t="s">
        <v>24</v>
      </c>
      <c r="H915" s="1">
        <v>1</v>
      </c>
      <c r="I915" s="1" t="s">
        <v>659</v>
      </c>
      <c r="J915" s="1" t="s">
        <v>26</v>
      </c>
      <c r="K915" s="1">
        <v>3804590</v>
      </c>
      <c r="L915" s="1">
        <v>0</v>
      </c>
      <c r="M915" s="1">
        <v>0</v>
      </c>
      <c r="N915" s="1">
        <v>418504.9</v>
      </c>
      <c r="O915" s="1">
        <v>0</v>
      </c>
      <c r="P915" s="1">
        <v>0</v>
      </c>
      <c r="Q915" s="1">
        <v>0</v>
      </c>
      <c r="R915" s="1">
        <v>4223094.9000000004</v>
      </c>
      <c r="S915" s="1">
        <v>1411590</v>
      </c>
      <c r="T915" s="1">
        <v>37.102289602821998</v>
      </c>
      <c r="U915" t="str">
        <f t="shared" si="14"/>
        <v>Week 4</v>
      </c>
    </row>
    <row r="916" spans="1:21" x14ac:dyDescent="0.25">
      <c r="A916" s="1">
        <v>915</v>
      </c>
      <c r="B916" s="1" t="s">
        <v>660</v>
      </c>
      <c r="C916" s="2">
        <v>46078</v>
      </c>
      <c r="D916" s="1" t="s">
        <v>33</v>
      </c>
      <c r="E916" s="1" t="s">
        <v>34</v>
      </c>
      <c r="F916" s="1" t="s">
        <v>23</v>
      </c>
      <c r="G916" s="1" t="s">
        <v>24</v>
      </c>
      <c r="H916" s="1">
        <v>1</v>
      </c>
      <c r="I916" s="1" t="s">
        <v>661</v>
      </c>
      <c r="J916" s="1"/>
      <c r="K916" s="1">
        <v>710000</v>
      </c>
      <c r="L916" s="1">
        <v>0</v>
      </c>
      <c r="M916" s="1">
        <v>0</v>
      </c>
      <c r="N916" s="1">
        <v>78100</v>
      </c>
      <c r="O916" s="1">
        <v>0</v>
      </c>
      <c r="P916" s="1">
        <v>0</v>
      </c>
      <c r="Q916" s="1">
        <v>0</v>
      </c>
      <c r="R916" s="1">
        <v>788100</v>
      </c>
      <c r="S916" s="1">
        <v>166756.75675676001</v>
      </c>
      <c r="T916" s="1">
        <v>23.486867148839</v>
      </c>
      <c r="U916" t="str">
        <f t="shared" si="14"/>
        <v>Week 4</v>
      </c>
    </row>
    <row r="917" spans="1:21" x14ac:dyDescent="0.25">
      <c r="A917" s="1">
        <v>916</v>
      </c>
      <c r="B917" s="1" t="s">
        <v>662</v>
      </c>
      <c r="C917" s="2">
        <v>46078</v>
      </c>
      <c r="D917" s="1" t="s">
        <v>21</v>
      </c>
      <c r="E917" s="1" t="s">
        <v>22</v>
      </c>
      <c r="F917" s="1" t="s">
        <v>39</v>
      </c>
      <c r="G917" s="1" t="s">
        <v>24</v>
      </c>
      <c r="H917" s="1">
        <v>1</v>
      </c>
      <c r="I917" s="1" t="s">
        <v>663</v>
      </c>
      <c r="J917" s="1" t="s">
        <v>26</v>
      </c>
      <c r="K917" s="1">
        <v>4014456.32</v>
      </c>
      <c r="L917" s="1">
        <v>0</v>
      </c>
      <c r="M917" s="1">
        <v>0</v>
      </c>
      <c r="N917" s="1">
        <v>441590.19520000002</v>
      </c>
      <c r="O917" s="1">
        <v>0</v>
      </c>
      <c r="P917" s="1">
        <v>0</v>
      </c>
      <c r="Q917" s="1">
        <v>0</v>
      </c>
      <c r="R917" s="1">
        <v>4456046.5152000003</v>
      </c>
      <c r="S917" s="1">
        <v>1614456.32</v>
      </c>
      <c r="T917" s="1">
        <v>40.216063927679997</v>
      </c>
      <c r="U917" t="str">
        <f t="shared" si="14"/>
        <v>Week 4</v>
      </c>
    </row>
    <row r="918" spans="1:21" x14ac:dyDescent="0.25">
      <c r="A918" s="1">
        <v>917</v>
      </c>
      <c r="B918" s="1" t="s">
        <v>664</v>
      </c>
      <c r="C918" s="2">
        <v>46078</v>
      </c>
      <c r="D918" s="1" t="s">
        <v>53</v>
      </c>
      <c r="E918" s="1" t="s">
        <v>54</v>
      </c>
      <c r="F918" s="1" t="s">
        <v>23</v>
      </c>
      <c r="G918" s="1" t="s">
        <v>24</v>
      </c>
      <c r="H918" s="1">
        <v>1</v>
      </c>
      <c r="I918" s="1" t="s">
        <v>302</v>
      </c>
      <c r="J918" s="1" t="s">
        <v>26</v>
      </c>
      <c r="K918" s="1">
        <v>2829592</v>
      </c>
      <c r="L918" s="1">
        <v>0</v>
      </c>
      <c r="M918" s="1">
        <v>0</v>
      </c>
      <c r="N918" s="1">
        <v>311255.12</v>
      </c>
      <c r="O918" s="1">
        <v>0</v>
      </c>
      <c r="P918" s="1">
        <v>0</v>
      </c>
      <c r="Q918" s="1">
        <v>0</v>
      </c>
      <c r="R918" s="1">
        <v>3140847.12</v>
      </c>
      <c r="S918" s="1">
        <v>908380.05891892</v>
      </c>
      <c r="T918" s="1">
        <v>32.102863554849002</v>
      </c>
      <c r="U918" t="str">
        <f t="shared" si="14"/>
        <v>Week 4</v>
      </c>
    </row>
    <row r="919" spans="1:21" x14ac:dyDescent="0.25">
      <c r="A919" s="1">
        <v>918</v>
      </c>
      <c r="B919" s="1" t="s">
        <v>665</v>
      </c>
      <c r="C919" s="2">
        <v>46078</v>
      </c>
      <c r="D919" s="1" t="s">
        <v>33</v>
      </c>
      <c r="E919" s="1" t="s">
        <v>34</v>
      </c>
      <c r="F919" s="1" t="s">
        <v>23</v>
      </c>
      <c r="G919" s="1" t="s">
        <v>24</v>
      </c>
      <c r="H919" s="1">
        <v>1</v>
      </c>
      <c r="I919" s="1" t="s">
        <v>666</v>
      </c>
      <c r="J919" s="1"/>
      <c r="K919" s="1">
        <v>32716392.969999999</v>
      </c>
      <c r="L919" s="1">
        <v>0</v>
      </c>
      <c r="M919" s="1">
        <v>0</v>
      </c>
      <c r="N919" s="1">
        <v>3598803.2267</v>
      </c>
      <c r="O919" s="1">
        <v>0</v>
      </c>
      <c r="P919" s="1">
        <v>0</v>
      </c>
      <c r="Q919" s="1">
        <v>0</v>
      </c>
      <c r="R919" s="1">
        <v>36315196.196699999</v>
      </c>
      <c r="S919" s="1">
        <v>19149000.564594999</v>
      </c>
      <c r="T919" s="1">
        <v>58.530292695021998</v>
      </c>
      <c r="U919" t="str">
        <f t="shared" si="14"/>
        <v>Week 4</v>
      </c>
    </row>
    <row r="920" spans="1:21" x14ac:dyDescent="0.25">
      <c r="A920" s="1">
        <v>919</v>
      </c>
      <c r="B920" s="1" t="s">
        <v>667</v>
      </c>
      <c r="C920" s="2">
        <v>46078</v>
      </c>
      <c r="D920" s="1" t="s">
        <v>37</v>
      </c>
      <c r="E920" s="1" t="s">
        <v>38</v>
      </c>
      <c r="F920" s="1" t="s">
        <v>30</v>
      </c>
      <c r="G920" s="1" t="s">
        <v>24</v>
      </c>
      <c r="H920" s="1">
        <v>1</v>
      </c>
      <c r="I920" s="1" t="s">
        <v>668</v>
      </c>
      <c r="J920" s="1"/>
      <c r="K920" s="1">
        <v>153860</v>
      </c>
      <c r="L920" s="1">
        <v>0</v>
      </c>
      <c r="M920" s="1">
        <v>0</v>
      </c>
      <c r="N920" s="1">
        <v>16924.599999999999</v>
      </c>
      <c r="O920" s="1">
        <v>0</v>
      </c>
      <c r="P920" s="1">
        <v>0</v>
      </c>
      <c r="Q920" s="1">
        <v>0</v>
      </c>
      <c r="R920" s="1">
        <v>170784.6</v>
      </c>
      <c r="S920" s="1">
        <v>3860</v>
      </c>
      <c r="T920" s="1">
        <v>2.5087742103210999</v>
      </c>
      <c r="U920" t="str">
        <f t="shared" si="14"/>
        <v>Week 4</v>
      </c>
    </row>
    <row r="921" spans="1:21" x14ac:dyDescent="0.25">
      <c r="A921" s="1">
        <v>920</v>
      </c>
      <c r="B921" s="1" t="s">
        <v>669</v>
      </c>
      <c r="C921" s="2">
        <v>46078</v>
      </c>
      <c r="D921" s="1" t="s">
        <v>33</v>
      </c>
      <c r="E921" s="1" t="s">
        <v>34</v>
      </c>
      <c r="F921" s="1" t="s">
        <v>30</v>
      </c>
      <c r="G921" s="1" t="s">
        <v>24</v>
      </c>
      <c r="H921" s="1">
        <v>1</v>
      </c>
      <c r="I921" s="1" t="s">
        <v>670</v>
      </c>
      <c r="J921" s="1"/>
      <c r="K921" s="1">
        <v>2748900</v>
      </c>
      <c r="L921" s="1">
        <v>0</v>
      </c>
      <c r="M921" s="1">
        <v>0</v>
      </c>
      <c r="N921" s="1">
        <v>302379</v>
      </c>
      <c r="O921" s="1">
        <v>0</v>
      </c>
      <c r="P921" s="1">
        <v>0</v>
      </c>
      <c r="Q921" s="1">
        <v>0</v>
      </c>
      <c r="R921" s="1">
        <v>3051279</v>
      </c>
      <c r="S921" s="1">
        <v>-221100</v>
      </c>
      <c r="T921" s="1">
        <v>-8.0432172869147998</v>
      </c>
      <c r="U921" t="str">
        <f t="shared" si="14"/>
        <v>Week 4</v>
      </c>
    </row>
    <row r="922" spans="1:21" x14ac:dyDescent="0.25">
      <c r="A922" s="1">
        <v>921</v>
      </c>
      <c r="B922" s="1" t="s">
        <v>671</v>
      </c>
      <c r="C922" s="2">
        <v>46078</v>
      </c>
      <c r="D922" s="1" t="s">
        <v>33</v>
      </c>
      <c r="E922" s="1" t="s">
        <v>34</v>
      </c>
      <c r="F922" s="1" t="s">
        <v>23</v>
      </c>
      <c r="G922" s="1" t="s">
        <v>24</v>
      </c>
      <c r="H922" s="1">
        <v>1</v>
      </c>
      <c r="I922" s="1" t="s">
        <v>672</v>
      </c>
      <c r="J922" s="1"/>
      <c r="K922" s="1">
        <v>86226650</v>
      </c>
      <c r="L922" s="1">
        <v>0</v>
      </c>
      <c r="M922" s="1">
        <v>0</v>
      </c>
      <c r="N922" s="1">
        <v>9484931.5</v>
      </c>
      <c r="O922" s="1">
        <v>0</v>
      </c>
      <c r="P922" s="1">
        <v>0</v>
      </c>
      <c r="Q922" s="1">
        <v>0</v>
      </c>
      <c r="R922" s="1">
        <v>95711581.5</v>
      </c>
      <c r="S922" s="1">
        <v>17964114</v>
      </c>
      <c r="T922" s="1">
        <v>20.833598429256</v>
      </c>
      <c r="U922" t="str">
        <f t="shared" si="14"/>
        <v>Week 4</v>
      </c>
    </row>
    <row r="923" spans="1:21" x14ac:dyDescent="0.25">
      <c r="A923" s="1">
        <v>922</v>
      </c>
      <c r="B923" s="1" t="s">
        <v>673</v>
      </c>
      <c r="C923" s="2">
        <v>46077</v>
      </c>
      <c r="D923" s="1" t="s">
        <v>37</v>
      </c>
      <c r="E923" s="1" t="s">
        <v>38</v>
      </c>
      <c r="F923" s="1" t="s">
        <v>23</v>
      </c>
      <c r="G923" s="1" t="s">
        <v>24</v>
      </c>
      <c r="H923" s="1">
        <v>1</v>
      </c>
      <c r="I923" s="1" t="s">
        <v>135</v>
      </c>
      <c r="J923" s="1" t="s">
        <v>26</v>
      </c>
      <c r="K923" s="1">
        <v>62061088.725199997</v>
      </c>
      <c r="L923" s="1">
        <v>0</v>
      </c>
      <c r="M923" s="1">
        <v>0</v>
      </c>
      <c r="N923" s="1">
        <v>6826719.7597719999</v>
      </c>
      <c r="O923" s="1">
        <v>0</v>
      </c>
      <c r="P923" s="1">
        <v>0</v>
      </c>
      <c r="Q923" s="1">
        <v>0</v>
      </c>
      <c r="R923" s="1">
        <v>68887808.484972</v>
      </c>
      <c r="S923" s="1">
        <v>21237167.251867</v>
      </c>
      <c r="T923" s="1">
        <v>34.219778750422002</v>
      </c>
      <c r="U923" t="str">
        <f t="shared" si="14"/>
        <v>Week 4</v>
      </c>
    </row>
    <row r="924" spans="1:21" x14ac:dyDescent="0.25">
      <c r="A924" s="1">
        <v>923</v>
      </c>
      <c r="B924" s="1" t="s">
        <v>674</v>
      </c>
      <c r="C924" s="2">
        <v>46077</v>
      </c>
      <c r="D924" s="1" t="s">
        <v>202</v>
      </c>
      <c r="E924" s="1" t="s">
        <v>203</v>
      </c>
      <c r="F924" s="1" t="s">
        <v>23</v>
      </c>
      <c r="G924" s="1" t="s">
        <v>24</v>
      </c>
      <c r="H924" s="1">
        <v>1</v>
      </c>
      <c r="I924" s="1" t="s">
        <v>675</v>
      </c>
      <c r="J924" s="1" t="s">
        <v>26</v>
      </c>
      <c r="K924" s="1">
        <v>917280</v>
      </c>
      <c r="L924" s="1">
        <v>0</v>
      </c>
      <c r="M924" s="1">
        <v>0</v>
      </c>
      <c r="N924" s="1">
        <v>100900.8</v>
      </c>
      <c r="O924" s="1">
        <v>0</v>
      </c>
      <c r="P924" s="1">
        <v>0</v>
      </c>
      <c r="Q924" s="1">
        <v>0</v>
      </c>
      <c r="R924" s="1">
        <v>1018180.8</v>
      </c>
      <c r="S924" s="1">
        <v>127280</v>
      </c>
      <c r="T924" s="1">
        <v>13.87580673295</v>
      </c>
      <c r="U924" t="str">
        <f t="shared" si="14"/>
        <v>Week 4</v>
      </c>
    </row>
    <row r="925" spans="1:21" x14ac:dyDescent="0.25">
      <c r="A925" s="1">
        <v>924</v>
      </c>
      <c r="B925" s="1" t="s">
        <v>676</v>
      </c>
      <c r="C925" s="2">
        <v>46077</v>
      </c>
      <c r="D925" s="1" t="s">
        <v>511</v>
      </c>
      <c r="E925" s="1" t="s">
        <v>203</v>
      </c>
      <c r="F925" s="1" t="s">
        <v>30</v>
      </c>
      <c r="G925" s="1" t="s">
        <v>24</v>
      </c>
      <c r="H925" s="1">
        <v>1</v>
      </c>
      <c r="I925" s="1" t="s">
        <v>677</v>
      </c>
      <c r="J925" s="1" t="s">
        <v>26</v>
      </c>
      <c r="K925" s="1">
        <v>4297000</v>
      </c>
      <c r="L925" s="1">
        <v>0</v>
      </c>
      <c r="M925" s="1">
        <v>0</v>
      </c>
      <c r="N925" s="1">
        <v>472670</v>
      </c>
      <c r="O925" s="1">
        <v>0</v>
      </c>
      <c r="P925" s="1">
        <v>0</v>
      </c>
      <c r="Q925" s="1">
        <v>0</v>
      </c>
      <c r="R925" s="1">
        <v>4769670</v>
      </c>
      <c r="S925" s="1">
        <v>199180</v>
      </c>
      <c r="T925" s="1">
        <v>4.6353269723063004</v>
      </c>
      <c r="U925" t="str">
        <f t="shared" si="14"/>
        <v>Week 4</v>
      </c>
    </row>
    <row r="926" spans="1:21" x14ac:dyDescent="0.25">
      <c r="A926" s="1">
        <v>925</v>
      </c>
      <c r="B926" s="1" t="s">
        <v>678</v>
      </c>
      <c r="C926" s="2">
        <v>46077</v>
      </c>
      <c r="D926" s="1" t="s">
        <v>53</v>
      </c>
      <c r="E926" s="1" t="s">
        <v>54</v>
      </c>
      <c r="F926" s="1" t="s">
        <v>30</v>
      </c>
      <c r="G926" s="1" t="s">
        <v>24</v>
      </c>
      <c r="H926" s="1">
        <v>1</v>
      </c>
      <c r="I926" s="1" t="s">
        <v>679</v>
      </c>
      <c r="J926" s="1"/>
      <c r="K926" s="1">
        <v>4071900</v>
      </c>
      <c r="L926" s="1">
        <v>0</v>
      </c>
      <c r="M926" s="1">
        <v>0</v>
      </c>
      <c r="N926" s="1">
        <v>447909</v>
      </c>
      <c r="O926" s="1">
        <v>0</v>
      </c>
      <c r="P926" s="1">
        <v>0</v>
      </c>
      <c r="Q926" s="1">
        <v>0</v>
      </c>
      <c r="R926" s="1">
        <v>4519809</v>
      </c>
      <c r="S926" s="1">
        <v>961039.63963963999</v>
      </c>
      <c r="T926" s="1">
        <v>23.601749542956</v>
      </c>
      <c r="U926" t="str">
        <f t="shared" si="14"/>
        <v>Week 4</v>
      </c>
    </row>
    <row r="927" spans="1:21" x14ac:dyDescent="0.25">
      <c r="A927" s="1">
        <v>926</v>
      </c>
      <c r="B927" s="1" t="s">
        <v>680</v>
      </c>
      <c r="C927" s="2">
        <v>46077</v>
      </c>
      <c r="D927" s="1" t="s">
        <v>21</v>
      </c>
      <c r="E927" s="1" t="s">
        <v>22</v>
      </c>
      <c r="F927" s="1" t="s">
        <v>30</v>
      </c>
      <c r="G927" s="1" t="s">
        <v>24</v>
      </c>
      <c r="H927" s="1">
        <v>1</v>
      </c>
      <c r="I927" s="1" t="s">
        <v>681</v>
      </c>
      <c r="J927" s="1" t="s">
        <v>26</v>
      </c>
      <c r="K927" s="1">
        <v>940800</v>
      </c>
      <c r="L927" s="1">
        <v>0</v>
      </c>
      <c r="M927" s="1">
        <v>0</v>
      </c>
      <c r="N927" s="1">
        <v>103488</v>
      </c>
      <c r="O927" s="1">
        <v>0</v>
      </c>
      <c r="P927" s="1">
        <v>0</v>
      </c>
      <c r="Q927" s="1">
        <v>0</v>
      </c>
      <c r="R927" s="1">
        <v>1044288</v>
      </c>
      <c r="S927" s="1">
        <v>231800</v>
      </c>
      <c r="T927" s="1">
        <v>24.638605442176999</v>
      </c>
      <c r="U927" t="str">
        <f t="shared" si="14"/>
        <v>Week 4</v>
      </c>
    </row>
    <row r="928" spans="1:21" x14ac:dyDescent="0.25">
      <c r="A928" s="1">
        <v>927</v>
      </c>
      <c r="B928" s="1" t="s">
        <v>682</v>
      </c>
      <c r="C928" s="2">
        <v>46077</v>
      </c>
      <c r="D928" s="1" t="s">
        <v>21</v>
      </c>
      <c r="E928" s="1" t="s">
        <v>22</v>
      </c>
      <c r="F928" s="1" t="s">
        <v>30</v>
      </c>
      <c r="G928" s="1" t="s">
        <v>24</v>
      </c>
      <c r="H928" s="1">
        <v>1</v>
      </c>
      <c r="I928" s="1" t="s">
        <v>683</v>
      </c>
      <c r="J928" s="1" t="s">
        <v>26</v>
      </c>
      <c r="K928" s="1">
        <v>87369853.760000005</v>
      </c>
      <c r="L928" s="1">
        <v>0</v>
      </c>
      <c r="M928" s="1">
        <v>0</v>
      </c>
      <c r="N928" s="1">
        <v>9610683.9135999996</v>
      </c>
      <c r="O928" s="1">
        <v>0</v>
      </c>
      <c r="P928" s="1">
        <v>0</v>
      </c>
      <c r="Q928" s="1">
        <v>0</v>
      </c>
      <c r="R928" s="1">
        <v>96980537.673600003</v>
      </c>
      <c r="S928" s="1">
        <v>18230134.835999999</v>
      </c>
      <c r="T928" s="1">
        <v>20.865474819355001</v>
      </c>
      <c r="U928" t="str">
        <f t="shared" si="14"/>
        <v>Week 4</v>
      </c>
    </row>
    <row r="929" spans="1:21" x14ac:dyDescent="0.25">
      <c r="A929" s="1">
        <v>928</v>
      </c>
      <c r="B929" s="1" t="s">
        <v>684</v>
      </c>
      <c r="C929" s="2">
        <v>46077</v>
      </c>
      <c r="D929" s="1" t="s">
        <v>184</v>
      </c>
      <c r="E929" s="1" t="s">
        <v>116</v>
      </c>
      <c r="F929" s="1" t="s">
        <v>23</v>
      </c>
      <c r="G929" s="1" t="s">
        <v>24</v>
      </c>
      <c r="H929" s="1">
        <v>1</v>
      </c>
      <c r="I929" s="1" t="s">
        <v>685</v>
      </c>
      <c r="J929" s="1" t="s">
        <v>26</v>
      </c>
      <c r="K929" s="1">
        <v>4331250</v>
      </c>
      <c r="L929" s="1">
        <v>0</v>
      </c>
      <c r="M929" s="1">
        <v>0</v>
      </c>
      <c r="N929" s="1">
        <v>476437.5</v>
      </c>
      <c r="O929" s="1">
        <v>0</v>
      </c>
      <c r="P929" s="1">
        <v>0</v>
      </c>
      <c r="Q929" s="1">
        <v>0</v>
      </c>
      <c r="R929" s="1">
        <v>4807687.5</v>
      </c>
      <c r="S929" s="1">
        <v>831250</v>
      </c>
      <c r="T929" s="1">
        <v>19.191919191918998</v>
      </c>
      <c r="U929" t="str">
        <f t="shared" si="14"/>
        <v>Week 4</v>
      </c>
    </row>
    <row r="930" spans="1:21" x14ac:dyDescent="0.25">
      <c r="A930" s="1">
        <v>929</v>
      </c>
      <c r="B930" s="1" t="s">
        <v>686</v>
      </c>
      <c r="C930" s="2">
        <v>46077</v>
      </c>
      <c r="D930" s="1" t="s">
        <v>53</v>
      </c>
      <c r="E930" s="1" t="s">
        <v>54</v>
      </c>
      <c r="F930" s="1" t="s">
        <v>30</v>
      </c>
      <c r="G930" s="1" t="s">
        <v>24</v>
      </c>
      <c r="H930" s="1">
        <v>1</v>
      </c>
      <c r="I930" s="1" t="s">
        <v>687</v>
      </c>
      <c r="J930" s="1"/>
      <c r="K930" s="1">
        <v>13386800</v>
      </c>
      <c r="L930" s="1">
        <v>0</v>
      </c>
      <c r="M930" s="1">
        <v>0</v>
      </c>
      <c r="N930" s="1">
        <v>1472548</v>
      </c>
      <c r="O930" s="1">
        <v>0</v>
      </c>
      <c r="P930" s="1">
        <v>0</v>
      </c>
      <c r="Q930" s="1">
        <v>0</v>
      </c>
      <c r="R930" s="1">
        <v>14859348</v>
      </c>
      <c r="S930" s="1">
        <v>5786800</v>
      </c>
      <c r="T930" s="1">
        <v>43.227657095048997</v>
      </c>
      <c r="U930" t="str">
        <f t="shared" si="14"/>
        <v>Week 4</v>
      </c>
    </row>
    <row r="931" spans="1:21" x14ac:dyDescent="0.25">
      <c r="A931" s="1">
        <v>930</v>
      </c>
      <c r="B931" s="1" t="s">
        <v>688</v>
      </c>
      <c r="C931" s="2">
        <v>46076</v>
      </c>
      <c r="D931" s="1" t="s">
        <v>21</v>
      </c>
      <c r="E931" s="1" t="s">
        <v>22</v>
      </c>
      <c r="F931" s="1" t="s">
        <v>30</v>
      </c>
      <c r="G931" s="1" t="s">
        <v>24</v>
      </c>
      <c r="H931" s="1">
        <v>1</v>
      </c>
      <c r="I931" s="1" t="s">
        <v>689</v>
      </c>
      <c r="J931" s="1" t="s">
        <v>26</v>
      </c>
      <c r="K931" s="1">
        <v>3217656.54</v>
      </c>
      <c r="L931" s="1">
        <v>0</v>
      </c>
      <c r="M931" s="1">
        <v>0</v>
      </c>
      <c r="N931" s="1">
        <v>353942.2194</v>
      </c>
      <c r="O931" s="1">
        <v>0</v>
      </c>
      <c r="P931" s="1">
        <v>0</v>
      </c>
      <c r="Q931" s="1">
        <v>0</v>
      </c>
      <c r="R931" s="1">
        <v>3571598.7593999999</v>
      </c>
      <c r="S931" s="1">
        <v>249351.02972973001</v>
      </c>
      <c r="T931" s="1">
        <v>7.7494607218000002</v>
      </c>
      <c r="U931" t="str">
        <f t="shared" si="14"/>
        <v>Week 4</v>
      </c>
    </row>
    <row r="932" spans="1:21" x14ac:dyDescent="0.25">
      <c r="A932" s="1">
        <v>931</v>
      </c>
      <c r="B932" s="1" t="s">
        <v>690</v>
      </c>
      <c r="C932" s="2">
        <v>46076</v>
      </c>
      <c r="D932" s="1" t="s">
        <v>306</v>
      </c>
      <c r="E932" s="1" t="s">
        <v>99</v>
      </c>
      <c r="F932" s="1" t="s">
        <v>23</v>
      </c>
      <c r="G932" s="1" t="s">
        <v>24</v>
      </c>
      <c r="H932" s="1">
        <v>1</v>
      </c>
      <c r="I932" s="1" t="s">
        <v>691</v>
      </c>
      <c r="J932" s="1"/>
      <c r="K932" s="1">
        <v>12865000</v>
      </c>
      <c r="L932" s="1">
        <v>0</v>
      </c>
      <c r="M932" s="1">
        <v>0</v>
      </c>
      <c r="N932" s="1">
        <v>1415150</v>
      </c>
      <c r="O932" s="1">
        <v>0</v>
      </c>
      <c r="P932" s="1">
        <v>0</v>
      </c>
      <c r="Q932" s="1">
        <v>0</v>
      </c>
      <c r="R932" s="1">
        <v>14280150</v>
      </c>
      <c r="S932" s="1">
        <v>3275000</v>
      </c>
      <c r="T932" s="1">
        <v>25.456665371162</v>
      </c>
      <c r="U932" t="str">
        <f t="shared" si="14"/>
        <v>Week 4</v>
      </c>
    </row>
    <row r="933" spans="1:21" x14ac:dyDescent="0.25">
      <c r="A933" s="1">
        <v>932</v>
      </c>
      <c r="B933" s="1" t="s">
        <v>692</v>
      </c>
      <c r="C933" s="2">
        <v>46076</v>
      </c>
      <c r="D933" s="1" t="s">
        <v>21</v>
      </c>
      <c r="E933" s="1" t="s">
        <v>22</v>
      </c>
      <c r="F933" s="1" t="s">
        <v>30</v>
      </c>
      <c r="G933" s="1" t="s">
        <v>24</v>
      </c>
      <c r="H933" s="1">
        <v>1</v>
      </c>
      <c r="I933" s="1" t="s">
        <v>693</v>
      </c>
      <c r="J933" s="1" t="s">
        <v>26</v>
      </c>
      <c r="K933" s="1">
        <v>64956618.719999999</v>
      </c>
      <c r="L933" s="1">
        <v>0</v>
      </c>
      <c r="M933" s="1">
        <v>0</v>
      </c>
      <c r="N933" s="1">
        <v>7145228.0592</v>
      </c>
      <c r="O933" s="1">
        <v>0</v>
      </c>
      <c r="P933" s="1">
        <v>0</v>
      </c>
      <c r="Q933" s="1">
        <v>0</v>
      </c>
      <c r="R933" s="1">
        <v>72101846.779200003</v>
      </c>
      <c r="S933" s="1">
        <v>17854636.246576998</v>
      </c>
      <c r="T933" s="1">
        <v>27.487016101531999</v>
      </c>
      <c r="U933" t="str">
        <f t="shared" si="14"/>
        <v>Week 4</v>
      </c>
    </row>
    <row r="934" spans="1:21" x14ac:dyDescent="0.25">
      <c r="A934" s="1">
        <v>933</v>
      </c>
      <c r="B934" s="1" t="s">
        <v>694</v>
      </c>
      <c r="C934" s="2">
        <v>46076</v>
      </c>
      <c r="D934" s="1" t="s">
        <v>53</v>
      </c>
      <c r="E934" s="1" t="s">
        <v>54</v>
      </c>
      <c r="F934" s="1" t="s">
        <v>30</v>
      </c>
      <c r="G934" s="1" t="s">
        <v>24</v>
      </c>
      <c r="H934" s="1">
        <v>1</v>
      </c>
      <c r="I934" s="1" t="s">
        <v>695</v>
      </c>
      <c r="J934" s="1"/>
      <c r="K934" s="1">
        <v>1558200</v>
      </c>
      <c r="L934" s="1">
        <v>0</v>
      </c>
      <c r="M934" s="1">
        <v>0</v>
      </c>
      <c r="N934" s="1">
        <v>171402</v>
      </c>
      <c r="O934" s="1">
        <v>0</v>
      </c>
      <c r="P934" s="1">
        <v>0</v>
      </c>
      <c r="Q934" s="1">
        <v>0</v>
      </c>
      <c r="R934" s="1">
        <v>1729602</v>
      </c>
      <c r="S934" s="1">
        <v>-229800</v>
      </c>
      <c r="T934" s="1">
        <v>-14.747785906816</v>
      </c>
      <c r="U934" t="str">
        <f t="shared" si="14"/>
        <v>Week 4</v>
      </c>
    </row>
    <row r="935" spans="1:21" x14ac:dyDescent="0.25">
      <c r="A935" s="1">
        <v>934</v>
      </c>
      <c r="B935" s="1" t="s">
        <v>696</v>
      </c>
      <c r="C935" s="2">
        <v>46076</v>
      </c>
      <c r="D935" s="1" t="s">
        <v>53</v>
      </c>
      <c r="E935" s="1" t="s">
        <v>54</v>
      </c>
      <c r="F935" s="1" t="s">
        <v>30</v>
      </c>
      <c r="G935" s="1" t="s">
        <v>24</v>
      </c>
      <c r="H935" s="1">
        <v>1</v>
      </c>
      <c r="I935" s="1" t="s">
        <v>697</v>
      </c>
      <c r="J935" s="1"/>
      <c r="K935" s="1">
        <v>10486000</v>
      </c>
      <c r="L935" s="1">
        <v>0</v>
      </c>
      <c r="M935" s="1">
        <v>0</v>
      </c>
      <c r="N935" s="1">
        <v>1153460</v>
      </c>
      <c r="O935" s="1">
        <v>0</v>
      </c>
      <c r="P935" s="1">
        <v>0</v>
      </c>
      <c r="Q935" s="1">
        <v>0</v>
      </c>
      <c r="R935" s="1">
        <v>11639460</v>
      </c>
      <c r="S935" s="1">
        <v>-648000</v>
      </c>
      <c r="T935" s="1">
        <v>-6.1796681289338</v>
      </c>
      <c r="U935" t="str">
        <f t="shared" si="14"/>
        <v>Week 4</v>
      </c>
    </row>
    <row r="936" spans="1:21" x14ac:dyDescent="0.25">
      <c r="A936" s="1">
        <v>935</v>
      </c>
      <c r="B936" s="1" t="s">
        <v>698</v>
      </c>
      <c r="C936" s="2">
        <v>46076</v>
      </c>
      <c r="D936" s="1" t="s">
        <v>53</v>
      </c>
      <c r="E936" s="1" t="s">
        <v>54</v>
      </c>
      <c r="F936" s="1" t="s">
        <v>30</v>
      </c>
      <c r="G936" s="1" t="s">
        <v>24</v>
      </c>
      <c r="H936" s="1">
        <v>1</v>
      </c>
      <c r="I936" s="1" t="s">
        <v>699</v>
      </c>
      <c r="J936" s="1"/>
      <c r="K936" s="1">
        <v>6288975</v>
      </c>
      <c r="L936" s="1">
        <v>0</v>
      </c>
      <c r="M936" s="1">
        <v>0</v>
      </c>
      <c r="N936" s="1">
        <v>691787.25</v>
      </c>
      <c r="O936" s="1">
        <v>0</v>
      </c>
      <c r="P936" s="1">
        <v>0</v>
      </c>
      <c r="Q936" s="1">
        <v>0</v>
      </c>
      <c r="R936" s="1">
        <v>6980762.25</v>
      </c>
      <c r="S936" s="1">
        <v>1104390</v>
      </c>
      <c r="T936" s="1">
        <v>17.560731279740001</v>
      </c>
      <c r="U936" t="str">
        <f t="shared" si="14"/>
        <v>Week 4</v>
      </c>
    </row>
    <row r="937" spans="1:21" x14ac:dyDescent="0.25">
      <c r="A937" s="1">
        <v>936</v>
      </c>
      <c r="B937" s="1" t="s">
        <v>700</v>
      </c>
      <c r="C937" s="2">
        <v>46076</v>
      </c>
      <c r="D937" s="1" t="s">
        <v>53</v>
      </c>
      <c r="E937" s="1" t="s">
        <v>54</v>
      </c>
      <c r="F937" s="1" t="s">
        <v>30</v>
      </c>
      <c r="G937" s="1" t="s">
        <v>24</v>
      </c>
      <c r="H937" s="1">
        <v>1</v>
      </c>
      <c r="I937" s="1" t="s">
        <v>701</v>
      </c>
      <c r="J937" s="1"/>
      <c r="K937" s="1">
        <v>178530328</v>
      </c>
      <c r="L937" s="1">
        <v>0</v>
      </c>
      <c r="M937" s="1">
        <v>0</v>
      </c>
      <c r="N937" s="1">
        <v>19638336.079999998</v>
      </c>
      <c r="O937" s="1">
        <v>0</v>
      </c>
      <c r="P937" s="1">
        <v>0</v>
      </c>
      <c r="Q937" s="1">
        <v>0</v>
      </c>
      <c r="R937" s="1">
        <v>198168664.08000001</v>
      </c>
      <c r="S937" s="1">
        <v>14784078.1</v>
      </c>
      <c r="T937" s="1">
        <v>8.2809897150919998</v>
      </c>
      <c r="U937" t="str">
        <f t="shared" si="14"/>
        <v>Week 4</v>
      </c>
    </row>
    <row r="938" spans="1:21" x14ac:dyDescent="0.25">
      <c r="A938" s="1">
        <v>937</v>
      </c>
      <c r="B938" s="1" t="s">
        <v>702</v>
      </c>
      <c r="C938" s="2">
        <v>46076</v>
      </c>
      <c r="D938" s="1" t="s">
        <v>21</v>
      </c>
      <c r="E938" s="1" t="s">
        <v>22</v>
      </c>
      <c r="F938" s="1" t="s">
        <v>30</v>
      </c>
      <c r="G938" s="1" t="s">
        <v>24</v>
      </c>
      <c r="H938" s="1">
        <v>1</v>
      </c>
      <c r="I938" s="1" t="s">
        <v>703</v>
      </c>
      <c r="J938" s="1" t="s">
        <v>26</v>
      </c>
      <c r="K938" s="1">
        <v>26957350</v>
      </c>
      <c r="L938" s="1">
        <v>0</v>
      </c>
      <c r="M938" s="1">
        <v>0</v>
      </c>
      <c r="N938" s="1">
        <v>2965308.5</v>
      </c>
      <c r="O938" s="1">
        <v>0</v>
      </c>
      <c r="P938" s="1">
        <v>0</v>
      </c>
      <c r="Q938" s="1">
        <v>0</v>
      </c>
      <c r="R938" s="1">
        <v>29922658.5</v>
      </c>
      <c r="S938" s="1">
        <v>7499331</v>
      </c>
      <c r="T938" s="1">
        <v>27.819244102258001</v>
      </c>
      <c r="U938" t="str">
        <f t="shared" si="14"/>
        <v>Week 4</v>
      </c>
    </row>
    <row r="939" spans="1:21" x14ac:dyDescent="0.25">
      <c r="A939" s="1">
        <v>938</v>
      </c>
      <c r="B939" s="1" t="s">
        <v>704</v>
      </c>
      <c r="C939" s="2">
        <v>46076</v>
      </c>
      <c r="D939" s="1" t="s">
        <v>21</v>
      </c>
      <c r="E939" s="1" t="s">
        <v>22</v>
      </c>
      <c r="F939" s="1" t="s">
        <v>30</v>
      </c>
      <c r="G939" s="1" t="s">
        <v>24</v>
      </c>
      <c r="H939" s="1">
        <v>1</v>
      </c>
      <c r="I939" s="1" t="s">
        <v>705</v>
      </c>
      <c r="J939" s="1" t="s">
        <v>26</v>
      </c>
      <c r="K939" s="1">
        <v>2294180</v>
      </c>
      <c r="L939" s="1">
        <v>0</v>
      </c>
      <c r="M939" s="1">
        <v>0</v>
      </c>
      <c r="N939" s="1">
        <v>252359.8</v>
      </c>
      <c r="O939" s="1">
        <v>0</v>
      </c>
      <c r="P939" s="1">
        <v>0</v>
      </c>
      <c r="Q939" s="1">
        <v>0</v>
      </c>
      <c r="R939" s="1">
        <v>2546539.7999999998</v>
      </c>
      <c r="S939" s="1">
        <v>985180</v>
      </c>
      <c r="T939" s="1">
        <v>42.942576432537997</v>
      </c>
      <c r="U939" t="str">
        <f t="shared" si="14"/>
        <v>Week 4</v>
      </c>
    </row>
    <row r="940" spans="1:21" x14ac:dyDescent="0.25">
      <c r="A940" s="1">
        <v>939</v>
      </c>
      <c r="B940" s="1" t="s">
        <v>706</v>
      </c>
      <c r="C940" s="2">
        <v>46076</v>
      </c>
      <c r="D940" s="1" t="s">
        <v>21</v>
      </c>
      <c r="E940" s="1" t="s">
        <v>22</v>
      </c>
      <c r="F940" s="1" t="s">
        <v>30</v>
      </c>
      <c r="G940" s="1" t="s">
        <v>24</v>
      </c>
      <c r="H940" s="1">
        <v>1</v>
      </c>
      <c r="I940" s="1" t="s">
        <v>707</v>
      </c>
      <c r="J940" s="1" t="s">
        <v>26</v>
      </c>
      <c r="K940" s="1">
        <v>1299480</v>
      </c>
      <c r="L940" s="1">
        <v>0</v>
      </c>
      <c r="M940" s="1">
        <v>0</v>
      </c>
      <c r="N940" s="1">
        <v>142942.79999999999</v>
      </c>
      <c r="O940" s="1">
        <v>0</v>
      </c>
      <c r="P940" s="1">
        <v>0</v>
      </c>
      <c r="Q940" s="1">
        <v>0</v>
      </c>
      <c r="R940" s="1">
        <v>1442422.8</v>
      </c>
      <c r="S940" s="1">
        <v>921102</v>
      </c>
      <c r="T940" s="1">
        <v>70.882352941175995</v>
      </c>
      <c r="U940" t="str">
        <f t="shared" si="14"/>
        <v>Week 4</v>
      </c>
    </row>
    <row r="941" spans="1:21" x14ac:dyDescent="0.25">
      <c r="A941" s="1">
        <v>940</v>
      </c>
      <c r="B941" s="1" t="s">
        <v>708</v>
      </c>
      <c r="C941" s="2">
        <v>46076</v>
      </c>
      <c r="D941" s="1" t="s">
        <v>28</v>
      </c>
      <c r="E941" s="1" t="s">
        <v>29</v>
      </c>
      <c r="F941" s="1" t="s">
        <v>30</v>
      </c>
      <c r="G941" s="1" t="s">
        <v>24</v>
      </c>
      <c r="H941" s="1">
        <v>1</v>
      </c>
      <c r="I941" s="1" t="s">
        <v>709</v>
      </c>
      <c r="J941" s="1"/>
      <c r="K941" s="1">
        <v>51718460</v>
      </c>
      <c r="L941" s="1">
        <v>0</v>
      </c>
      <c r="M941" s="1">
        <v>0</v>
      </c>
      <c r="N941" s="1">
        <v>5689030.5999999996</v>
      </c>
      <c r="O941" s="1">
        <v>0</v>
      </c>
      <c r="P941" s="1">
        <v>0</v>
      </c>
      <c r="Q941" s="1">
        <v>0</v>
      </c>
      <c r="R941" s="1">
        <v>57407490.600000001</v>
      </c>
      <c r="S941" s="1">
        <v>-19188540</v>
      </c>
      <c r="T941" s="1">
        <v>-37.101916801080002</v>
      </c>
      <c r="U941" t="str">
        <f t="shared" si="14"/>
        <v>Week 4</v>
      </c>
    </row>
    <row r="942" spans="1:21" x14ac:dyDescent="0.25">
      <c r="A942" s="1">
        <v>941</v>
      </c>
      <c r="B942" s="1" t="s">
        <v>710</v>
      </c>
      <c r="C942" s="2">
        <v>46076</v>
      </c>
      <c r="D942" s="1" t="s">
        <v>202</v>
      </c>
      <c r="E942" s="1" t="s">
        <v>203</v>
      </c>
      <c r="F942" s="1" t="s">
        <v>30</v>
      </c>
      <c r="G942" s="1" t="s">
        <v>24</v>
      </c>
      <c r="H942" s="1">
        <v>1</v>
      </c>
      <c r="I942" s="1" t="s">
        <v>711</v>
      </c>
      <c r="J942" s="1" t="s">
        <v>56</v>
      </c>
      <c r="K942" s="1">
        <v>135074409</v>
      </c>
      <c r="L942" s="1">
        <v>0</v>
      </c>
      <c r="M942" s="1">
        <v>0</v>
      </c>
      <c r="N942" s="1">
        <v>14858184.99</v>
      </c>
      <c r="O942" s="1">
        <v>0</v>
      </c>
      <c r="P942" s="1">
        <v>0</v>
      </c>
      <c r="Q942" s="1">
        <v>0</v>
      </c>
      <c r="R942" s="1">
        <v>149932593.99000001</v>
      </c>
      <c r="S942" s="1">
        <v>28936320.48</v>
      </c>
      <c r="T942" s="1">
        <v>21.422503858595</v>
      </c>
      <c r="U942" t="str">
        <f t="shared" si="14"/>
        <v>Week 4</v>
      </c>
    </row>
    <row r="943" spans="1:21" x14ac:dyDescent="0.25">
      <c r="A943" s="1">
        <v>942</v>
      </c>
      <c r="B943" s="1" t="s">
        <v>712</v>
      </c>
      <c r="C943" s="2">
        <v>46076</v>
      </c>
      <c r="D943" s="1" t="s">
        <v>37</v>
      </c>
      <c r="E943" s="1" t="s">
        <v>38</v>
      </c>
      <c r="F943" s="1" t="s">
        <v>30</v>
      </c>
      <c r="G943" s="1" t="s">
        <v>24</v>
      </c>
      <c r="H943" s="1">
        <v>1</v>
      </c>
      <c r="I943" s="1" t="s">
        <v>713</v>
      </c>
      <c r="J943" s="1"/>
      <c r="K943" s="1">
        <v>1478387.82</v>
      </c>
      <c r="L943" s="1">
        <v>0</v>
      </c>
      <c r="M943" s="1">
        <v>0</v>
      </c>
      <c r="N943" s="1">
        <v>162622.66020000001</v>
      </c>
      <c r="O943" s="1">
        <v>0</v>
      </c>
      <c r="P943" s="1">
        <v>0</v>
      </c>
      <c r="Q943" s="1">
        <v>0</v>
      </c>
      <c r="R943" s="1">
        <v>1641010.4802000001</v>
      </c>
      <c r="S943" s="1">
        <v>517103.82</v>
      </c>
      <c r="T943" s="1">
        <v>34.977548719253001</v>
      </c>
      <c r="U943" t="str">
        <f t="shared" si="14"/>
        <v>Week 4</v>
      </c>
    </row>
    <row r="944" spans="1:21" x14ac:dyDescent="0.25">
      <c r="A944" s="1">
        <v>943</v>
      </c>
      <c r="B944" s="1" t="s">
        <v>714</v>
      </c>
      <c r="C944" s="2">
        <v>46076</v>
      </c>
      <c r="D944" s="1" t="s">
        <v>37</v>
      </c>
      <c r="E944" s="1" t="s">
        <v>38</v>
      </c>
      <c r="F944" s="1" t="s">
        <v>30</v>
      </c>
      <c r="G944" s="1" t="s">
        <v>24</v>
      </c>
      <c r="H944" s="1">
        <v>1</v>
      </c>
      <c r="I944" s="1" t="s">
        <v>715</v>
      </c>
      <c r="J944" s="1"/>
      <c r="K944" s="1">
        <v>13676923.119999999</v>
      </c>
      <c r="L944" s="1">
        <v>0</v>
      </c>
      <c r="M944" s="1">
        <v>0</v>
      </c>
      <c r="N944" s="1">
        <v>1504461.5432</v>
      </c>
      <c r="O944" s="1">
        <v>0</v>
      </c>
      <c r="P944" s="1">
        <v>0</v>
      </c>
      <c r="Q944" s="1">
        <v>0</v>
      </c>
      <c r="R944" s="1">
        <v>15181384.6632</v>
      </c>
      <c r="S944" s="1">
        <v>4271575.12</v>
      </c>
      <c r="T944" s="1">
        <v>31.231988967997999</v>
      </c>
      <c r="U944" t="str">
        <f t="shared" si="14"/>
        <v>Week 4</v>
      </c>
    </row>
    <row r="945" spans="1:21" x14ac:dyDescent="0.25">
      <c r="A945" s="1">
        <v>944</v>
      </c>
      <c r="B945" s="1" t="s">
        <v>716</v>
      </c>
      <c r="C945" s="2">
        <v>46076</v>
      </c>
      <c r="D945" s="1" t="s">
        <v>53</v>
      </c>
      <c r="E945" s="1" t="s">
        <v>54</v>
      </c>
      <c r="F945" s="1" t="s">
        <v>23</v>
      </c>
      <c r="G945" s="1" t="s">
        <v>24</v>
      </c>
      <c r="H945" s="1">
        <v>1</v>
      </c>
      <c r="I945" s="1" t="s">
        <v>302</v>
      </c>
      <c r="J945" s="1"/>
      <c r="K945" s="1">
        <v>186013853</v>
      </c>
      <c r="L945" s="1">
        <v>0</v>
      </c>
      <c r="M945" s="1">
        <v>0</v>
      </c>
      <c r="N945" s="1">
        <v>20461523.829999998</v>
      </c>
      <c r="O945" s="1">
        <v>0</v>
      </c>
      <c r="P945" s="1">
        <v>0</v>
      </c>
      <c r="Q945" s="1">
        <v>0</v>
      </c>
      <c r="R945" s="1">
        <v>206475376.83000001</v>
      </c>
      <c r="S945" s="1">
        <v>37807953</v>
      </c>
      <c r="T945" s="1">
        <v>20.325342650690001</v>
      </c>
      <c r="U945" t="str">
        <f t="shared" si="14"/>
        <v>Week 4</v>
      </c>
    </row>
    <row r="946" spans="1:21" x14ac:dyDescent="0.25">
      <c r="A946" s="1">
        <v>945</v>
      </c>
      <c r="B946" s="1" t="s">
        <v>717</v>
      </c>
      <c r="C946" s="2">
        <v>46074</v>
      </c>
      <c r="D946" s="1" t="s">
        <v>98</v>
      </c>
      <c r="E946" s="1" t="s">
        <v>99</v>
      </c>
      <c r="F946" s="1" t="s">
        <v>30</v>
      </c>
      <c r="G946" s="1" t="s">
        <v>24</v>
      </c>
      <c r="H946" s="1">
        <v>1</v>
      </c>
      <c r="I946" s="1" t="s">
        <v>718</v>
      </c>
      <c r="J946" s="1"/>
      <c r="K946" s="1">
        <v>115312733</v>
      </c>
      <c r="L946" s="1">
        <v>0</v>
      </c>
      <c r="M946" s="1">
        <v>0</v>
      </c>
      <c r="N946" s="1">
        <v>12684400.630000001</v>
      </c>
      <c r="O946" s="1">
        <v>0</v>
      </c>
      <c r="P946" s="1">
        <v>0</v>
      </c>
      <c r="Q946" s="1">
        <v>0</v>
      </c>
      <c r="R946" s="1">
        <v>127997133.63</v>
      </c>
      <c r="S946" s="1">
        <v>9811233</v>
      </c>
      <c r="T946" s="1">
        <v>8.5083691494850004</v>
      </c>
      <c r="U946" t="str">
        <f t="shared" si="14"/>
        <v>Week 3</v>
      </c>
    </row>
    <row r="947" spans="1:21" x14ac:dyDescent="0.25">
      <c r="A947" s="1">
        <v>946</v>
      </c>
      <c r="B947" s="1" t="s">
        <v>719</v>
      </c>
      <c r="C947" s="2">
        <v>46074</v>
      </c>
      <c r="D947" s="1" t="s">
        <v>37</v>
      </c>
      <c r="E947" s="1" t="s">
        <v>38</v>
      </c>
      <c r="F947" s="1" t="s">
        <v>23</v>
      </c>
      <c r="G947" s="1" t="s">
        <v>24</v>
      </c>
      <c r="H947" s="1">
        <v>1</v>
      </c>
      <c r="I947" s="1" t="s">
        <v>720</v>
      </c>
      <c r="J947" s="1"/>
      <c r="K947" s="1">
        <v>1372235</v>
      </c>
      <c r="L947" s="1">
        <v>0</v>
      </c>
      <c r="M947" s="1">
        <v>0</v>
      </c>
      <c r="N947" s="1">
        <v>150945.85</v>
      </c>
      <c r="O947" s="1">
        <v>0</v>
      </c>
      <c r="P947" s="1">
        <v>0</v>
      </c>
      <c r="Q947" s="1">
        <v>0</v>
      </c>
      <c r="R947" s="1">
        <v>1523180.85</v>
      </c>
      <c r="S947" s="1">
        <v>1192054.8</v>
      </c>
      <c r="T947" s="1">
        <v>86.869581376368004</v>
      </c>
      <c r="U947" t="str">
        <f t="shared" si="14"/>
        <v>Week 3</v>
      </c>
    </row>
    <row r="948" spans="1:21" x14ac:dyDescent="0.25">
      <c r="A948" s="1">
        <v>947</v>
      </c>
      <c r="B948" s="1" t="s">
        <v>721</v>
      </c>
      <c r="C948" s="2">
        <v>46074</v>
      </c>
      <c r="D948" s="1" t="s">
        <v>37</v>
      </c>
      <c r="E948" s="1" t="s">
        <v>38</v>
      </c>
      <c r="F948" s="1" t="s">
        <v>23</v>
      </c>
      <c r="G948" s="1" t="s">
        <v>24</v>
      </c>
      <c r="H948" s="1">
        <v>1</v>
      </c>
      <c r="I948" s="1" t="s">
        <v>722</v>
      </c>
      <c r="J948" s="1" t="s">
        <v>26</v>
      </c>
      <c r="K948" s="1">
        <v>11481090</v>
      </c>
      <c r="L948" s="1">
        <v>0</v>
      </c>
      <c r="M948" s="1">
        <v>0</v>
      </c>
      <c r="N948" s="1">
        <v>1262919.8999999999</v>
      </c>
      <c r="O948" s="1">
        <v>0</v>
      </c>
      <c r="P948" s="1">
        <v>0</v>
      </c>
      <c r="Q948" s="1">
        <v>0</v>
      </c>
      <c r="R948" s="1">
        <v>12744009.9</v>
      </c>
      <c r="S948" s="1">
        <v>1890297</v>
      </c>
      <c r="T948" s="1">
        <v>16.464438481015002</v>
      </c>
      <c r="U948" t="str">
        <f t="shared" si="14"/>
        <v>Week 3</v>
      </c>
    </row>
    <row r="949" spans="1:21" x14ac:dyDescent="0.25">
      <c r="A949" s="1">
        <v>948</v>
      </c>
      <c r="B949" s="1" t="s">
        <v>723</v>
      </c>
      <c r="C949" s="2">
        <v>46074</v>
      </c>
      <c r="D949" s="1" t="s">
        <v>98</v>
      </c>
      <c r="E949" s="1" t="s">
        <v>99</v>
      </c>
      <c r="F949" s="1" t="s">
        <v>23</v>
      </c>
      <c r="G949" s="1" t="s">
        <v>24</v>
      </c>
      <c r="H949" s="1">
        <v>1</v>
      </c>
      <c r="I949" s="1" t="s">
        <v>724</v>
      </c>
      <c r="J949" s="1"/>
      <c r="K949" s="1">
        <v>18685000</v>
      </c>
      <c r="L949" s="1">
        <v>0</v>
      </c>
      <c r="M949" s="1">
        <v>0</v>
      </c>
      <c r="N949" s="1">
        <v>2055350</v>
      </c>
      <c r="O949" s="1">
        <v>0</v>
      </c>
      <c r="P949" s="1">
        <v>0</v>
      </c>
      <c r="Q949" s="1">
        <v>0</v>
      </c>
      <c r="R949" s="1">
        <v>20740350</v>
      </c>
      <c r="S949" s="1">
        <v>14164000</v>
      </c>
      <c r="T949" s="1">
        <v>75.804120952635998</v>
      </c>
      <c r="U949" t="str">
        <f t="shared" si="14"/>
        <v>Week 3</v>
      </c>
    </row>
    <row r="950" spans="1:21" x14ac:dyDescent="0.25">
      <c r="A950" s="1">
        <v>949</v>
      </c>
      <c r="B950" s="1" t="s">
        <v>725</v>
      </c>
      <c r="C950" s="2">
        <v>46074</v>
      </c>
      <c r="D950" s="1" t="s">
        <v>202</v>
      </c>
      <c r="E950" s="1" t="s">
        <v>203</v>
      </c>
      <c r="F950" s="1" t="s">
        <v>30</v>
      </c>
      <c r="G950" s="1" t="s">
        <v>24</v>
      </c>
      <c r="H950" s="1">
        <v>1</v>
      </c>
      <c r="I950" s="1" t="s">
        <v>2738</v>
      </c>
      <c r="J950" s="1" t="s">
        <v>26</v>
      </c>
      <c r="K950" s="1">
        <v>19786200</v>
      </c>
      <c r="L950" s="1">
        <v>0</v>
      </c>
      <c r="M950" s="1">
        <v>0</v>
      </c>
      <c r="N950" s="1">
        <v>2176482</v>
      </c>
      <c r="O950" s="1">
        <v>0</v>
      </c>
      <c r="P950" s="1">
        <v>0</v>
      </c>
      <c r="Q950" s="1">
        <v>0</v>
      </c>
      <c r="R950" s="1">
        <v>21962682</v>
      </c>
      <c r="S950" s="1">
        <v>4302331.5315314997</v>
      </c>
      <c r="T950" s="1">
        <v>21.744102109204999</v>
      </c>
      <c r="U950" t="str">
        <f t="shared" si="14"/>
        <v>Week 3</v>
      </c>
    </row>
    <row r="951" spans="1:21" x14ac:dyDescent="0.25">
      <c r="A951" s="1">
        <v>950</v>
      </c>
      <c r="B951" s="1" t="s">
        <v>726</v>
      </c>
      <c r="C951" s="2">
        <v>46074</v>
      </c>
      <c r="D951" s="1" t="s">
        <v>21</v>
      </c>
      <c r="E951" s="1" t="s">
        <v>22</v>
      </c>
      <c r="F951" s="1" t="s">
        <v>23</v>
      </c>
      <c r="G951" s="1" t="s">
        <v>24</v>
      </c>
      <c r="H951" s="1">
        <v>1</v>
      </c>
      <c r="I951" s="1" t="s">
        <v>727</v>
      </c>
      <c r="J951" s="1" t="s">
        <v>26</v>
      </c>
      <c r="K951" s="1">
        <v>16135483.5</v>
      </c>
      <c r="L951" s="1">
        <v>0</v>
      </c>
      <c r="M951" s="1">
        <v>0</v>
      </c>
      <c r="N951" s="1">
        <v>1774903.1850000001</v>
      </c>
      <c r="O951" s="1">
        <v>0</v>
      </c>
      <c r="P951" s="1">
        <v>0</v>
      </c>
      <c r="Q951" s="1">
        <v>0</v>
      </c>
      <c r="R951" s="1">
        <v>17910386.684999999</v>
      </c>
      <c r="S951" s="1">
        <v>6131158.1571185002</v>
      </c>
      <c r="T951" s="1">
        <v>37.997982255186002</v>
      </c>
      <c r="U951" t="str">
        <f t="shared" si="14"/>
        <v>Week 3</v>
      </c>
    </row>
    <row r="952" spans="1:21" x14ac:dyDescent="0.25">
      <c r="A952" s="1">
        <v>951</v>
      </c>
      <c r="B952" s="1" t="s">
        <v>728</v>
      </c>
      <c r="C952" s="2">
        <v>46074</v>
      </c>
      <c r="D952" s="1" t="s">
        <v>98</v>
      </c>
      <c r="E952" s="1" t="s">
        <v>99</v>
      </c>
      <c r="F952" s="1" t="s">
        <v>30</v>
      </c>
      <c r="G952" s="1" t="s">
        <v>24</v>
      </c>
      <c r="H952" s="1">
        <v>1</v>
      </c>
      <c r="I952" s="1" t="s">
        <v>2818</v>
      </c>
      <c r="J952" s="1" t="s">
        <v>26</v>
      </c>
      <c r="K952" s="1">
        <v>676200</v>
      </c>
      <c r="L952" s="1">
        <v>0</v>
      </c>
      <c r="M952" s="1">
        <v>0</v>
      </c>
      <c r="N952" s="1">
        <v>74382</v>
      </c>
      <c r="O952" s="1">
        <v>0</v>
      </c>
      <c r="P952" s="1">
        <v>0</v>
      </c>
      <c r="Q952" s="1">
        <v>0</v>
      </c>
      <c r="R952" s="1">
        <v>750582</v>
      </c>
      <c r="S952" s="1">
        <v>126200</v>
      </c>
      <c r="T952" s="1">
        <v>18.663117420881001</v>
      </c>
      <c r="U952" t="str">
        <f t="shared" si="14"/>
        <v>Week 3</v>
      </c>
    </row>
    <row r="953" spans="1:21" x14ac:dyDescent="0.25">
      <c r="A953" s="1">
        <v>952</v>
      </c>
      <c r="B953" s="1" t="s">
        <v>730</v>
      </c>
      <c r="C953" s="2">
        <v>46074</v>
      </c>
      <c r="D953" s="1" t="s">
        <v>98</v>
      </c>
      <c r="E953" s="1" t="s">
        <v>99</v>
      </c>
      <c r="F953" s="1" t="s">
        <v>30</v>
      </c>
      <c r="G953" s="1" t="s">
        <v>24</v>
      </c>
      <c r="H953" s="1">
        <v>1</v>
      </c>
      <c r="I953" s="1" t="s">
        <v>2819</v>
      </c>
      <c r="J953" s="1"/>
      <c r="K953" s="1">
        <v>637000</v>
      </c>
      <c r="L953" s="1">
        <v>0</v>
      </c>
      <c r="M953" s="1">
        <v>0</v>
      </c>
      <c r="N953" s="1">
        <v>70070</v>
      </c>
      <c r="O953" s="1">
        <v>0</v>
      </c>
      <c r="P953" s="1">
        <v>0</v>
      </c>
      <c r="Q953" s="1">
        <v>0</v>
      </c>
      <c r="R953" s="1">
        <v>707070</v>
      </c>
      <c r="S953" s="1">
        <v>204567.56756756999</v>
      </c>
      <c r="T953" s="1">
        <v>32.114217828504003</v>
      </c>
      <c r="U953" t="str">
        <f t="shared" si="14"/>
        <v>Week 3</v>
      </c>
    </row>
    <row r="954" spans="1:21" x14ac:dyDescent="0.25">
      <c r="A954" s="1">
        <v>953</v>
      </c>
      <c r="B954" s="1" t="s">
        <v>731</v>
      </c>
      <c r="C954" s="2">
        <v>46074</v>
      </c>
      <c r="D954" s="1" t="s">
        <v>21</v>
      </c>
      <c r="E954" s="1" t="s">
        <v>22</v>
      </c>
      <c r="F954" s="1" t="s">
        <v>30</v>
      </c>
      <c r="G954" s="1" t="s">
        <v>24</v>
      </c>
      <c r="H954" s="1">
        <v>1</v>
      </c>
      <c r="I954" s="1" t="s">
        <v>732</v>
      </c>
      <c r="J954" s="1" t="s">
        <v>26</v>
      </c>
      <c r="K954" s="1">
        <v>7967400</v>
      </c>
      <c r="L954" s="1">
        <v>0</v>
      </c>
      <c r="M954" s="1">
        <v>0</v>
      </c>
      <c r="N954" s="1">
        <v>876414</v>
      </c>
      <c r="O954" s="1">
        <v>0</v>
      </c>
      <c r="P954" s="1">
        <v>0</v>
      </c>
      <c r="Q954" s="1">
        <v>0</v>
      </c>
      <c r="R954" s="1">
        <v>8843814</v>
      </c>
      <c r="S954" s="1">
        <v>381400</v>
      </c>
      <c r="T954" s="1">
        <v>4.7870070537440004</v>
      </c>
      <c r="U954" t="str">
        <f t="shared" si="14"/>
        <v>Week 3</v>
      </c>
    </row>
    <row r="955" spans="1:21" x14ac:dyDescent="0.25">
      <c r="A955" s="1">
        <v>954</v>
      </c>
      <c r="B955" s="1" t="s">
        <v>733</v>
      </c>
      <c r="C955" s="2">
        <v>46073</v>
      </c>
      <c r="D955" s="1" t="s">
        <v>53</v>
      </c>
      <c r="E955" s="1" t="s">
        <v>54</v>
      </c>
      <c r="F955" s="1" t="s">
        <v>23</v>
      </c>
      <c r="G955" s="1" t="s">
        <v>24</v>
      </c>
      <c r="H955" s="1">
        <v>1</v>
      </c>
      <c r="I955" s="1" t="s">
        <v>302</v>
      </c>
      <c r="J955" s="1"/>
      <c r="K955" s="1">
        <v>799999</v>
      </c>
      <c r="L955" s="1">
        <v>0</v>
      </c>
      <c r="M955" s="1">
        <v>0</v>
      </c>
      <c r="N955" s="1">
        <v>87999.89</v>
      </c>
      <c r="O955" s="1">
        <v>0</v>
      </c>
      <c r="P955" s="1">
        <v>0</v>
      </c>
      <c r="Q955" s="1">
        <v>0</v>
      </c>
      <c r="R955" s="1">
        <v>887998.89</v>
      </c>
      <c r="S955" s="1">
        <v>133332.34</v>
      </c>
      <c r="T955" s="1">
        <v>16.666563333204</v>
      </c>
      <c r="U955" t="str">
        <f t="shared" si="14"/>
        <v>Week 3</v>
      </c>
    </row>
    <row r="956" spans="1:21" x14ac:dyDescent="0.25">
      <c r="A956" s="1">
        <v>955</v>
      </c>
      <c r="B956" s="1" t="s">
        <v>734</v>
      </c>
      <c r="C956" s="2">
        <v>46073</v>
      </c>
      <c r="D956" s="1" t="s">
        <v>202</v>
      </c>
      <c r="E956" s="1" t="s">
        <v>203</v>
      </c>
      <c r="F956" s="1" t="s">
        <v>30</v>
      </c>
      <c r="G956" s="1" t="s">
        <v>24</v>
      </c>
      <c r="H956" s="1">
        <v>1</v>
      </c>
      <c r="I956" s="1" t="s">
        <v>2739</v>
      </c>
      <c r="J956" s="1" t="s">
        <v>26</v>
      </c>
      <c r="K956" s="1">
        <v>34740242.460000001</v>
      </c>
      <c r="L956" s="1">
        <v>0</v>
      </c>
      <c r="M956" s="1">
        <v>0</v>
      </c>
      <c r="N956" s="1">
        <v>3821426.6705999998</v>
      </c>
      <c r="O956" s="1">
        <v>0</v>
      </c>
      <c r="P956" s="1">
        <v>0</v>
      </c>
      <c r="Q956" s="1">
        <v>0</v>
      </c>
      <c r="R956" s="1">
        <v>38561669.130599998</v>
      </c>
      <c r="S956" s="1">
        <v>9071442.4600000009</v>
      </c>
      <c r="T956" s="1">
        <v>26.112202499578999</v>
      </c>
      <c r="U956" t="str">
        <f t="shared" si="14"/>
        <v>Week 3</v>
      </c>
    </row>
    <row r="957" spans="1:21" x14ac:dyDescent="0.25">
      <c r="A957" s="1">
        <v>956</v>
      </c>
      <c r="B957" s="1" t="s">
        <v>735</v>
      </c>
      <c r="C957" s="2">
        <v>46073</v>
      </c>
      <c r="D957" s="1" t="s">
        <v>21</v>
      </c>
      <c r="E957" s="1" t="s">
        <v>22</v>
      </c>
      <c r="F957" s="1" t="s">
        <v>30</v>
      </c>
      <c r="G957" s="1" t="s">
        <v>24</v>
      </c>
      <c r="H957" s="1">
        <v>1</v>
      </c>
      <c r="I957" s="1" t="s">
        <v>736</v>
      </c>
      <c r="J957" s="1" t="s">
        <v>26</v>
      </c>
      <c r="K957" s="1">
        <v>102900000</v>
      </c>
      <c r="L957" s="1">
        <v>0</v>
      </c>
      <c r="M957" s="1">
        <v>0</v>
      </c>
      <c r="N957" s="1">
        <v>11319000</v>
      </c>
      <c r="O957" s="1">
        <v>0</v>
      </c>
      <c r="P957" s="1">
        <v>0</v>
      </c>
      <c r="Q957" s="1">
        <v>0</v>
      </c>
      <c r="R957" s="1">
        <v>114219000</v>
      </c>
      <c r="S957" s="1">
        <v>31650000</v>
      </c>
      <c r="T957" s="1">
        <v>30.758017492711001</v>
      </c>
      <c r="U957" t="str">
        <f t="shared" si="14"/>
        <v>Week 3</v>
      </c>
    </row>
    <row r="958" spans="1:21" x14ac:dyDescent="0.25">
      <c r="A958" s="1">
        <v>957</v>
      </c>
      <c r="B958" s="1" t="s">
        <v>737</v>
      </c>
      <c r="C958" s="2">
        <v>46073</v>
      </c>
      <c r="D958" s="1" t="s">
        <v>33</v>
      </c>
      <c r="E958" s="1" t="s">
        <v>38</v>
      </c>
      <c r="F958" s="1" t="s">
        <v>23</v>
      </c>
      <c r="G958" s="1" t="s">
        <v>24</v>
      </c>
      <c r="H958" s="1">
        <v>1</v>
      </c>
      <c r="I958" s="1" t="s">
        <v>738</v>
      </c>
      <c r="J958" s="1" t="s">
        <v>739</v>
      </c>
      <c r="K958" s="1">
        <v>8332050</v>
      </c>
      <c r="L958" s="1">
        <v>0</v>
      </c>
      <c r="M958" s="1">
        <v>0</v>
      </c>
      <c r="N958" s="1">
        <v>916525.5</v>
      </c>
      <c r="O958" s="1">
        <v>0</v>
      </c>
      <c r="P958" s="1">
        <v>0</v>
      </c>
      <c r="Q958" s="1">
        <v>0</v>
      </c>
      <c r="R958" s="1">
        <v>9248575.5</v>
      </c>
      <c r="S958" s="1">
        <v>2370050</v>
      </c>
      <c r="T958" s="1">
        <v>28.444980527001</v>
      </c>
      <c r="U958" t="str">
        <f t="shared" si="14"/>
        <v>Week 3</v>
      </c>
    </row>
    <row r="959" spans="1:21" x14ac:dyDescent="0.25">
      <c r="A959" s="1">
        <v>958</v>
      </c>
      <c r="B959" s="1" t="s">
        <v>740</v>
      </c>
      <c r="C959" s="2">
        <v>46073</v>
      </c>
      <c r="D959" s="1" t="s">
        <v>306</v>
      </c>
      <c r="E959" s="1" t="s">
        <v>99</v>
      </c>
      <c r="F959" s="1" t="s">
        <v>23</v>
      </c>
      <c r="G959" s="1" t="s">
        <v>24</v>
      </c>
      <c r="H959" s="1">
        <v>1</v>
      </c>
      <c r="I959" s="1" t="s">
        <v>691</v>
      </c>
      <c r="J959" s="1"/>
      <c r="K959" s="1">
        <v>4275500</v>
      </c>
      <c r="L959" s="1">
        <v>0</v>
      </c>
      <c r="M959" s="1">
        <v>0</v>
      </c>
      <c r="N959" s="1">
        <v>470305</v>
      </c>
      <c r="O959" s="1">
        <v>0</v>
      </c>
      <c r="P959" s="1">
        <v>0</v>
      </c>
      <c r="Q959" s="1">
        <v>0</v>
      </c>
      <c r="R959" s="1">
        <v>4745805</v>
      </c>
      <c r="S959" s="1">
        <v>1050500</v>
      </c>
      <c r="T959" s="1">
        <v>24.570225704596002</v>
      </c>
      <c r="U959" t="str">
        <f t="shared" si="14"/>
        <v>Week 3</v>
      </c>
    </row>
    <row r="960" spans="1:21" x14ac:dyDescent="0.25">
      <c r="A960" s="1">
        <v>959</v>
      </c>
      <c r="B960" s="1" t="s">
        <v>741</v>
      </c>
      <c r="C960" s="2">
        <v>46073</v>
      </c>
      <c r="D960" s="1" t="s">
        <v>33</v>
      </c>
      <c r="E960" s="1" t="s">
        <v>38</v>
      </c>
      <c r="F960" s="1" t="s">
        <v>23</v>
      </c>
      <c r="G960" s="1" t="s">
        <v>24</v>
      </c>
      <c r="H960" s="1">
        <v>1</v>
      </c>
      <c r="I960" s="1" t="s">
        <v>742</v>
      </c>
      <c r="J960" s="1"/>
      <c r="K960" s="1">
        <v>25352600</v>
      </c>
      <c r="L960" s="1">
        <v>0</v>
      </c>
      <c r="M960" s="1">
        <v>0</v>
      </c>
      <c r="N960" s="1">
        <v>2788786</v>
      </c>
      <c r="O960" s="1">
        <v>0</v>
      </c>
      <c r="P960" s="1">
        <v>0</v>
      </c>
      <c r="Q960" s="1">
        <v>0</v>
      </c>
      <c r="R960" s="1">
        <v>28141386</v>
      </c>
      <c r="S960" s="1">
        <v>4735300</v>
      </c>
      <c r="T960" s="1">
        <v>18.677768749556002</v>
      </c>
      <c r="U960" t="str">
        <f t="shared" si="14"/>
        <v>Week 3</v>
      </c>
    </row>
    <row r="961" spans="1:21" x14ac:dyDescent="0.25">
      <c r="A961" s="1">
        <v>960</v>
      </c>
      <c r="B961" s="1" t="s">
        <v>743</v>
      </c>
      <c r="C961" s="2">
        <v>46073</v>
      </c>
      <c r="D961" s="1" t="s">
        <v>53</v>
      </c>
      <c r="E961" s="1" t="s">
        <v>54</v>
      </c>
      <c r="F961" s="1" t="s">
        <v>23</v>
      </c>
      <c r="G961" s="1" t="s">
        <v>24</v>
      </c>
      <c r="H961" s="1">
        <v>1</v>
      </c>
      <c r="I961" s="1" t="s">
        <v>302</v>
      </c>
      <c r="J961" s="1"/>
      <c r="K961" s="1">
        <v>4225400</v>
      </c>
      <c r="L961" s="1">
        <v>0</v>
      </c>
      <c r="M961" s="1">
        <v>0</v>
      </c>
      <c r="N961" s="1">
        <v>464794</v>
      </c>
      <c r="O961" s="1">
        <v>0</v>
      </c>
      <c r="P961" s="1">
        <v>0</v>
      </c>
      <c r="Q961" s="1">
        <v>0</v>
      </c>
      <c r="R961" s="1">
        <v>4690194</v>
      </c>
      <c r="S961" s="1">
        <v>940900</v>
      </c>
      <c r="T961" s="1">
        <v>22.267714299238001</v>
      </c>
      <c r="U961" t="str">
        <f t="shared" si="14"/>
        <v>Week 3</v>
      </c>
    </row>
    <row r="962" spans="1:21" x14ac:dyDescent="0.25">
      <c r="A962" s="1">
        <v>961</v>
      </c>
      <c r="B962" s="1" t="s">
        <v>744</v>
      </c>
      <c r="C962" s="2">
        <v>46073</v>
      </c>
      <c r="D962" s="1" t="s">
        <v>184</v>
      </c>
      <c r="E962" s="1" t="s">
        <v>116</v>
      </c>
      <c r="F962" s="1" t="s">
        <v>30</v>
      </c>
      <c r="G962" s="1" t="s">
        <v>24</v>
      </c>
      <c r="H962" s="1">
        <v>1</v>
      </c>
      <c r="I962" s="1" t="s">
        <v>571</v>
      </c>
      <c r="J962" s="1" t="s">
        <v>26</v>
      </c>
      <c r="K962" s="1">
        <v>664440</v>
      </c>
      <c r="L962" s="1">
        <v>0</v>
      </c>
      <c r="M962" s="1">
        <v>0</v>
      </c>
      <c r="N962" s="1">
        <v>73088.399999999994</v>
      </c>
      <c r="O962" s="1">
        <v>0</v>
      </c>
      <c r="P962" s="1">
        <v>0</v>
      </c>
      <c r="Q962" s="1">
        <v>0</v>
      </c>
      <c r="R962" s="1">
        <v>737528.4</v>
      </c>
      <c r="S962" s="1">
        <v>160440</v>
      </c>
      <c r="T962" s="1">
        <v>24.146649810366998</v>
      </c>
      <c r="U962" t="str">
        <f t="shared" si="14"/>
        <v>Week 3</v>
      </c>
    </row>
    <row r="963" spans="1:21" x14ac:dyDescent="0.25">
      <c r="A963" s="1">
        <v>962</v>
      </c>
      <c r="B963" s="1" t="s">
        <v>745</v>
      </c>
      <c r="C963" s="2">
        <v>46073</v>
      </c>
      <c r="D963" s="1" t="s">
        <v>53</v>
      </c>
      <c r="E963" s="1" t="s">
        <v>54</v>
      </c>
      <c r="F963" s="1" t="s">
        <v>30</v>
      </c>
      <c r="G963" s="1" t="s">
        <v>24</v>
      </c>
      <c r="H963" s="1">
        <v>1</v>
      </c>
      <c r="I963" s="1" t="s">
        <v>746</v>
      </c>
      <c r="J963" s="1"/>
      <c r="K963" s="1">
        <v>79954218</v>
      </c>
      <c r="L963" s="1">
        <v>0</v>
      </c>
      <c r="M963" s="1">
        <v>0</v>
      </c>
      <c r="N963" s="1">
        <v>8794963.9800000004</v>
      </c>
      <c r="O963" s="1">
        <v>0</v>
      </c>
      <c r="P963" s="1">
        <v>0</v>
      </c>
      <c r="Q963" s="1">
        <v>0</v>
      </c>
      <c r="R963" s="1">
        <v>88749181.980000004</v>
      </c>
      <c r="S963" s="1">
        <v>1608174</v>
      </c>
      <c r="T963" s="1">
        <v>2.0113685559404</v>
      </c>
      <c r="U963" t="str">
        <f t="shared" ref="U963:U1026" si="15">"Week "&amp;IF(DAY(C963)&gt;=24,4,INT((DAY(C963)-1)/7)+1)</f>
        <v>Week 3</v>
      </c>
    </row>
    <row r="964" spans="1:21" x14ac:dyDescent="0.25">
      <c r="A964" s="1">
        <v>963</v>
      </c>
      <c r="B964" s="1" t="s">
        <v>750</v>
      </c>
      <c r="C964" s="2">
        <v>46073</v>
      </c>
      <c r="D964" s="1" t="s">
        <v>21</v>
      </c>
      <c r="E964" s="1" t="s">
        <v>22</v>
      </c>
      <c r="F964" s="1" t="s">
        <v>23</v>
      </c>
      <c r="G964" s="1" t="s">
        <v>24</v>
      </c>
      <c r="H964" s="1">
        <v>1</v>
      </c>
      <c r="I964" s="1" t="s">
        <v>147</v>
      </c>
      <c r="J964" s="1" t="s">
        <v>26</v>
      </c>
      <c r="K964" s="1">
        <v>470000</v>
      </c>
      <c r="L964" s="1">
        <v>0</v>
      </c>
      <c r="M964" s="1">
        <v>0</v>
      </c>
      <c r="N964" s="1">
        <v>51700</v>
      </c>
      <c r="O964" s="1">
        <v>0</v>
      </c>
      <c r="P964" s="1">
        <v>0</v>
      </c>
      <c r="Q964" s="1">
        <v>0</v>
      </c>
      <c r="R964" s="1">
        <v>521700</v>
      </c>
      <c r="S964" s="1">
        <v>110000</v>
      </c>
      <c r="T964" s="1">
        <v>23.404255319149001</v>
      </c>
      <c r="U964" t="str">
        <f t="shared" si="15"/>
        <v>Week 3</v>
      </c>
    </row>
    <row r="965" spans="1:21" x14ac:dyDescent="0.25">
      <c r="A965" s="1">
        <v>964</v>
      </c>
      <c r="B965" s="1" t="s">
        <v>751</v>
      </c>
      <c r="C965" s="2">
        <v>46072</v>
      </c>
      <c r="D965" s="1" t="s">
        <v>202</v>
      </c>
      <c r="E965" s="1" t="s">
        <v>203</v>
      </c>
      <c r="F965" s="1" t="s">
        <v>30</v>
      </c>
      <c r="G965" s="1" t="s">
        <v>24</v>
      </c>
      <c r="H965" s="1">
        <v>1</v>
      </c>
      <c r="I965" s="1" t="s">
        <v>752</v>
      </c>
      <c r="J965" s="1" t="s">
        <v>26</v>
      </c>
      <c r="K965" s="1">
        <v>19309067.423500001</v>
      </c>
      <c r="L965" s="1">
        <v>0</v>
      </c>
      <c r="M965" s="1">
        <v>0</v>
      </c>
      <c r="N965" s="1">
        <v>2123997.4165850002</v>
      </c>
      <c r="O965" s="1">
        <v>0</v>
      </c>
      <c r="P965" s="1">
        <v>0</v>
      </c>
      <c r="Q965" s="1">
        <v>0</v>
      </c>
      <c r="R965" s="1">
        <v>21433064.840085</v>
      </c>
      <c r="S965" s="1">
        <v>3917464.7195361</v>
      </c>
      <c r="T965" s="1">
        <v>20.288212960344001</v>
      </c>
      <c r="U965" t="str">
        <f t="shared" si="15"/>
        <v>Week 3</v>
      </c>
    </row>
    <row r="966" spans="1:21" x14ac:dyDescent="0.25">
      <c r="A966" s="1">
        <v>965</v>
      </c>
      <c r="B966" s="1" t="s">
        <v>753</v>
      </c>
      <c r="C966" s="2">
        <v>46072</v>
      </c>
      <c r="D966" s="1" t="s">
        <v>53</v>
      </c>
      <c r="E966" s="1" t="s">
        <v>54</v>
      </c>
      <c r="F966" s="1" t="s">
        <v>30</v>
      </c>
      <c r="G966" s="1" t="s">
        <v>24</v>
      </c>
      <c r="H966" s="1">
        <v>1</v>
      </c>
      <c r="I966" s="1" t="s">
        <v>754</v>
      </c>
      <c r="J966" s="1"/>
      <c r="K966" s="1">
        <v>2869096.23</v>
      </c>
      <c r="L966" s="1">
        <v>0</v>
      </c>
      <c r="M966" s="1">
        <v>0</v>
      </c>
      <c r="N966" s="1">
        <v>315600.58529999998</v>
      </c>
      <c r="O966" s="1">
        <v>0</v>
      </c>
      <c r="P966" s="1">
        <v>0</v>
      </c>
      <c r="Q966" s="1">
        <v>0</v>
      </c>
      <c r="R966" s="1">
        <v>3184696.8152999999</v>
      </c>
      <c r="S966" s="1">
        <v>1369096.23</v>
      </c>
      <c r="T966" s="1">
        <v>47.718728137606</v>
      </c>
      <c r="U966" t="str">
        <f t="shared" si="15"/>
        <v>Week 3</v>
      </c>
    </row>
    <row r="967" spans="1:21" x14ac:dyDescent="0.25">
      <c r="A967" s="1">
        <v>966</v>
      </c>
      <c r="B967" s="1" t="s">
        <v>755</v>
      </c>
      <c r="C967" s="2">
        <v>46072</v>
      </c>
      <c r="D967" s="1" t="s">
        <v>33</v>
      </c>
      <c r="E967" s="1" t="s">
        <v>34</v>
      </c>
      <c r="F967" s="1" t="s">
        <v>23</v>
      </c>
      <c r="G967" s="1" t="s">
        <v>24</v>
      </c>
      <c r="H967" s="1">
        <v>1</v>
      </c>
      <c r="I967" s="1" t="s">
        <v>756</v>
      </c>
      <c r="J967" s="1"/>
      <c r="K967" s="1">
        <v>27858000</v>
      </c>
      <c r="L967" s="1">
        <v>0</v>
      </c>
      <c r="M967" s="1">
        <v>0</v>
      </c>
      <c r="N967" s="1">
        <v>3064380</v>
      </c>
      <c r="O967" s="1">
        <v>0</v>
      </c>
      <c r="P967" s="1">
        <v>0</v>
      </c>
      <c r="Q967" s="1">
        <v>0</v>
      </c>
      <c r="R967" s="1">
        <v>30922380</v>
      </c>
      <c r="S967" s="1">
        <v>7087050</v>
      </c>
      <c r="T967" s="1">
        <v>25.439909541245001</v>
      </c>
      <c r="U967" t="str">
        <f t="shared" si="15"/>
        <v>Week 3</v>
      </c>
    </row>
    <row r="968" spans="1:21" x14ac:dyDescent="0.25">
      <c r="A968" s="1">
        <v>967</v>
      </c>
      <c r="B968" s="1" t="s">
        <v>757</v>
      </c>
      <c r="C968" s="2">
        <v>46072</v>
      </c>
      <c r="D968" s="1" t="s">
        <v>53</v>
      </c>
      <c r="E968" s="1" t="s">
        <v>54</v>
      </c>
      <c r="F968" s="1" t="s">
        <v>23</v>
      </c>
      <c r="G968" s="1" t="s">
        <v>24</v>
      </c>
      <c r="H968" s="1">
        <v>1</v>
      </c>
      <c r="I968" s="1" t="s">
        <v>302</v>
      </c>
      <c r="J968" s="1"/>
      <c r="K968" s="1">
        <v>210000</v>
      </c>
      <c r="L968" s="1">
        <v>0</v>
      </c>
      <c r="M968" s="1">
        <v>0</v>
      </c>
      <c r="N968" s="1">
        <v>23100</v>
      </c>
      <c r="O968" s="1">
        <v>0</v>
      </c>
      <c r="P968" s="1">
        <v>0</v>
      </c>
      <c r="Q968" s="1">
        <v>0</v>
      </c>
      <c r="R968" s="1">
        <v>233100</v>
      </c>
      <c r="S968" s="1">
        <v>40000</v>
      </c>
      <c r="T968" s="1">
        <v>19.047619047619001</v>
      </c>
      <c r="U968" t="str">
        <f t="shared" si="15"/>
        <v>Week 3</v>
      </c>
    </row>
    <row r="969" spans="1:21" x14ac:dyDescent="0.25">
      <c r="A969" s="1">
        <v>968</v>
      </c>
      <c r="B969" s="1" t="s">
        <v>758</v>
      </c>
      <c r="C969" s="2">
        <v>46072</v>
      </c>
      <c r="D969" s="1" t="s">
        <v>53</v>
      </c>
      <c r="E969" s="1" t="s">
        <v>54</v>
      </c>
      <c r="F969" s="1" t="s">
        <v>23</v>
      </c>
      <c r="G969" s="1" t="s">
        <v>24</v>
      </c>
      <c r="H969" s="1">
        <v>1</v>
      </c>
      <c r="I969" s="1" t="s">
        <v>759</v>
      </c>
      <c r="J969" s="1"/>
      <c r="K969" s="1">
        <v>93434060</v>
      </c>
      <c r="L969" s="1">
        <v>0</v>
      </c>
      <c r="M969" s="1">
        <v>0</v>
      </c>
      <c r="N969" s="1">
        <v>10277746.6</v>
      </c>
      <c r="O969" s="1">
        <v>0</v>
      </c>
      <c r="P969" s="1">
        <v>0</v>
      </c>
      <c r="Q969" s="1">
        <v>0</v>
      </c>
      <c r="R969" s="1">
        <v>103711806.59999999</v>
      </c>
      <c r="S969" s="1">
        <v>23670409.547658</v>
      </c>
      <c r="T969" s="1">
        <v>25.333812474441999</v>
      </c>
      <c r="U969" t="str">
        <f t="shared" si="15"/>
        <v>Week 3</v>
      </c>
    </row>
    <row r="970" spans="1:21" x14ac:dyDescent="0.25">
      <c r="A970" s="1">
        <v>969</v>
      </c>
      <c r="B970" s="1" t="s">
        <v>760</v>
      </c>
      <c r="C970" s="2">
        <v>46072</v>
      </c>
      <c r="D970" s="1" t="s">
        <v>321</v>
      </c>
      <c r="E970" s="1" t="s">
        <v>192</v>
      </c>
      <c r="F970" s="1" t="s">
        <v>30</v>
      </c>
      <c r="G970" s="1" t="s">
        <v>24</v>
      </c>
      <c r="H970" s="1">
        <v>1</v>
      </c>
      <c r="I970" s="1" t="s">
        <v>322</v>
      </c>
      <c r="J970" s="1" t="s">
        <v>56</v>
      </c>
      <c r="K970" s="1">
        <v>400000</v>
      </c>
      <c r="L970" s="1">
        <v>0</v>
      </c>
      <c r="M970" s="1">
        <v>0</v>
      </c>
      <c r="N970" s="1">
        <v>44000</v>
      </c>
      <c r="O970" s="1">
        <v>0</v>
      </c>
      <c r="P970" s="1">
        <v>0</v>
      </c>
      <c r="Q970" s="1">
        <v>0</v>
      </c>
      <c r="R970" s="1">
        <v>444000</v>
      </c>
      <c r="S970" s="1">
        <v>128864.86</v>
      </c>
      <c r="T970" s="1">
        <v>32.216214999999998</v>
      </c>
      <c r="U970" t="str">
        <f t="shared" si="15"/>
        <v>Week 3</v>
      </c>
    </row>
    <row r="971" spans="1:21" x14ac:dyDescent="0.25">
      <c r="A971" s="1">
        <v>970</v>
      </c>
      <c r="B971" s="1" t="s">
        <v>761</v>
      </c>
      <c r="C971" s="2">
        <v>46072</v>
      </c>
      <c r="D971" s="1" t="s">
        <v>37</v>
      </c>
      <c r="E971" s="1" t="s">
        <v>38</v>
      </c>
      <c r="F971" s="1" t="s">
        <v>30</v>
      </c>
      <c r="G971" s="1" t="s">
        <v>24</v>
      </c>
      <c r="H971" s="1">
        <v>1</v>
      </c>
      <c r="I971" s="1" t="s">
        <v>762</v>
      </c>
      <c r="J971" s="1"/>
      <c r="K971" s="1">
        <v>1266900</v>
      </c>
      <c r="L971" s="1">
        <v>0</v>
      </c>
      <c r="M971" s="1">
        <v>0</v>
      </c>
      <c r="N971" s="1">
        <v>139359</v>
      </c>
      <c r="O971" s="1">
        <v>0</v>
      </c>
      <c r="P971" s="1">
        <v>0</v>
      </c>
      <c r="Q971" s="1">
        <v>0</v>
      </c>
      <c r="R971" s="1">
        <v>1406259</v>
      </c>
      <c r="S971" s="1">
        <v>746900</v>
      </c>
      <c r="T971" s="1">
        <v>58.954929355118999</v>
      </c>
      <c r="U971" t="str">
        <f t="shared" si="15"/>
        <v>Week 3</v>
      </c>
    </row>
    <row r="972" spans="1:21" x14ac:dyDescent="0.25">
      <c r="A972" s="1">
        <v>971</v>
      </c>
      <c r="B972" s="1" t="s">
        <v>763</v>
      </c>
      <c r="C972" s="2">
        <v>46072</v>
      </c>
      <c r="D972" s="1" t="s">
        <v>21</v>
      </c>
      <c r="E972" s="1" t="s">
        <v>22</v>
      </c>
      <c r="F972" s="1" t="s">
        <v>30</v>
      </c>
      <c r="G972" s="1" t="s">
        <v>24</v>
      </c>
      <c r="H972" s="1">
        <v>1</v>
      </c>
      <c r="I972" s="1" t="s">
        <v>764</v>
      </c>
      <c r="J972" s="1" t="s">
        <v>56</v>
      </c>
      <c r="K972" s="1">
        <v>182176200</v>
      </c>
      <c r="L972" s="1">
        <v>0</v>
      </c>
      <c r="M972" s="1">
        <v>0</v>
      </c>
      <c r="N972" s="1">
        <v>20039382</v>
      </c>
      <c r="O972" s="1">
        <v>0</v>
      </c>
      <c r="P972" s="1">
        <v>0</v>
      </c>
      <c r="Q972" s="1">
        <v>0</v>
      </c>
      <c r="R972" s="1">
        <v>202215582</v>
      </c>
      <c r="S972" s="1">
        <v>42465389.189189002</v>
      </c>
      <c r="T972" s="1">
        <v>23.310064206625</v>
      </c>
      <c r="U972" t="str">
        <f t="shared" si="15"/>
        <v>Week 3</v>
      </c>
    </row>
    <row r="973" spans="1:21" x14ac:dyDescent="0.25">
      <c r="A973" s="1">
        <v>972</v>
      </c>
      <c r="B973" s="1" t="s">
        <v>765</v>
      </c>
      <c r="C973" s="2">
        <v>46072</v>
      </c>
      <c r="D973" s="1" t="s">
        <v>28</v>
      </c>
      <c r="E973" s="1" t="s">
        <v>29</v>
      </c>
      <c r="F973" s="1" t="s">
        <v>23</v>
      </c>
      <c r="G973" s="1" t="s">
        <v>24</v>
      </c>
      <c r="H973" s="1">
        <v>1</v>
      </c>
      <c r="I973" s="1" t="s">
        <v>198</v>
      </c>
      <c r="J973" s="1"/>
      <c r="K973" s="1">
        <v>8663687</v>
      </c>
      <c r="L973" s="1">
        <v>0</v>
      </c>
      <c r="M973" s="1">
        <v>0</v>
      </c>
      <c r="N973" s="1">
        <v>953005.57</v>
      </c>
      <c r="O973" s="1">
        <v>0</v>
      </c>
      <c r="P973" s="1">
        <v>0</v>
      </c>
      <c r="Q973" s="1">
        <v>0</v>
      </c>
      <c r="R973" s="1">
        <v>9616692.5700000003</v>
      </c>
      <c r="S973" s="1">
        <v>5896090.3600000003</v>
      </c>
      <c r="T973" s="1">
        <v>68.055209750768</v>
      </c>
      <c r="U973" t="str">
        <f t="shared" si="15"/>
        <v>Week 3</v>
      </c>
    </row>
    <row r="974" spans="1:21" x14ac:dyDescent="0.25">
      <c r="A974" s="1">
        <v>973</v>
      </c>
      <c r="B974" s="1" t="s">
        <v>766</v>
      </c>
      <c r="C974" s="2">
        <v>46071</v>
      </c>
      <c r="D974" s="1" t="s">
        <v>21</v>
      </c>
      <c r="E974" s="1" t="s">
        <v>22</v>
      </c>
      <c r="F974" s="1" t="s">
        <v>30</v>
      </c>
      <c r="G974" s="1" t="s">
        <v>24</v>
      </c>
      <c r="H974" s="1">
        <v>1</v>
      </c>
      <c r="I974" s="1" t="s">
        <v>767</v>
      </c>
      <c r="J974" s="1" t="s">
        <v>26</v>
      </c>
      <c r="K974" s="1">
        <v>52621672.32</v>
      </c>
      <c r="L974" s="1">
        <v>0</v>
      </c>
      <c r="M974" s="1">
        <v>0</v>
      </c>
      <c r="N974" s="1">
        <v>5788383.9551999997</v>
      </c>
      <c r="O974" s="1">
        <v>0</v>
      </c>
      <c r="P974" s="1">
        <v>0</v>
      </c>
      <c r="Q974" s="1">
        <v>0</v>
      </c>
      <c r="R974" s="1">
        <v>58410056.275200002</v>
      </c>
      <c r="S974" s="1">
        <v>12367036.963785</v>
      </c>
      <c r="T974" s="1">
        <v>23.501793877967</v>
      </c>
      <c r="U974" t="str">
        <f t="shared" si="15"/>
        <v>Week 3</v>
      </c>
    </row>
    <row r="975" spans="1:21" x14ac:dyDescent="0.25">
      <c r="A975" s="1">
        <v>974</v>
      </c>
      <c r="B975" s="1" t="s">
        <v>768</v>
      </c>
      <c r="C975" s="2">
        <v>46071</v>
      </c>
      <c r="D975" s="1" t="s">
        <v>306</v>
      </c>
      <c r="E975" s="1" t="s">
        <v>99</v>
      </c>
      <c r="F975" s="1" t="s">
        <v>23</v>
      </c>
      <c r="G975" s="1" t="s">
        <v>24</v>
      </c>
      <c r="H975" s="1">
        <v>1</v>
      </c>
      <c r="I975" s="1" t="s">
        <v>769</v>
      </c>
      <c r="J975" s="1"/>
      <c r="K975" s="1">
        <v>15800000</v>
      </c>
      <c r="L975" s="1">
        <v>0</v>
      </c>
      <c r="M975" s="1">
        <v>0</v>
      </c>
      <c r="N975" s="1">
        <v>1738000</v>
      </c>
      <c r="O975" s="1">
        <v>0</v>
      </c>
      <c r="P975" s="1">
        <v>0</v>
      </c>
      <c r="Q975" s="1">
        <v>0</v>
      </c>
      <c r="R975" s="1">
        <v>17538000</v>
      </c>
      <c r="S975" s="1">
        <v>3421690.1</v>
      </c>
      <c r="T975" s="1">
        <v>21.656266455695999</v>
      </c>
      <c r="U975" t="str">
        <f t="shared" si="15"/>
        <v>Week 3</v>
      </c>
    </row>
    <row r="976" spans="1:21" x14ac:dyDescent="0.25">
      <c r="A976" s="1">
        <v>975</v>
      </c>
      <c r="B976" s="1" t="s">
        <v>770</v>
      </c>
      <c r="C976" s="2">
        <v>46071</v>
      </c>
      <c r="D976" s="1" t="s">
        <v>53</v>
      </c>
      <c r="E976" s="1" t="s">
        <v>54</v>
      </c>
      <c r="F976" s="1" t="s">
        <v>23</v>
      </c>
      <c r="G976" s="1" t="s">
        <v>24</v>
      </c>
      <c r="H976" s="1">
        <v>1</v>
      </c>
      <c r="I976" s="1" t="s">
        <v>302</v>
      </c>
      <c r="J976" s="1" t="s">
        <v>56</v>
      </c>
      <c r="K976" s="1">
        <v>138235292</v>
      </c>
      <c r="L976" s="1">
        <v>0</v>
      </c>
      <c r="M976" s="1">
        <v>0</v>
      </c>
      <c r="N976" s="1">
        <v>15205882.119999999</v>
      </c>
      <c r="O976" s="1">
        <v>0</v>
      </c>
      <c r="P976" s="1">
        <v>0</v>
      </c>
      <c r="Q976" s="1">
        <v>0</v>
      </c>
      <c r="R976" s="1">
        <v>153441174.12</v>
      </c>
      <c r="S976" s="1">
        <v>23235292</v>
      </c>
      <c r="T976" s="1">
        <v>16.808509363875</v>
      </c>
      <c r="U976" t="str">
        <f t="shared" si="15"/>
        <v>Week 3</v>
      </c>
    </row>
    <row r="977" spans="1:21" x14ac:dyDescent="0.25">
      <c r="A977" s="1">
        <v>976</v>
      </c>
      <c r="B977" s="1" t="s">
        <v>772</v>
      </c>
      <c r="C977" s="2">
        <v>46071</v>
      </c>
      <c r="D977" s="1" t="s">
        <v>33</v>
      </c>
      <c r="E977" s="1" t="s">
        <v>34</v>
      </c>
      <c r="F977" s="1" t="s">
        <v>30</v>
      </c>
      <c r="G977" s="1" t="s">
        <v>24</v>
      </c>
      <c r="H977" s="1">
        <v>1</v>
      </c>
      <c r="I977" s="1" t="s">
        <v>2740</v>
      </c>
      <c r="J977" s="1"/>
      <c r="K977" s="1">
        <v>10486000</v>
      </c>
      <c r="L977" s="1">
        <v>0</v>
      </c>
      <c r="M977" s="1">
        <v>0</v>
      </c>
      <c r="N977" s="1">
        <v>1153460</v>
      </c>
      <c r="O977" s="1">
        <v>0</v>
      </c>
      <c r="P977" s="1">
        <v>0</v>
      </c>
      <c r="Q977" s="1">
        <v>0</v>
      </c>
      <c r="R977" s="1">
        <v>11639460</v>
      </c>
      <c r="S977" s="1">
        <v>2186000</v>
      </c>
      <c r="T977" s="1">
        <v>20.846843410260998</v>
      </c>
      <c r="U977" t="str">
        <f t="shared" si="15"/>
        <v>Week 3</v>
      </c>
    </row>
    <row r="978" spans="1:21" x14ac:dyDescent="0.25">
      <c r="A978" s="1">
        <v>977</v>
      </c>
      <c r="B978" s="1" t="s">
        <v>773</v>
      </c>
      <c r="C978" s="2">
        <v>46071</v>
      </c>
      <c r="D978" s="1" t="s">
        <v>21</v>
      </c>
      <c r="E978" s="1" t="s">
        <v>22</v>
      </c>
      <c r="F978" s="1" t="s">
        <v>30</v>
      </c>
      <c r="G978" s="1" t="s">
        <v>24</v>
      </c>
      <c r="H978" s="1">
        <v>1</v>
      </c>
      <c r="I978" s="1" t="s">
        <v>774</v>
      </c>
      <c r="J978" s="1" t="s">
        <v>26</v>
      </c>
      <c r="K978" s="1">
        <v>1100152.8999999999</v>
      </c>
      <c r="L978" s="1">
        <v>0</v>
      </c>
      <c r="M978" s="1">
        <v>0</v>
      </c>
      <c r="N978" s="1">
        <v>121016.819</v>
      </c>
      <c r="O978" s="1">
        <v>0</v>
      </c>
      <c r="P978" s="1">
        <v>0</v>
      </c>
      <c r="Q978" s="1">
        <v>0</v>
      </c>
      <c r="R978" s="1">
        <v>1221169.719</v>
      </c>
      <c r="S978" s="1">
        <v>213954.16126125999</v>
      </c>
      <c r="T978" s="1">
        <v>19.447675069643999</v>
      </c>
      <c r="U978" t="str">
        <f t="shared" si="15"/>
        <v>Week 3</v>
      </c>
    </row>
    <row r="979" spans="1:21" x14ac:dyDescent="0.25">
      <c r="A979" s="1">
        <v>978</v>
      </c>
      <c r="B979" s="1" t="s">
        <v>775</v>
      </c>
      <c r="C979" s="2">
        <v>46071</v>
      </c>
      <c r="D979" s="1" t="s">
        <v>37</v>
      </c>
      <c r="E979" s="1" t="s">
        <v>38</v>
      </c>
      <c r="F979" s="1" t="s">
        <v>23</v>
      </c>
      <c r="G979" s="1" t="s">
        <v>24</v>
      </c>
      <c r="H979" s="1">
        <v>1</v>
      </c>
      <c r="I979" s="1" t="s">
        <v>776</v>
      </c>
      <c r="J979" s="1" t="s">
        <v>26</v>
      </c>
      <c r="K979" s="1">
        <v>105000</v>
      </c>
      <c r="L979" s="1">
        <v>0</v>
      </c>
      <c r="M979" s="1">
        <v>0</v>
      </c>
      <c r="N979" s="1">
        <v>11550</v>
      </c>
      <c r="O979" s="1">
        <v>0</v>
      </c>
      <c r="P979" s="1">
        <v>0</v>
      </c>
      <c r="Q979" s="1">
        <v>0</v>
      </c>
      <c r="R979" s="1">
        <v>116550</v>
      </c>
      <c r="S979" s="1">
        <v>22500</v>
      </c>
      <c r="T979" s="1">
        <v>21.428571428571001</v>
      </c>
      <c r="U979" t="str">
        <f t="shared" si="15"/>
        <v>Week 3</v>
      </c>
    </row>
    <row r="980" spans="1:21" x14ac:dyDescent="0.25">
      <c r="A980" s="1">
        <v>979</v>
      </c>
      <c r="B980" s="1" t="s">
        <v>777</v>
      </c>
      <c r="C980" s="2">
        <v>46071</v>
      </c>
      <c r="D980" s="1" t="s">
        <v>21</v>
      </c>
      <c r="E980" s="1" t="s">
        <v>22</v>
      </c>
      <c r="F980" s="1" t="s">
        <v>30</v>
      </c>
      <c r="G980" s="1" t="s">
        <v>24</v>
      </c>
      <c r="H980" s="1">
        <v>1</v>
      </c>
      <c r="I980" s="1" t="s">
        <v>778</v>
      </c>
      <c r="J980" s="1" t="s">
        <v>26</v>
      </c>
      <c r="K980" s="1">
        <v>23030388</v>
      </c>
      <c r="L980" s="1">
        <v>0</v>
      </c>
      <c r="M980" s="1">
        <v>0</v>
      </c>
      <c r="N980" s="1">
        <v>2533342.6800000002</v>
      </c>
      <c r="O980" s="1">
        <v>0</v>
      </c>
      <c r="P980" s="1">
        <v>0</v>
      </c>
      <c r="Q980" s="1">
        <v>0</v>
      </c>
      <c r="R980" s="1">
        <v>25563730.68</v>
      </c>
      <c r="S980" s="1">
        <v>-1912790.34</v>
      </c>
      <c r="T980" s="1">
        <v>-8.3055063596844008</v>
      </c>
      <c r="U980" t="str">
        <f t="shared" si="15"/>
        <v>Week 3</v>
      </c>
    </row>
    <row r="981" spans="1:21" x14ac:dyDescent="0.25">
      <c r="A981" s="1">
        <v>980</v>
      </c>
      <c r="B981" s="1" t="s">
        <v>779</v>
      </c>
      <c r="C981" s="2">
        <v>46071</v>
      </c>
      <c r="D981" s="1" t="s">
        <v>37</v>
      </c>
      <c r="E981" s="1" t="s">
        <v>38</v>
      </c>
      <c r="F981" s="1" t="s">
        <v>23</v>
      </c>
      <c r="G981" s="1" t="s">
        <v>24</v>
      </c>
      <c r="H981" s="1">
        <v>1</v>
      </c>
      <c r="I981" s="1" t="s">
        <v>780</v>
      </c>
      <c r="J981" s="1" t="s">
        <v>26</v>
      </c>
      <c r="K981" s="1">
        <v>1500000</v>
      </c>
      <c r="L981" s="1">
        <v>0</v>
      </c>
      <c r="M981" s="1">
        <v>0</v>
      </c>
      <c r="N981" s="1">
        <v>165000</v>
      </c>
      <c r="O981" s="1">
        <v>0</v>
      </c>
      <c r="P981" s="1">
        <v>0</v>
      </c>
      <c r="Q981" s="1">
        <v>0</v>
      </c>
      <c r="R981" s="1">
        <v>1665000</v>
      </c>
      <c r="S981" s="1">
        <v>889500</v>
      </c>
      <c r="T981" s="1">
        <v>59.3</v>
      </c>
      <c r="U981" t="str">
        <f t="shared" si="15"/>
        <v>Week 3</v>
      </c>
    </row>
    <row r="982" spans="1:21" x14ac:dyDescent="0.25">
      <c r="A982" s="1">
        <v>981</v>
      </c>
      <c r="B982" s="1" t="s">
        <v>781</v>
      </c>
      <c r="C982" s="2">
        <v>46071</v>
      </c>
      <c r="D982" s="1" t="s">
        <v>21</v>
      </c>
      <c r="E982" s="1" t="s">
        <v>22</v>
      </c>
      <c r="F982" s="1" t="s">
        <v>30</v>
      </c>
      <c r="G982" s="1" t="s">
        <v>24</v>
      </c>
      <c r="H982" s="1">
        <v>1</v>
      </c>
      <c r="I982" s="1" t="s">
        <v>782</v>
      </c>
      <c r="J982" s="1" t="s">
        <v>26</v>
      </c>
      <c r="K982" s="1">
        <v>17055483</v>
      </c>
      <c r="L982" s="1">
        <v>0</v>
      </c>
      <c r="M982" s="1">
        <v>0</v>
      </c>
      <c r="N982" s="1">
        <v>1876103.13</v>
      </c>
      <c r="O982" s="1">
        <v>0</v>
      </c>
      <c r="P982" s="1">
        <v>0</v>
      </c>
      <c r="Q982" s="1">
        <v>0</v>
      </c>
      <c r="R982" s="1">
        <v>18931586.129999999</v>
      </c>
      <c r="S982" s="1">
        <v>1054660.95</v>
      </c>
      <c r="T982" s="1">
        <v>6.1837061430625999</v>
      </c>
      <c r="U982" t="str">
        <f t="shared" si="15"/>
        <v>Week 3</v>
      </c>
    </row>
    <row r="983" spans="1:21" x14ac:dyDescent="0.25">
      <c r="A983" s="1">
        <v>982</v>
      </c>
      <c r="B983" s="1" t="s">
        <v>783</v>
      </c>
      <c r="C983" s="2">
        <v>46071</v>
      </c>
      <c r="D983" s="1" t="s">
        <v>21</v>
      </c>
      <c r="E983" s="1" t="s">
        <v>22</v>
      </c>
      <c r="F983" s="1" t="s">
        <v>30</v>
      </c>
      <c r="G983" s="1" t="s">
        <v>24</v>
      </c>
      <c r="H983" s="1">
        <v>1</v>
      </c>
      <c r="I983" s="1" t="s">
        <v>784</v>
      </c>
      <c r="J983" s="1" t="s">
        <v>56</v>
      </c>
      <c r="K983" s="1">
        <v>116851960</v>
      </c>
      <c r="L983" s="1">
        <v>0</v>
      </c>
      <c r="M983" s="1">
        <v>0</v>
      </c>
      <c r="N983" s="1">
        <v>12853715.6</v>
      </c>
      <c r="O983" s="1">
        <v>0</v>
      </c>
      <c r="P983" s="1">
        <v>0</v>
      </c>
      <c r="Q983" s="1">
        <v>0</v>
      </c>
      <c r="R983" s="1">
        <v>129705675.59999999</v>
      </c>
      <c r="S983" s="1">
        <v>6643448.3200000003</v>
      </c>
      <c r="T983" s="1">
        <v>5.6853546316210997</v>
      </c>
      <c r="U983" t="str">
        <f t="shared" si="15"/>
        <v>Week 3</v>
      </c>
    </row>
    <row r="984" spans="1:21" x14ac:dyDescent="0.25">
      <c r="A984" s="1">
        <v>983</v>
      </c>
      <c r="B984" s="1" t="s">
        <v>785</v>
      </c>
      <c r="C984" s="2">
        <v>46071</v>
      </c>
      <c r="D984" s="1" t="s">
        <v>2979</v>
      </c>
      <c r="E984" s="1" t="s">
        <v>203</v>
      </c>
      <c r="F984" s="1" t="s">
        <v>23</v>
      </c>
      <c r="G984" s="1" t="s">
        <v>24</v>
      </c>
      <c r="H984" s="1">
        <v>1</v>
      </c>
      <c r="I984" s="1" t="s">
        <v>786</v>
      </c>
      <c r="J984" s="1" t="s">
        <v>56</v>
      </c>
      <c r="K984" s="1">
        <v>54500000</v>
      </c>
      <c r="L984" s="1">
        <v>0</v>
      </c>
      <c r="M984" s="1">
        <v>0</v>
      </c>
      <c r="N984" s="1">
        <v>5995000</v>
      </c>
      <c r="O984" s="1">
        <v>0</v>
      </c>
      <c r="P984" s="1">
        <v>0</v>
      </c>
      <c r="Q984" s="1">
        <v>0</v>
      </c>
      <c r="R984" s="1">
        <v>60495000</v>
      </c>
      <c r="S984" s="1">
        <v>10581085</v>
      </c>
      <c r="T984" s="1">
        <v>19.414834862385</v>
      </c>
      <c r="U984" t="str">
        <f t="shared" si="15"/>
        <v>Week 3</v>
      </c>
    </row>
    <row r="985" spans="1:21" x14ac:dyDescent="0.25">
      <c r="A985" s="1">
        <v>984</v>
      </c>
      <c r="B985" s="1" t="s">
        <v>787</v>
      </c>
      <c r="C985" s="2">
        <v>46071</v>
      </c>
      <c r="D985" s="1" t="s">
        <v>53</v>
      </c>
      <c r="E985" s="1" t="s">
        <v>54</v>
      </c>
      <c r="F985" s="1" t="s">
        <v>23</v>
      </c>
      <c r="G985" s="1" t="s">
        <v>24</v>
      </c>
      <c r="H985" s="1">
        <v>1</v>
      </c>
      <c r="I985" s="1" t="s">
        <v>302</v>
      </c>
      <c r="J985" s="1"/>
      <c r="K985" s="1">
        <v>13313090</v>
      </c>
      <c r="L985" s="1">
        <v>0</v>
      </c>
      <c r="M985" s="1">
        <v>0</v>
      </c>
      <c r="N985" s="1">
        <v>1464439.9</v>
      </c>
      <c r="O985" s="1">
        <v>0</v>
      </c>
      <c r="P985" s="1">
        <v>0</v>
      </c>
      <c r="Q985" s="1">
        <v>0</v>
      </c>
      <c r="R985" s="1">
        <v>14777529.9</v>
      </c>
      <c r="S985" s="1">
        <v>4235234.1500000004</v>
      </c>
      <c r="T985" s="1">
        <v>31.812555537445</v>
      </c>
      <c r="U985" t="str">
        <f t="shared" si="15"/>
        <v>Week 3</v>
      </c>
    </row>
    <row r="986" spans="1:21" x14ac:dyDescent="0.25">
      <c r="A986" s="1">
        <v>985</v>
      </c>
      <c r="B986" s="1" t="s">
        <v>788</v>
      </c>
      <c r="C986" s="2">
        <v>46071</v>
      </c>
      <c r="D986" s="1" t="s">
        <v>53</v>
      </c>
      <c r="E986" s="1" t="s">
        <v>54</v>
      </c>
      <c r="F986" s="1" t="s">
        <v>23</v>
      </c>
      <c r="G986" s="1" t="s">
        <v>24</v>
      </c>
      <c r="H986" s="1">
        <v>1</v>
      </c>
      <c r="I986" s="1" t="s">
        <v>789</v>
      </c>
      <c r="J986" s="1"/>
      <c r="K986" s="1">
        <v>13794000</v>
      </c>
      <c r="L986" s="1">
        <v>0</v>
      </c>
      <c r="M986" s="1">
        <v>0</v>
      </c>
      <c r="N986" s="1">
        <v>1517340</v>
      </c>
      <c r="O986" s="1">
        <v>0</v>
      </c>
      <c r="P986" s="1">
        <v>0</v>
      </c>
      <c r="Q986" s="1">
        <v>0</v>
      </c>
      <c r="R986" s="1">
        <v>15311340</v>
      </c>
      <c r="S986" s="1">
        <v>3214800</v>
      </c>
      <c r="T986" s="1">
        <v>23.305785123966999</v>
      </c>
      <c r="U986" t="str">
        <f t="shared" si="15"/>
        <v>Week 3</v>
      </c>
    </row>
    <row r="987" spans="1:21" x14ac:dyDescent="0.25">
      <c r="A987" s="1">
        <v>986</v>
      </c>
      <c r="B987" s="1" t="s">
        <v>790</v>
      </c>
      <c r="C987" s="2">
        <v>46071</v>
      </c>
      <c r="D987" s="1" t="s">
        <v>53</v>
      </c>
      <c r="E987" s="1" t="s">
        <v>54</v>
      </c>
      <c r="F987" s="1" t="s">
        <v>39</v>
      </c>
      <c r="G987" s="1" t="s">
        <v>24</v>
      </c>
      <c r="H987" s="1">
        <v>1</v>
      </c>
      <c r="I987" s="1" t="s">
        <v>789</v>
      </c>
      <c r="J987" s="1"/>
      <c r="K987" s="1">
        <v>171707839.61905</v>
      </c>
      <c r="L987" s="1">
        <v>0</v>
      </c>
      <c r="M987" s="1">
        <v>0</v>
      </c>
      <c r="N987" s="1">
        <v>18887862.358095001</v>
      </c>
      <c r="O987" s="1">
        <v>0</v>
      </c>
      <c r="P987" s="1">
        <v>0</v>
      </c>
      <c r="Q987" s="1">
        <v>0</v>
      </c>
      <c r="R987" s="1">
        <v>190595701.97714001</v>
      </c>
      <c r="S987" s="1">
        <v>46801443.619047999</v>
      </c>
      <c r="T987" s="1">
        <v>27.256439614453001</v>
      </c>
      <c r="U987" t="str">
        <f t="shared" si="15"/>
        <v>Week 3</v>
      </c>
    </row>
    <row r="988" spans="1:21" x14ac:dyDescent="0.25">
      <c r="A988" s="1">
        <v>987</v>
      </c>
      <c r="B988" s="1" t="s">
        <v>791</v>
      </c>
      <c r="C988" s="2">
        <v>46071</v>
      </c>
      <c r="D988" s="1" t="s">
        <v>112</v>
      </c>
      <c r="E988" s="1" t="s">
        <v>38</v>
      </c>
      <c r="F988" s="1" t="s">
        <v>30</v>
      </c>
      <c r="G988" s="1" t="s">
        <v>24</v>
      </c>
      <c r="H988" s="1">
        <v>1</v>
      </c>
      <c r="I988" s="1" t="s">
        <v>792</v>
      </c>
      <c r="J988" s="1"/>
      <c r="K988" s="1">
        <v>15218129</v>
      </c>
      <c r="L988" s="1">
        <v>0</v>
      </c>
      <c r="M988" s="1">
        <v>0</v>
      </c>
      <c r="N988" s="1">
        <v>1673994.19</v>
      </c>
      <c r="O988" s="1">
        <v>0</v>
      </c>
      <c r="P988" s="1">
        <v>0</v>
      </c>
      <c r="Q988" s="1">
        <v>0</v>
      </c>
      <c r="R988" s="1">
        <v>16892123.190000001</v>
      </c>
      <c r="S988" s="1">
        <v>2252679</v>
      </c>
      <c r="T988" s="1">
        <v>14.802601555027</v>
      </c>
      <c r="U988" t="str">
        <f t="shared" si="15"/>
        <v>Week 3</v>
      </c>
    </row>
    <row r="989" spans="1:21" x14ac:dyDescent="0.25">
      <c r="A989" s="1">
        <v>988</v>
      </c>
      <c r="B989" s="1" t="s">
        <v>793</v>
      </c>
      <c r="C989" s="2">
        <v>46071</v>
      </c>
      <c r="D989" s="1" t="s">
        <v>53</v>
      </c>
      <c r="E989" s="1" t="s">
        <v>54</v>
      </c>
      <c r="F989" s="1" t="s">
        <v>23</v>
      </c>
      <c r="G989" s="1" t="s">
        <v>24</v>
      </c>
      <c r="H989" s="1">
        <v>1</v>
      </c>
      <c r="I989" s="1" t="s">
        <v>759</v>
      </c>
      <c r="J989" s="1"/>
      <c r="K989" s="1">
        <v>49033570.571428999</v>
      </c>
      <c r="L989" s="1">
        <v>0</v>
      </c>
      <c r="M989" s="1">
        <v>0</v>
      </c>
      <c r="N989" s="1">
        <v>5393692.7628571</v>
      </c>
      <c r="O989" s="1">
        <v>0</v>
      </c>
      <c r="P989" s="1">
        <v>0</v>
      </c>
      <c r="Q989" s="1">
        <v>0</v>
      </c>
      <c r="R989" s="1">
        <v>54427263.334285997</v>
      </c>
      <c r="S989" s="1">
        <v>10813849.571428999</v>
      </c>
      <c r="T989" s="1">
        <v>22.053971280096</v>
      </c>
      <c r="U989" t="str">
        <f t="shared" si="15"/>
        <v>Week 3</v>
      </c>
    </row>
    <row r="990" spans="1:21" x14ac:dyDescent="0.25">
      <c r="A990" s="1">
        <v>989</v>
      </c>
      <c r="B990" s="1" t="s">
        <v>795</v>
      </c>
      <c r="C990" s="2">
        <v>46071</v>
      </c>
      <c r="D990" s="1" t="s">
        <v>112</v>
      </c>
      <c r="E990" s="1" t="s">
        <v>38</v>
      </c>
      <c r="F990" s="1" t="s">
        <v>30</v>
      </c>
      <c r="G990" s="1" t="s">
        <v>24</v>
      </c>
      <c r="H990" s="1">
        <v>1</v>
      </c>
      <c r="I990" s="1" t="s">
        <v>796</v>
      </c>
      <c r="J990" s="1"/>
      <c r="K990" s="1">
        <v>931000</v>
      </c>
      <c r="L990" s="1">
        <v>0</v>
      </c>
      <c r="M990" s="1">
        <v>0</v>
      </c>
      <c r="N990" s="1">
        <v>102410</v>
      </c>
      <c r="O990" s="1">
        <v>0</v>
      </c>
      <c r="P990" s="1">
        <v>0</v>
      </c>
      <c r="Q990" s="1">
        <v>0</v>
      </c>
      <c r="R990" s="1">
        <v>1033410</v>
      </c>
      <c r="S990" s="1">
        <v>516000</v>
      </c>
      <c r="T990" s="1">
        <v>55.424274973147</v>
      </c>
      <c r="U990" t="str">
        <f t="shared" si="15"/>
        <v>Week 3</v>
      </c>
    </row>
    <row r="991" spans="1:21" x14ac:dyDescent="0.25">
      <c r="A991" s="1">
        <v>990</v>
      </c>
      <c r="B991" s="1" t="s">
        <v>797</v>
      </c>
      <c r="C991" s="2">
        <v>46069</v>
      </c>
      <c r="D991" s="1" t="s">
        <v>21</v>
      </c>
      <c r="E991" s="1" t="s">
        <v>22</v>
      </c>
      <c r="F991" s="1" t="s">
        <v>30</v>
      </c>
      <c r="G991" s="1" t="s">
        <v>24</v>
      </c>
      <c r="H991" s="1">
        <v>1</v>
      </c>
      <c r="I991" s="1" t="s">
        <v>798</v>
      </c>
      <c r="J991" s="1" t="s">
        <v>26</v>
      </c>
      <c r="K991" s="1">
        <v>2793132.3</v>
      </c>
      <c r="L991" s="1">
        <v>0</v>
      </c>
      <c r="M991" s="1">
        <v>0</v>
      </c>
      <c r="N991" s="1">
        <v>307244.55300000001</v>
      </c>
      <c r="O991" s="1">
        <v>0</v>
      </c>
      <c r="P991" s="1">
        <v>0</v>
      </c>
      <c r="Q991" s="1">
        <v>0</v>
      </c>
      <c r="R991" s="1">
        <v>3100376.8530000001</v>
      </c>
      <c r="S991" s="1">
        <v>1008025.3027027</v>
      </c>
      <c r="T991" s="1">
        <v>36.089421997758997</v>
      </c>
      <c r="U991" t="str">
        <f t="shared" si="15"/>
        <v>Week 3</v>
      </c>
    </row>
    <row r="992" spans="1:21" x14ac:dyDescent="0.25">
      <c r="A992" s="1">
        <v>991</v>
      </c>
      <c r="B992" s="1" t="s">
        <v>799</v>
      </c>
      <c r="C992" s="2">
        <v>46069</v>
      </c>
      <c r="D992" s="1" t="s">
        <v>202</v>
      </c>
      <c r="E992" s="1" t="s">
        <v>203</v>
      </c>
      <c r="F992" s="1" t="s">
        <v>30</v>
      </c>
      <c r="G992" s="1" t="s">
        <v>24</v>
      </c>
      <c r="H992" s="1">
        <v>1</v>
      </c>
      <c r="I992" s="1" t="s">
        <v>800</v>
      </c>
      <c r="J992" s="1" t="s">
        <v>26</v>
      </c>
      <c r="K992" s="1">
        <v>40723150</v>
      </c>
      <c r="L992" s="1">
        <v>0</v>
      </c>
      <c r="M992" s="1">
        <v>0</v>
      </c>
      <c r="N992" s="1">
        <v>4479546.5</v>
      </c>
      <c r="O992" s="1">
        <v>0</v>
      </c>
      <c r="P992" s="1">
        <v>0</v>
      </c>
      <c r="Q992" s="1">
        <v>0</v>
      </c>
      <c r="R992" s="1">
        <v>45202696.5</v>
      </c>
      <c r="S992" s="1">
        <v>8858650</v>
      </c>
      <c r="T992" s="1">
        <v>21.753351594855001</v>
      </c>
      <c r="U992" t="str">
        <f t="shared" si="15"/>
        <v>Week 3</v>
      </c>
    </row>
    <row r="993" spans="1:21" x14ac:dyDescent="0.25">
      <c r="A993" s="1">
        <v>992</v>
      </c>
      <c r="B993" s="1" t="s">
        <v>801</v>
      </c>
      <c r="C993" s="2">
        <v>46069</v>
      </c>
      <c r="D993" s="1" t="s">
        <v>21</v>
      </c>
      <c r="E993" s="1" t="s">
        <v>22</v>
      </c>
      <c r="F993" s="1" t="s">
        <v>23</v>
      </c>
      <c r="G993" s="1" t="s">
        <v>24</v>
      </c>
      <c r="H993" s="1">
        <v>1</v>
      </c>
      <c r="I993" s="1" t="s">
        <v>802</v>
      </c>
      <c r="J993" s="1" t="s">
        <v>26</v>
      </c>
      <c r="K993" s="1">
        <v>35554717.5</v>
      </c>
      <c r="L993" s="1">
        <v>0</v>
      </c>
      <c r="M993" s="1">
        <v>0</v>
      </c>
      <c r="N993" s="1">
        <v>3911018.9249999998</v>
      </c>
      <c r="O993" s="1">
        <v>0</v>
      </c>
      <c r="P993" s="1">
        <v>0</v>
      </c>
      <c r="Q993" s="1">
        <v>0</v>
      </c>
      <c r="R993" s="1">
        <v>39465736.424999997</v>
      </c>
      <c r="S993" s="1">
        <v>7273220.5</v>
      </c>
      <c r="T993" s="1">
        <v>20.456414820340001</v>
      </c>
      <c r="U993" t="str">
        <f t="shared" si="15"/>
        <v>Week 3</v>
      </c>
    </row>
    <row r="994" spans="1:21" x14ac:dyDescent="0.25">
      <c r="A994" s="1">
        <v>993</v>
      </c>
      <c r="B994" s="1" t="s">
        <v>803</v>
      </c>
      <c r="C994" s="2">
        <v>46069</v>
      </c>
      <c r="D994" s="1" t="s">
        <v>53</v>
      </c>
      <c r="E994" s="1" t="s">
        <v>54</v>
      </c>
      <c r="F994" s="1" t="s">
        <v>260</v>
      </c>
      <c r="G994" s="1" t="s">
        <v>24</v>
      </c>
      <c r="H994" s="1">
        <v>1</v>
      </c>
      <c r="I994" s="1" t="s">
        <v>302</v>
      </c>
      <c r="J994" s="1"/>
      <c r="K994" s="1">
        <v>2884000</v>
      </c>
      <c r="L994" s="1">
        <v>0</v>
      </c>
      <c r="M994" s="1">
        <v>0</v>
      </c>
      <c r="N994" s="1">
        <v>317240</v>
      </c>
      <c r="O994" s="1">
        <v>0</v>
      </c>
      <c r="P994" s="1">
        <v>0</v>
      </c>
      <c r="Q994" s="1">
        <v>0</v>
      </c>
      <c r="R994" s="1">
        <v>3201240</v>
      </c>
      <c r="S994" s="1">
        <v>1622738.7387387</v>
      </c>
      <c r="T994" s="1">
        <v>56.266946558209</v>
      </c>
      <c r="U994" t="str">
        <f t="shared" si="15"/>
        <v>Week 3</v>
      </c>
    </row>
    <row r="995" spans="1:21" x14ac:dyDescent="0.25">
      <c r="A995" s="1">
        <v>994</v>
      </c>
      <c r="B995" s="1" t="s">
        <v>804</v>
      </c>
      <c r="C995" s="2">
        <v>46069</v>
      </c>
      <c r="D995" s="1" t="s">
        <v>37</v>
      </c>
      <c r="E995" s="1" t="s">
        <v>38</v>
      </c>
      <c r="F995" s="1" t="s">
        <v>30</v>
      </c>
      <c r="G995" s="1" t="s">
        <v>24</v>
      </c>
      <c r="H995" s="1">
        <v>1</v>
      </c>
      <c r="I995" s="1" t="s">
        <v>805</v>
      </c>
      <c r="J995" s="1"/>
      <c r="K995" s="1">
        <v>7541100</v>
      </c>
      <c r="L995" s="1">
        <v>0</v>
      </c>
      <c r="M995" s="1">
        <v>0</v>
      </c>
      <c r="N995" s="1">
        <v>829521</v>
      </c>
      <c r="O995" s="1">
        <v>0</v>
      </c>
      <c r="P995" s="1">
        <v>0</v>
      </c>
      <c r="Q995" s="1">
        <v>0</v>
      </c>
      <c r="R995" s="1">
        <v>8370621</v>
      </c>
      <c r="S995" s="1">
        <v>5388645.9459459996</v>
      </c>
      <c r="T995" s="1">
        <v>71.457028098633003</v>
      </c>
      <c r="U995" t="str">
        <f t="shared" si="15"/>
        <v>Week 3</v>
      </c>
    </row>
    <row r="996" spans="1:21" x14ac:dyDescent="0.25">
      <c r="A996" s="1">
        <v>995</v>
      </c>
      <c r="B996" s="1" t="s">
        <v>806</v>
      </c>
      <c r="C996" s="2">
        <v>46069</v>
      </c>
      <c r="D996" s="1" t="s">
        <v>511</v>
      </c>
      <c r="E996" s="1" t="s">
        <v>38</v>
      </c>
      <c r="F996" s="1" t="s">
        <v>30</v>
      </c>
      <c r="G996" s="1" t="s">
        <v>24</v>
      </c>
      <c r="H996" s="1">
        <v>1</v>
      </c>
      <c r="I996" s="1" t="s">
        <v>807</v>
      </c>
      <c r="J996" s="1" t="s">
        <v>26</v>
      </c>
      <c r="K996" s="1">
        <v>56207000</v>
      </c>
      <c r="L996" s="1">
        <v>0</v>
      </c>
      <c r="M996" s="1">
        <v>0</v>
      </c>
      <c r="N996" s="1">
        <v>6182770</v>
      </c>
      <c r="O996" s="1">
        <v>0</v>
      </c>
      <c r="P996" s="1">
        <v>0</v>
      </c>
      <c r="Q996" s="1">
        <v>0</v>
      </c>
      <c r="R996" s="1">
        <v>62389770</v>
      </c>
      <c r="S996" s="1">
        <v>-50293000</v>
      </c>
      <c r="T996" s="1">
        <v>-89.478178874516999</v>
      </c>
      <c r="U996" t="str">
        <f t="shared" si="15"/>
        <v>Week 3</v>
      </c>
    </row>
    <row r="997" spans="1:21" x14ac:dyDescent="0.25">
      <c r="A997" s="1">
        <v>996</v>
      </c>
      <c r="B997" s="1" t="s">
        <v>808</v>
      </c>
      <c r="C997" s="2">
        <v>46069</v>
      </c>
      <c r="D997" s="1" t="s">
        <v>33</v>
      </c>
      <c r="E997" s="1" t="s">
        <v>38</v>
      </c>
      <c r="F997" s="1" t="s">
        <v>23</v>
      </c>
      <c r="G997" s="1" t="s">
        <v>24</v>
      </c>
      <c r="H997" s="1">
        <v>1</v>
      </c>
      <c r="I997" s="1" t="s">
        <v>809</v>
      </c>
      <c r="J997" s="1" t="s">
        <v>26</v>
      </c>
      <c r="K997" s="1">
        <v>5001000</v>
      </c>
      <c r="L997" s="1">
        <v>0</v>
      </c>
      <c r="M997" s="1">
        <v>0</v>
      </c>
      <c r="N997" s="1">
        <v>550110</v>
      </c>
      <c r="O997" s="1">
        <v>0</v>
      </c>
      <c r="P997" s="1">
        <v>0</v>
      </c>
      <c r="Q997" s="1">
        <v>0</v>
      </c>
      <c r="R997" s="1">
        <v>5551110</v>
      </c>
      <c r="S997" s="1">
        <v>2466000</v>
      </c>
      <c r="T997" s="1">
        <v>49.310137972405997</v>
      </c>
      <c r="U997" t="str">
        <f t="shared" si="15"/>
        <v>Week 3</v>
      </c>
    </row>
    <row r="998" spans="1:21" x14ac:dyDescent="0.25">
      <c r="A998" s="1">
        <v>997</v>
      </c>
      <c r="B998" s="1" t="s">
        <v>810</v>
      </c>
      <c r="C998" s="2">
        <v>46069</v>
      </c>
      <c r="D998" s="1" t="s">
        <v>21</v>
      </c>
      <c r="E998" s="1" t="s">
        <v>22</v>
      </c>
      <c r="F998" s="1" t="s">
        <v>30</v>
      </c>
      <c r="G998" s="1" t="s">
        <v>24</v>
      </c>
      <c r="H998" s="1">
        <v>1</v>
      </c>
      <c r="I998" s="1" t="s">
        <v>811</v>
      </c>
      <c r="J998" s="1" t="s">
        <v>26</v>
      </c>
      <c r="K998" s="1">
        <v>662970</v>
      </c>
      <c r="L998" s="1">
        <v>0</v>
      </c>
      <c r="M998" s="1">
        <v>0</v>
      </c>
      <c r="N998" s="1">
        <v>72926.7</v>
      </c>
      <c r="O998" s="1">
        <v>0</v>
      </c>
      <c r="P998" s="1">
        <v>0</v>
      </c>
      <c r="Q998" s="1">
        <v>0</v>
      </c>
      <c r="R998" s="1">
        <v>735896.7</v>
      </c>
      <c r="S998" s="1">
        <v>180227.74954955</v>
      </c>
      <c r="T998" s="1">
        <v>27.184902718004</v>
      </c>
      <c r="U998" t="str">
        <f t="shared" si="15"/>
        <v>Week 3</v>
      </c>
    </row>
    <row r="999" spans="1:21" x14ac:dyDescent="0.25">
      <c r="A999" s="1">
        <v>998</v>
      </c>
      <c r="B999" s="1" t="s">
        <v>812</v>
      </c>
      <c r="C999" s="2">
        <v>46069</v>
      </c>
      <c r="D999" s="1" t="s">
        <v>21</v>
      </c>
      <c r="E999" s="1" t="s">
        <v>22</v>
      </c>
      <c r="F999" s="1" t="s">
        <v>30</v>
      </c>
      <c r="G999" s="1" t="s">
        <v>24</v>
      </c>
      <c r="H999" s="1">
        <v>1</v>
      </c>
      <c r="I999" s="1" t="s">
        <v>813</v>
      </c>
      <c r="J999" s="1" t="s">
        <v>26</v>
      </c>
      <c r="K999" s="1">
        <v>19130059</v>
      </c>
      <c r="L999" s="1">
        <v>0</v>
      </c>
      <c r="M999" s="1">
        <v>0</v>
      </c>
      <c r="N999" s="1">
        <v>2104306.4900000002</v>
      </c>
      <c r="O999" s="1">
        <v>0</v>
      </c>
      <c r="P999" s="1">
        <v>0</v>
      </c>
      <c r="Q999" s="1">
        <v>0</v>
      </c>
      <c r="R999" s="1">
        <v>21234365.489999998</v>
      </c>
      <c r="S999" s="1">
        <v>1339104.1299999999</v>
      </c>
      <c r="T999" s="1">
        <v>7</v>
      </c>
      <c r="U999" t="str">
        <f t="shared" si="15"/>
        <v>Week 3</v>
      </c>
    </row>
    <row r="1000" spans="1:21" x14ac:dyDescent="0.25">
      <c r="A1000" s="1">
        <v>999</v>
      </c>
      <c r="B1000" s="1" t="s">
        <v>814</v>
      </c>
      <c r="C1000" s="2">
        <v>46069</v>
      </c>
      <c r="D1000" s="1" t="s">
        <v>33</v>
      </c>
      <c r="E1000" s="1" t="s">
        <v>34</v>
      </c>
      <c r="F1000" s="1" t="s">
        <v>30</v>
      </c>
      <c r="G1000" s="1" t="s">
        <v>24</v>
      </c>
      <c r="H1000" s="1">
        <v>1</v>
      </c>
      <c r="I1000" s="1" t="s">
        <v>815</v>
      </c>
      <c r="J1000" s="1"/>
      <c r="K1000" s="1">
        <v>499800</v>
      </c>
      <c r="L1000" s="1">
        <v>0</v>
      </c>
      <c r="M1000" s="1">
        <v>0</v>
      </c>
      <c r="N1000" s="1">
        <v>54978</v>
      </c>
      <c r="O1000" s="1">
        <v>0</v>
      </c>
      <c r="P1000" s="1">
        <v>0</v>
      </c>
      <c r="Q1000" s="1">
        <v>0</v>
      </c>
      <c r="R1000" s="1">
        <v>554778</v>
      </c>
      <c r="S1000" s="1">
        <v>-40200</v>
      </c>
      <c r="T1000" s="1">
        <v>-8.0432172869147998</v>
      </c>
      <c r="U1000" t="str">
        <f t="shared" si="15"/>
        <v>Week 3</v>
      </c>
    </row>
    <row r="1001" spans="1:21" x14ac:dyDescent="0.25">
      <c r="A1001" s="1">
        <v>1000</v>
      </c>
      <c r="B1001" s="1" t="s">
        <v>816</v>
      </c>
      <c r="C1001" s="2">
        <v>46069</v>
      </c>
      <c r="D1001" s="1" t="s">
        <v>53</v>
      </c>
      <c r="E1001" s="1" t="s">
        <v>54</v>
      </c>
      <c r="F1001" s="1" t="s">
        <v>30</v>
      </c>
      <c r="G1001" s="1" t="s">
        <v>24</v>
      </c>
      <c r="H1001" s="1">
        <v>1</v>
      </c>
      <c r="I1001" s="1" t="s">
        <v>817</v>
      </c>
      <c r="J1001" s="1"/>
      <c r="K1001" s="1">
        <v>744800</v>
      </c>
      <c r="L1001" s="1">
        <v>0</v>
      </c>
      <c r="M1001" s="1">
        <v>0</v>
      </c>
      <c r="N1001" s="1">
        <v>81928</v>
      </c>
      <c r="O1001" s="1">
        <v>0</v>
      </c>
      <c r="P1001" s="1">
        <v>0</v>
      </c>
      <c r="Q1001" s="1">
        <v>0</v>
      </c>
      <c r="R1001" s="1">
        <v>826728</v>
      </c>
      <c r="S1001" s="1">
        <v>184439.64</v>
      </c>
      <c r="T1001" s="1">
        <v>24.763646616540999</v>
      </c>
      <c r="U1001" t="str">
        <f t="shared" si="15"/>
        <v>Week 3</v>
      </c>
    </row>
    <row r="1002" spans="1:21" x14ac:dyDescent="0.25">
      <c r="A1002" s="1">
        <v>1001</v>
      </c>
      <c r="B1002" s="1" t="s">
        <v>818</v>
      </c>
      <c r="C1002" s="2">
        <v>46069</v>
      </c>
      <c r="D1002" s="1" t="s">
        <v>511</v>
      </c>
      <c r="E1002" s="1" t="s">
        <v>38</v>
      </c>
      <c r="F1002" s="1" t="s">
        <v>30</v>
      </c>
      <c r="G1002" s="1" t="s">
        <v>24</v>
      </c>
      <c r="H1002" s="1">
        <v>1</v>
      </c>
      <c r="I1002" s="1" t="s">
        <v>819</v>
      </c>
      <c r="J1002" s="1"/>
      <c r="K1002" s="1">
        <v>1796850</v>
      </c>
      <c r="L1002" s="1">
        <v>0</v>
      </c>
      <c r="M1002" s="1">
        <v>0</v>
      </c>
      <c r="N1002" s="1">
        <v>197653.5</v>
      </c>
      <c r="O1002" s="1">
        <v>0</v>
      </c>
      <c r="P1002" s="1">
        <v>0</v>
      </c>
      <c r="Q1002" s="1">
        <v>0</v>
      </c>
      <c r="R1002" s="1">
        <v>1994503.5</v>
      </c>
      <c r="S1002" s="1">
        <v>796850</v>
      </c>
      <c r="T1002" s="1">
        <v>44.347051785067997</v>
      </c>
      <c r="U1002" t="str">
        <f t="shared" si="15"/>
        <v>Week 3</v>
      </c>
    </row>
    <row r="1003" spans="1:21" x14ac:dyDescent="0.25">
      <c r="A1003" s="1">
        <v>1002</v>
      </c>
      <c r="B1003" s="1" t="s">
        <v>820</v>
      </c>
      <c r="C1003" s="2">
        <v>46069</v>
      </c>
      <c r="D1003" s="1" t="s">
        <v>53</v>
      </c>
      <c r="E1003" s="1" t="s">
        <v>54</v>
      </c>
      <c r="F1003" s="1" t="s">
        <v>30</v>
      </c>
      <c r="G1003" s="1" t="s">
        <v>24</v>
      </c>
      <c r="H1003" s="1">
        <v>1</v>
      </c>
      <c r="I1003" s="1" t="s">
        <v>821</v>
      </c>
      <c r="J1003" s="1"/>
      <c r="K1003" s="1">
        <v>1117200</v>
      </c>
      <c r="L1003" s="1">
        <v>0</v>
      </c>
      <c r="M1003" s="1">
        <v>0</v>
      </c>
      <c r="N1003" s="1">
        <v>122892</v>
      </c>
      <c r="O1003" s="1">
        <v>0</v>
      </c>
      <c r="P1003" s="1">
        <v>0</v>
      </c>
      <c r="Q1003" s="1">
        <v>0</v>
      </c>
      <c r="R1003" s="1">
        <v>1240092</v>
      </c>
      <c r="S1003" s="1">
        <v>276659.46000000002</v>
      </c>
      <c r="T1003" s="1">
        <v>24.763646616540999</v>
      </c>
      <c r="U1003" t="str">
        <f t="shared" si="15"/>
        <v>Week 3</v>
      </c>
    </row>
    <row r="1004" spans="1:21" x14ac:dyDescent="0.25">
      <c r="A1004" s="1">
        <v>1003</v>
      </c>
      <c r="B1004" s="1" t="s">
        <v>822</v>
      </c>
      <c r="C1004" s="2">
        <v>46069</v>
      </c>
      <c r="D1004" s="1" t="s">
        <v>184</v>
      </c>
      <c r="E1004" s="1" t="s">
        <v>116</v>
      </c>
      <c r="F1004" s="1" t="s">
        <v>30</v>
      </c>
      <c r="G1004" s="1" t="s">
        <v>24</v>
      </c>
      <c r="H1004" s="1">
        <v>1</v>
      </c>
      <c r="I1004" s="1" t="s">
        <v>823</v>
      </c>
      <c r="J1004" s="1" t="s">
        <v>26</v>
      </c>
      <c r="K1004" s="1">
        <v>4605000</v>
      </c>
      <c r="L1004" s="1">
        <v>0</v>
      </c>
      <c r="M1004" s="1">
        <v>0</v>
      </c>
      <c r="N1004" s="1">
        <v>506550</v>
      </c>
      <c r="O1004" s="1">
        <v>0</v>
      </c>
      <c r="P1004" s="1">
        <v>0</v>
      </c>
      <c r="Q1004" s="1">
        <v>0</v>
      </c>
      <c r="R1004" s="1">
        <v>5111550</v>
      </c>
      <c r="S1004" s="1">
        <v>4605000</v>
      </c>
      <c r="T1004" s="1">
        <v>100</v>
      </c>
      <c r="U1004" t="str">
        <f t="shared" si="15"/>
        <v>Week 3</v>
      </c>
    </row>
    <row r="1005" spans="1:21" x14ac:dyDescent="0.25">
      <c r="A1005" s="1">
        <v>1004</v>
      </c>
      <c r="B1005" s="1" t="s">
        <v>824</v>
      </c>
      <c r="C1005" s="2">
        <v>46069</v>
      </c>
      <c r="D1005" s="1" t="s">
        <v>37</v>
      </c>
      <c r="E1005" s="1" t="s">
        <v>38</v>
      </c>
      <c r="F1005" s="1" t="s">
        <v>30</v>
      </c>
      <c r="G1005" s="1" t="s">
        <v>24</v>
      </c>
      <c r="H1005" s="1">
        <v>1</v>
      </c>
      <c r="I1005" s="1" t="s">
        <v>825</v>
      </c>
      <c r="J1005" s="1"/>
      <c r="K1005" s="1">
        <v>539000</v>
      </c>
      <c r="L1005" s="1">
        <v>0</v>
      </c>
      <c r="M1005" s="1">
        <v>0</v>
      </c>
      <c r="N1005" s="1">
        <v>59290</v>
      </c>
      <c r="O1005" s="1">
        <v>0</v>
      </c>
      <c r="P1005" s="1">
        <v>0</v>
      </c>
      <c r="Q1005" s="1">
        <v>0</v>
      </c>
      <c r="R1005" s="1">
        <v>598290</v>
      </c>
      <c r="S1005" s="1">
        <v>5500</v>
      </c>
      <c r="T1005" s="1">
        <v>0</v>
      </c>
      <c r="U1005" t="str">
        <f t="shared" si="15"/>
        <v>Week 3</v>
      </c>
    </row>
    <row r="1006" spans="1:21" x14ac:dyDescent="0.25">
      <c r="A1006" s="1">
        <v>1005</v>
      </c>
      <c r="B1006" s="1" t="s">
        <v>826</v>
      </c>
      <c r="C1006" s="2">
        <v>46069</v>
      </c>
      <c r="D1006" s="1" t="s">
        <v>37</v>
      </c>
      <c r="E1006" s="1" t="s">
        <v>38</v>
      </c>
      <c r="F1006" s="1" t="s">
        <v>30</v>
      </c>
      <c r="G1006" s="1" t="s">
        <v>24</v>
      </c>
      <c r="H1006" s="1">
        <v>1</v>
      </c>
      <c r="I1006" s="1" t="s">
        <v>827</v>
      </c>
      <c r="J1006" s="1"/>
      <c r="K1006" s="1">
        <v>539000</v>
      </c>
      <c r="L1006" s="1">
        <v>0</v>
      </c>
      <c r="M1006" s="1">
        <v>0</v>
      </c>
      <c r="N1006" s="1">
        <v>59290</v>
      </c>
      <c r="O1006" s="1">
        <v>0</v>
      </c>
      <c r="P1006" s="1">
        <v>0</v>
      </c>
      <c r="Q1006" s="1">
        <v>0</v>
      </c>
      <c r="R1006" s="1">
        <v>598290</v>
      </c>
      <c r="S1006" s="1">
        <v>5500</v>
      </c>
      <c r="T1006" s="1">
        <v>0</v>
      </c>
      <c r="U1006" t="str">
        <f t="shared" si="15"/>
        <v>Week 3</v>
      </c>
    </row>
    <row r="1007" spans="1:21" x14ac:dyDescent="0.25">
      <c r="A1007" s="1">
        <v>1006</v>
      </c>
      <c r="B1007" s="1" t="s">
        <v>828</v>
      </c>
      <c r="C1007" s="2">
        <v>46069</v>
      </c>
      <c r="D1007" s="1" t="s">
        <v>33</v>
      </c>
      <c r="E1007" s="1" t="s">
        <v>34</v>
      </c>
      <c r="F1007" s="1" t="s">
        <v>30</v>
      </c>
      <c r="G1007" s="1" t="s">
        <v>24</v>
      </c>
      <c r="H1007" s="1">
        <v>1</v>
      </c>
      <c r="I1007" s="1" t="s">
        <v>829</v>
      </c>
      <c r="J1007" s="1"/>
      <c r="K1007" s="1">
        <v>50041250</v>
      </c>
      <c r="L1007" s="1">
        <v>0</v>
      </c>
      <c r="M1007" s="1">
        <v>0</v>
      </c>
      <c r="N1007" s="1">
        <v>5504537.5</v>
      </c>
      <c r="O1007" s="1">
        <v>0</v>
      </c>
      <c r="P1007" s="1">
        <v>0</v>
      </c>
      <c r="Q1007" s="1">
        <v>0</v>
      </c>
      <c r="R1007" s="1">
        <v>55545787.5</v>
      </c>
      <c r="S1007" s="1">
        <v>12041250</v>
      </c>
      <c r="T1007" s="1">
        <v>24.062648315139999</v>
      </c>
      <c r="U1007" t="str">
        <f t="shared" si="15"/>
        <v>Week 3</v>
      </c>
    </row>
    <row r="1008" spans="1:21" x14ac:dyDescent="0.25">
      <c r="A1008" s="1">
        <v>1007</v>
      </c>
      <c r="B1008" s="1" t="s">
        <v>830</v>
      </c>
      <c r="C1008" s="2">
        <v>46069</v>
      </c>
      <c r="D1008" s="1" t="s">
        <v>21</v>
      </c>
      <c r="E1008" s="1" t="s">
        <v>22</v>
      </c>
      <c r="F1008" s="1" t="s">
        <v>23</v>
      </c>
      <c r="G1008" s="1" t="s">
        <v>24</v>
      </c>
      <c r="H1008" s="1">
        <v>1</v>
      </c>
      <c r="I1008" s="1" t="s">
        <v>831</v>
      </c>
      <c r="J1008" s="1" t="s">
        <v>26</v>
      </c>
      <c r="K1008" s="1">
        <v>45846766</v>
      </c>
      <c r="L1008" s="1">
        <v>0</v>
      </c>
      <c r="M1008" s="1">
        <v>0</v>
      </c>
      <c r="N1008" s="1">
        <v>5043144.26</v>
      </c>
      <c r="O1008" s="1">
        <v>0</v>
      </c>
      <c r="P1008" s="1">
        <v>0</v>
      </c>
      <c r="Q1008" s="1">
        <v>0</v>
      </c>
      <c r="R1008" s="1">
        <v>50889910.259999998</v>
      </c>
      <c r="S1008" s="1">
        <v>12025910.144144</v>
      </c>
      <c r="T1008" s="1">
        <v>26.230661818424</v>
      </c>
      <c r="U1008" t="str">
        <f t="shared" si="15"/>
        <v>Week 3</v>
      </c>
    </row>
    <row r="1009" spans="1:21" x14ac:dyDescent="0.25">
      <c r="A1009" s="1">
        <v>1008</v>
      </c>
      <c r="B1009" s="1" t="s">
        <v>832</v>
      </c>
      <c r="C1009" s="2">
        <v>46067</v>
      </c>
      <c r="D1009" s="1" t="s">
        <v>53</v>
      </c>
      <c r="E1009" s="1" t="s">
        <v>54</v>
      </c>
      <c r="F1009" s="1" t="s">
        <v>23</v>
      </c>
      <c r="G1009" s="1" t="s">
        <v>24</v>
      </c>
      <c r="H1009" s="1">
        <v>1</v>
      </c>
      <c r="I1009" s="1" t="s">
        <v>302</v>
      </c>
      <c r="J1009" s="1"/>
      <c r="K1009" s="1">
        <v>125000</v>
      </c>
      <c r="L1009" s="1">
        <v>0</v>
      </c>
      <c r="M1009" s="1">
        <v>0</v>
      </c>
      <c r="N1009" s="1">
        <v>13750</v>
      </c>
      <c r="O1009" s="1">
        <v>0</v>
      </c>
      <c r="P1009" s="1">
        <v>0</v>
      </c>
      <c r="Q1009" s="1">
        <v>0</v>
      </c>
      <c r="R1009" s="1">
        <v>138750</v>
      </c>
      <c r="S1009" s="1">
        <v>55000</v>
      </c>
      <c r="T1009" s="1">
        <v>44</v>
      </c>
      <c r="U1009" t="str">
        <f t="shared" si="15"/>
        <v>Week 2</v>
      </c>
    </row>
    <row r="1010" spans="1:21" x14ac:dyDescent="0.25">
      <c r="A1010" s="1">
        <v>1009</v>
      </c>
      <c r="B1010" s="1" t="s">
        <v>833</v>
      </c>
      <c r="C1010" s="2">
        <v>46067</v>
      </c>
      <c r="D1010" s="1" t="s">
        <v>21</v>
      </c>
      <c r="E1010" s="1" t="s">
        <v>22</v>
      </c>
      <c r="F1010" s="1" t="s">
        <v>260</v>
      </c>
      <c r="G1010" s="1" t="s">
        <v>24</v>
      </c>
      <c r="H1010" s="1">
        <v>1</v>
      </c>
      <c r="I1010" s="1" t="s">
        <v>2482</v>
      </c>
      <c r="J1010" s="1" t="s">
        <v>26</v>
      </c>
      <c r="K1010" s="1">
        <v>81021500</v>
      </c>
      <c r="L1010" s="1">
        <v>0</v>
      </c>
      <c r="M1010" s="1">
        <v>0</v>
      </c>
      <c r="N1010" s="1">
        <v>8912365</v>
      </c>
      <c r="O1010" s="1">
        <v>0</v>
      </c>
      <c r="P1010" s="1">
        <v>0</v>
      </c>
      <c r="Q1010" s="1">
        <v>0</v>
      </c>
      <c r="R1010" s="1">
        <v>89933865</v>
      </c>
      <c r="S1010" s="1">
        <v>29253479.50451</v>
      </c>
      <c r="T1010" s="1">
        <v>36.105823151274997</v>
      </c>
      <c r="U1010" t="str">
        <f t="shared" si="15"/>
        <v>Week 2</v>
      </c>
    </row>
    <row r="1011" spans="1:21" x14ac:dyDescent="0.25">
      <c r="A1011" s="1">
        <v>1010</v>
      </c>
      <c r="B1011" s="1" t="s">
        <v>834</v>
      </c>
      <c r="C1011" s="2">
        <v>46067</v>
      </c>
      <c r="D1011" s="1" t="s">
        <v>202</v>
      </c>
      <c r="E1011" s="1" t="s">
        <v>203</v>
      </c>
      <c r="F1011" s="1" t="s">
        <v>30</v>
      </c>
      <c r="G1011" s="1" t="s">
        <v>24</v>
      </c>
      <c r="H1011" s="1">
        <v>1</v>
      </c>
      <c r="I1011" s="1" t="s">
        <v>835</v>
      </c>
      <c r="J1011" s="1" t="s">
        <v>26</v>
      </c>
      <c r="K1011" s="1">
        <v>86686322</v>
      </c>
      <c r="L1011" s="1">
        <v>0</v>
      </c>
      <c r="M1011" s="1">
        <v>0</v>
      </c>
      <c r="N1011" s="1">
        <v>9535495.4199999999</v>
      </c>
      <c r="O1011" s="1">
        <v>0</v>
      </c>
      <c r="P1011" s="1">
        <v>0</v>
      </c>
      <c r="Q1011" s="1">
        <v>0</v>
      </c>
      <c r="R1011" s="1">
        <v>96221817.420000002</v>
      </c>
      <c r="S1011" s="1">
        <v>18046322</v>
      </c>
      <c r="T1011" s="1">
        <v>20.817957878061002</v>
      </c>
      <c r="U1011" t="str">
        <f t="shared" si="15"/>
        <v>Week 2</v>
      </c>
    </row>
    <row r="1012" spans="1:21" x14ac:dyDescent="0.25">
      <c r="A1012" s="1">
        <v>1011</v>
      </c>
      <c r="B1012" s="1" t="s">
        <v>836</v>
      </c>
      <c r="C1012" s="2">
        <v>46067</v>
      </c>
      <c r="D1012" s="1" t="s">
        <v>21</v>
      </c>
      <c r="E1012" s="1" t="s">
        <v>22</v>
      </c>
      <c r="F1012" s="1" t="s">
        <v>23</v>
      </c>
      <c r="G1012" s="1" t="s">
        <v>24</v>
      </c>
      <c r="H1012" s="1">
        <v>1</v>
      </c>
      <c r="I1012" s="1" t="s">
        <v>837</v>
      </c>
      <c r="J1012" s="1" t="s">
        <v>26</v>
      </c>
      <c r="K1012" s="1">
        <v>51108426</v>
      </c>
      <c r="L1012" s="1">
        <v>0</v>
      </c>
      <c r="M1012" s="1">
        <v>0</v>
      </c>
      <c r="N1012" s="1">
        <v>5621926.8600000003</v>
      </c>
      <c r="O1012" s="1">
        <v>0</v>
      </c>
      <c r="P1012" s="1">
        <v>0</v>
      </c>
      <c r="Q1012" s="1">
        <v>0</v>
      </c>
      <c r="R1012" s="1">
        <v>56730352.859999999</v>
      </c>
      <c r="S1012" s="1">
        <v>18811762.939369</v>
      </c>
      <c r="T1012" s="1">
        <v>36.807556819239998</v>
      </c>
      <c r="U1012" t="str">
        <f t="shared" si="15"/>
        <v>Week 2</v>
      </c>
    </row>
    <row r="1013" spans="1:21" x14ac:dyDescent="0.25">
      <c r="A1013" s="1">
        <v>1012</v>
      </c>
      <c r="B1013" s="1" t="s">
        <v>838</v>
      </c>
      <c r="C1013" s="2">
        <v>46067</v>
      </c>
      <c r="D1013" s="1" t="s">
        <v>2979</v>
      </c>
      <c r="E1013" s="1" t="s">
        <v>203</v>
      </c>
      <c r="F1013" s="1" t="s">
        <v>23</v>
      </c>
      <c r="G1013" s="1" t="s">
        <v>24</v>
      </c>
      <c r="H1013" s="1">
        <v>1</v>
      </c>
      <c r="I1013" s="1" t="s">
        <v>839</v>
      </c>
      <c r="J1013" s="1" t="s">
        <v>26</v>
      </c>
      <c r="K1013" s="1">
        <v>8610000</v>
      </c>
      <c r="L1013" s="1">
        <v>0</v>
      </c>
      <c r="M1013" s="1">
        <v>0</v>
      </c>
      <c r="N1013" s="1">
        <v>947100</v>
      </c>
      <c r="O1013" s="1">
        <v>0</v>
      </c>
      <c r="P1013" s="1">
        <v>0</v>
      </c>
      <c r="Q1013" s="1">
        <v>0</v>
      </c>
      <c r="R1013" s="1">
        <v>9557100</v>
      </c>
      <c r="S1013" s="1">
        <v>2455046</v>
      </c>
      <c r="T1013" s="1">
        <v>28.513890824623001</v>
      </c>
      <c r="U1013" t="str">
        <f t="shared" si="15"/>
        <v>Week 2</v>
      </c>
    </row>
    <row r="1014" spans="1:21" x14ac:dyDescent="0.25">
      <c r="A1014" s="1">
        <v>1013</v>
      </c>
      <c r="B1014" s="1" t="s">
        <v>840</v>
      </c>
      <c r="C1014" s="2">
        <v>46067</v>
      </c>
      <c r="D1014" s="1" t="s">
        <v>98</v>
      </c>
      <c r="E1014" s="1" t="s">
        <v>99</v>
      </c>
      <c r="F1014" s="1" t="s">
        <v>23</v>
      </c>
      <c r="G1014" s="1" t="s">
        <v>24</v>
      </c>
      <c r="H1014" s="1">
        <v>1</v>
      </c>
      <c r="I1014" s="1" t="s">
        <v>841</v>
      </c>
      <c r="J1014" s="1"/>
      <c r="K1014" s="1">
        <v>64245920</v>
      </c>
      <c r="L1014" s="1">
        <v>0</v>
      </c>
      <c r="M1014" s="1">
        <v>0</v>
      </c>
      <c r="N1014" s="1">
        <v>7067051.2000000002</v>
      </c>
      <c r="O1014" s="1">
        <v>0</v>
      </c>
      <c r="P1014" s="1">
        <v>0</v>
      </c>
      <c r="Q1014" s="1">
        <v>0</v>
      </c>
      <c r="R1014" s="1">
        <v>71312971.200000003</v>
      </c>
      <c r="S1014" s="1">
        <v>31445785.960000001</v>
      </c>
      <c r="T1014" s="1">
        <v>48.945965689338998</v>
      </c>
      <c r="U1014" t="str">
        <f t="shared" si="15"/>
        <v>Week 2</v>
      </c>
    </row>
    <row r="1015" spans="1:21" x14ac:dyDescent="0.25">
      <c r="A1015" s="1">
        <v>1014</v>
      </c>
      <c r="B1015" s="1" t="s">
        <v>842</v>
      </c>
      <c r="C1015" s="2">
        <v>46067</v>
      </c>
      <c r="D1015" s="1" t="s">
        <v>2979</v>
      </c>
      <c r="E1015" s="1" t="s">
        <v>203</v>
      </c>
      <c r="F1015" s="1" t="s">
        <v>23</v>
      </c>
      <c r="G1015" s="1" t="s">
        <v>24</v>
      </c>
      <c r="H1015" s="1">
        <v>1</v>
      </c>
      <c r="I1015" s="1" t="s">
        <v>843</v>
      </c>
      <c r="J1015" s="1" t="s">
        <v>26</v>
      </c>
      <c r="K1015" s="1">
        <v>18250000</v>
      </c>
      <c r="L1015" s="1">
        <v>0</v>
      </c>
      <c r="M1015" s="1">
        <v>0</v>
      </c>
      <c r="N1015" s="1">
        <v>2007500</v>
      </c>
      <c r="O1015" s="1">
        <v>0</v>
      </c>
      <c r="P1015" s="1">
        <v>0</v>
      </c>
      <c r="Q1015" s="1">
        <v>0</v>
      </c>
      <c r="R1015" s="1">
        <v>20257500</v>
      </c>
      <c r="S1015" s="1">
        <v>5650000</v>
      </c>
      <c r="T1015" s="1">
        <v>30.958904109589</v>
      </c>
      <c r="U1015" t="str">
        <f t="shared" si="15"/>
        <v>Week 2</v>
      </c>
    </row>
    <row r="1016" spans="1:21" x14ac:dyDescent="0.25">
      <c r="A1016" s="1">
        <v>1015</v>
      </c>
      <c r="B1016" s="1" t="s">
        <v>844</v>
      </c>
      <c r="C1016" s="2">
        <v>46067</v>
      </c>
      <c r="D1016" s="1" t="s">
        <v>28</v>
      </c>
      <c r="E1016" s="1" t="s">
        <v>203</v>
      </c>
      <c r="F1016" s="1" t="s">
        <v>23</v>
      </c>
      <c r="G1016" s="1" t="s">
        <v>24</v>
      </c>
      <c r="H1016" s="1">
        <v>1</v>
      </c>
      <c r="I1016" s="1" t="s">
        <v>845</v>
      </c>
      <c r="J1016" s="1" t="s">
        <v>26</v>
      </c>
      <c r="K1016" s="1">
        <v>25922527</v>
      </c>
      <c r="L1016" s="1">
        <v>0</v>
      </c>
      <c r="M1016" s="1">
        <v>0</v>
      </c>
      <c r="N1016" s="1">
        <v>2851477.97</v>
      </c>
      <c r="O1016" s="1">
        <v>0</v>
      </c>
      <c r="P1016" s="1">
        <v>0</v>
      </c>
      <c r="Q1016" s="1">
        <v>0</v>
      </c>
      <c r="R1016" s="1">
        <v>28774004.969999999</v>
      </c>
      <c r="S1016" s="1">
        <v>8185527</v>
      </c>
      <c r="T1016" s="1">
        <v>31.576886774965999</v>
      </c>
      <c r="U1016" t="str">
        <f t="shared" si="15"/>
        <v>Week 2</v>
      </c>
    </row>
    <row r="1017" spans="1:21" x14ac:dyDescent="0.25">
      <c r="A1017" s="1">
        <v>1016</v>
      </c>
      <c r="B1017" s="1" t="s">
        <v>846</v>
      </c>
      <c r="C1017" s="2">
        <v>46067</v>
      </c>
      <c r="D1017" s="1" t="s">
        <v>28</v>
      </c>
      <c r="E1017" s="1" t="s">
        <v>29</v>
      </c>
      <c r="F1017" s="1" t="s">
        <v>23</v>
      </c>
      <c r="G1017" s="1" t="s">
        <v>24</v>
      </c>
      <c r="H1017" s="1">
        <v>1</v>
      </c>
      <c r="I1017" s="1" t="s">
        <v>847</v>
      </c>
      <c r="J1017" s="1"/>
      <c r="K1017" s="1">
        <v>50150000</v>
      </c>
      <c r="L1017" s="1">
        <v>0</v>
      </c>
      <c r="M1017" s="1">
        <v>0</v>
      </c>
      <c r="N1017" s="1">
        <v>5516500</v>
      </c>
      <c r="O1017" s="1">
        <v>0</v>
      </c>
      <c r="P1017" s="1">
        <v>0</v>
      </c>
      <c r="Q1017" s="1">
        <v>0</v>
      </c>
      <c r="R1017" s="1">
        <v>55666500</v>
      </c>
      <c r="S1017" s="1">
        <v>10050000</v>
      </c>
      <c r="T1017" s="1">
        <v>20.039880358923</v>
      </c>
      <c r="U1017" t="str">
        <f t="shared" si="15"/>
        <v>Week 2</v>
      </c>
    </row>
    <row r="1018" spans="1:21" x14ac:dyDescent="0.25">
      <c r="A1018" s="1">
        <v>1017</v>
      </c>
      <c r="B1018" s="1" t="s">
        <v>848</v>
      </c>
      <c r="C1018" s="2">
        <v>46067</v>
      </c>
      <c r="D1018" s="1" t="s">
        <v>28</v>
      </c>
      <c r="E1018" s="1" t="s">
        <v>203</v>
      </c>
      <c r="F1018" s="1" t="s">
        <v>23</v>
      </c>
      <c r="G1018" s="1" t="s">
        <v>24</v>
      </c>
      <c r="H1018" s="1">
        <v>1</v>
      </c>
      <c r="I1018" s="1" t="s">
        <v>845</v>
      </c>
      <c r="J1018" s="1" t="s">
        <v>26</v>
      </c>
      <c r="K1018" s="1">
        <v>145466250</v>
      </c>
      <c r="L1018" s="1">
        <v>0</v>
      </c>
      <c r="M1018" s="1">
        <v>0</v>
      </c>
      <c r="N1018" s="1">
        <v>16001287.5</v>
      </c>
      <c r="O1018" s="1">
        <v>0</v>
      </c>
      <c r="P1018" s="1">
        <v>0</v>
      </c>
      <c r="Q1018" s="1">
        <v>0</v>
      </c>
      <c r="R1018" s="1">
        <v>161467537.5</v>
      </c>
      <c r="S1018" s="1">
        <v>29954250</v>
      </c>
      <c r="T1018" s="1">
        <v>20.591889871362</v>
      </c>
      <c r="U1018" t="str">
        <f t="shared" si="15"/>
        <v>Week 2</v>
      </c>
    </row>
    <row r="1019" spans="1:21" x14ac:dyDescent="0.25">
      <c r="A1019" s="1">
        <v>1018</v>
      </c>
      <c r="B1019" s="1" t="s">
        <v>849</v>
      </c>
      <c r="C1019" s="2">
        <v>46067</v>
      </c>
      <c r="D1019" s="1" t="s">
        <v>21</v>
      </c>
      <c r="E1019" s="1" t="s">
        <v>22</v>
      </c>
      <c r="F1019" s="1" t="s">
        <v>30</v>
      </c>
      <c r="G1019" s="1" t="s">
        <v>24</v>
      </c>
      <c r="H1019" s="1">
        <v>1</v>
      </c>
      <c r="I1019" s="1" t="s">
        <v>850</v>
      </c>
      <c r="J1019" s="1" t="s">
        <v>26</v>
      </c>
      <c r="K1019" s="1">
        <v>87894687</v>
      </c>
      <c r="L1019" s="1">
        <v>0</v>
      </c>
      <c r="M1019" s="1">
        <v>0</v>
      </c>
      <c r="N1019" s="1">
        <v>9668415.5700000003</v>
      </c>
      <c r="O1019" s="1">
        <v>0</v>
      </c>
      <c r="P1019" s="1">
        <v>0</v>
      </c>
      <c r="Q1019" s="1">
        <v>0</v>
      </c>
      <c r="R1019" s="1">
        <v>97563102.569999993</v>
      </c>
      <c r="S1019" s="1">
        <v>-27566313</v>
      </c>
      <c r="T1019" s="1">
        <v>-31.362888862668001</v>
      </c>
      <c r="U1019" t="str">
        <f t="shared" si="15"/>
        <v>Week 2</v>
      </c>
    </row>
    <row r="1020" spans="1:21" x14ac:dyDescent="0.25">
      <c r="A1020" s="1">
        <v>1019</v>
      </c>
      <c r="B1020" s="1" t="s">
        <v>851</v>
      </c>
      <c r="C1020" s="2">
        <v>46067</v>
      </c>
      <c r="D1020" s="1" t="s">
        <v>306</v>
      </c>
      <c r="E1020" s="1" t="s">
        <v>99</v>
      </c>
      <c r="F1020" s="1" t="s">
        <v>23</v>
      </c>
      <c r="G1020" s="1" t="s">
        <v>24</v>
      </c>
      <c r="H1020" s="1">
        <v>1</v>
      </c>
      <c r="I1020" s="1" t="s">
        <v>852</v>
      </c>
      <c r="J1020" s="1" t="s">
        <v>26</v>
      </c>
      <c r="K1020" s="1">
        <v>7685000</v>
      </c>
      <c r="L1020" s="1">
        <v>0</v>
      </c>
      <c r="M1020" s="1">
        <v>0</v>
      </c>
      <c r="N1020" s="1">
        <v>845350</v>
      </c>
      <c r="O1020" s="1">
        <v>0</v>
      </c>
      <c r="P1020" s="1">
        <v>0</v>
      </c>
      <c r="Q1020" s="1">
        <v>0</v>
      </c>
      <c r="R1020" s="1">
        <v>8530350</v>
      </c>
      <c r="S1020" s="1">
        <v>5131234.2342341999</v>
      </c>
      <c r="T1020" s="1">
        <v>66.769476047289999</v>
      </c>
      <c r="U1020" t="str">
        <f t="shared" si="15"/>
        <v>Week 2</v>
      </c>
    </row>
    <row r="1021" spans="1:21" x14ac:dyDescent="0.25">
      <c r="A1021" s="1">
        <v>1020</v>
      </c>
      <c r="B1021" s="1" t="s">
        <v>853</v>
      </c>
      <c r="C1021" s="2">
        <v>46066</v>
      </c>
      <c r="D1021" s="1" t="s">
        <v>53</v>
      </c>
      <c r="E1021" s="1" t="s">
        <v>54</v>
      </c>
      <c r="F1021" s="1" t="s">
        <v>30</v>
      </c>
      <c r="G1021" s="1" t="s">
        <v>24</v>
      </c>
      <c r="H1021" s="1">
        <v>1</v>
      </c>
      <c r="I1021" s="1" t="s">
        <v>302</v>
      </c>
      <c r="J1021" s="1"/>
      <c r="K1021" s="1">
        <v>1120000</v>
      </c>
      <c r="L1021" s="1">
        <v>0</v>
      </c>
      <c r="M1021" s="1">
        <v>0</v>
      </c>
      <c r="N1021" s="1">
        <v>123200</v>
      </c>
      <c r="O1021" s="1">
        <v>0</v>
      </c>
      <c r="P1021" s="1">
        <v>0</v>
      </c>
      <c r="Q1021" s="1">
        <v>0</v>
      </c>
      <c r="R1021" s="1">
        <v>1243200</v>
      </c>
      <c r="S1021" s="1">
        <v>760000</v>
      </c>
      <c r="T1021" s="1">
        <v>67.857142857143003</v>
      </c>
      <c r="U1021" t="str">
        <f t="shared" si="15"/>
        <v>Week 2</v>
      </c>
    </row>
    <row r="1022" spans="1:21" x14ac:dyDescent="0.25">
      <c r="A1022" s="1">
        <v>1021</v>
      </c>
      <c r="B1022" s="1" t="s">
        <v>854</v>
      </c>
      <c r="C1022" s="2">
        <v>46066</v>
      </c>
      <c r="D1022" s="1" t="s">
        <v>53</v>
      </c>
      <c r="E1022" s="1" t="s">
        <v>54</v>
      </c>
      <c r="F1022" s="1" t="s">
        <v>30</v>
      </c>
      <c r="G1022" s="1" t="s">
        <v>24</v>
      </c>
      <c r="H1022" s="1">
        <v>1</v>
      </c>
      <c r="I1022" s="1" t="s">
        <v>855</v>
      </c>
      <c r="J1022" s="1"/>
      <c r="K1022" s="1">
        <v>979118</v>
      </c>
      <c r="L1022" s="1">
        <v>0</v>
      </c>
      <c r="M1022" s="1">
        <v>0</v>
      </c>
      <c r="N1022" s="1">
        <v>107702.98</v>
      </c>
      <c r="O1022" s="1">
        <v>0</v>
      </c>
      <c r="P1022" s="1">
        <v>0</v>
      </c>
      <c r="Q1022" s="1">
        <v>0</v>
      </c>
      <c r="R1022" s="1">
        <v>1086820.98</v>
      </c>
      <c r="S1022" s="1">
        <v>229118</v>
      </c>
      <c r="T1022" s="1">
        <v>23.400448158444998</v>
      </c>
      <c r="U1022" t="str">
        <f t="shared" si="15"/>
        <v>Week 2</v>
      </c>
    </row>
    <row r="1023" spans="1:21" x14ac:dyDescent="0.25">
      <c r="A1023" s="1">
        <v>1022</v>
      </c>
      <c r="B1023" s="1" t="s">
        <v>856</v>
      </c>
      <c r="C1023" s="2">
        <v>46066</v>
      </c>
      <c r="D1023" s="1" t="s">
        <v>28</v>
      </c>
      <c r="E1023" s="1" t="s">
        <v>203</v>
      </c>
      <c r="F1023" s="1" t="s">
        <v>23</v>
      </c>
      <c r="G1023" s="1" t="s">
        <v>24</v>
      </c>
      <c r="H1023" s="1">
        <v>1</v>
      </c>
      <c r="I1023" s="1" t="s">
        <v>845</v>
      </c>
      <c r="J1023" s="1" t="s">
        <v>26</v>
      </c>
      <c r="K1023" s="1">
        <v>201099764</v>
      </c>
      <c r="L1023" s="1">
        <v>0</v>
      </c>
      <c r="M1023" s="1">
        <v>0</v>
      </c>
      <c r="N1023" s="1">
        <v>22120974.039999999</v>
      </c>
      <c r="O1023" s="1">
        <v>0</v>
      </c>
      <c r="P1023" s="1">
        <v>0</v>
      </c>
      <c r="Q1023" s="1">
        <v>0</v>
      </c>
      <c r="R1023" s="1">
        <v>223220738.03999999</v>
      </c>
      <c r="S1023" s="1">
        <v>57961764</v>
      </c>
      <c r="T1023" s="1">
        <v>28.822392849749999</v>
      </c>
      <c r="U1023" t="str">
        <f t="shared" si="15"/>
        <v>Week 2</v>
      </c>
    </row>
    <row r="1024" spans="1:21" x14ac:dyDescent="0.25">
      <c r="A1024" s="1">
        <v>1023</v>
      </c>
      <c r="B1024" s="1" t="s">
        <v>857</v>
      </c>
      <c r="C1024" s="2">
        <v>46066</v>
      </c>
      <c r="D1024" s="1" t="s">
        <v>53</v>
      </c>
      <c r="E1024" s="1" t="s">
        <v>54</v>
      </c>
      <c r="F1024" s="1" t="s">
        <v>30</v>
      </c>
      <c r="G1024" s="1" t="s">
        <v>24</v>
      </c>
      <c r="H1024" s="1">
        <v>1</v>
      </c>
      <c r="I1024" s="1" t="s">
        <v>2357</v>
      </c>
      <c r="J1024" s="1"/>
      <c r="K1024" s="1">
        <v>43147567.399999999</v>
      </c>
      <c r="L1024" s="1">
        <v>0</v>
      </c>
      <c r="M1024" s="1">
        <v>0</v>
      </c>
      <c r="N1024" s="1">
        <v>4746232.4139999999</v>
      </c>
      <c r="O1024" s="1">
        <v>0</v>
      </c>
      <c r="P1024" s="1">
        <v>0</v>
      </c>
      <c r="Q1024" s="1">
        <v>0</v>
      </c>
      <c r="R1024" s="1">
        <v>47893799.814000003</v>
      </c>
      <c r="S1024" s="1">
        <v>9530835.3900000006</v>
      </c>
      <c r="T1024" s="1">
        <v>22.088928679673</v>
      </c>
      <c r="U1024" t="str">
        <f t="shared" si="15"/>
        <v>Week 2</v>
      </c>
    </row>
    <row r="1025" spans="1:21" x14ac:dyDescent="0.25">
      <c r="A1025" s="1">
        <v>1024</v>
      </c>
      <c r="B1025" s="1" t="s">
        <v>858</v>
      </c>
      <c r="C1025" s="2">
        <v>46066</v>
      </c>
      <c r="D1025" s="1" t="s">
        <v>169</v>
      </c>
      <c r="E1025" s="1" t="s">
        <v>99</v>
      </c>
      <c r="F1025" s="1" t="s">
        <v>23</v>
      </c>
      <c r="G1025" s="1" t="s">
        <v>24</v>
      </c>
      <c r="H1025" s="1">
        <v>1</v>
      </c>
      <c r="I1025" s="1" t="s">
        <v>170</v>
      </c>
      <c r="J1025" s="1"/>
      <c r="K1025" s="1">
        <v>19875000</v>
      </c>
      <c r="L1025" s="1">
        <v>0</v>
      </c>
      <c r="M1025" s="1">
        <v>0</v>
      </c>
      <c r="N1025" s="1">
        <v>2186250</v>
      </c>
      <c r="O1025" s="1">
        <v>0</v>
      </c>
      <c r="P1025" s="1">
        <v>0</v>
      </c>
      <c r="Q1025" s="1">
        <v>0</v>
      </c>
      <c r="R1025" s="1">
        <v>22061250</v>
      </c>
      <c r="S1025" s="1">
        <v>7671036.0810900005</v>
      </c>
      <c r="T1025" s="1">
        <v>38.596407955170001</v>
      </c>
      <c r="U1025" t="str">
        <f t="shared" si="15"/>
        <v>Week 2</v>
      </c>
    </row>
    <row r="1026" spans="1:21" x14ac:dyDescent="0.25">
      <c r="A1026" s="1">
        <v>1025</v>
      </c>
      <c r="B1026" s="1" t="s">
        <v>859</v>
      </c>
      <c r="C1026" s="2">
        <v>46066</v>
      </c>
      <c r="D1026" s="1" t="s">
        <v>511</v>
      </c>
      <c r="E1026" s="1" t="s">
        <v>38</v>
      </c>
      <c r="F1026" s="1" t="s">
        <v>23</v>
      </c>
      <c r="G1026" s="1" t="s">
        <v>24</v>
      </c>
      <c r="H1026" s="1">
        <v>1</v>
      </c>
      <c r="I1026" s="1" t="s">
        <v>807</v>
      </c>
      <c r="J1026" s="1" t="s">
        <v>26</v>
      </c>
      <c r="K1026" s="1">
        <v>10222785</v>
      </c>
      <c r="L1026" s="1">
        <v>0</v>
      </c>
      <c r="M1026" s="1">
        <v>0</v>
      </c>
      <c r="N1026" s="1">
        <v>1124506.3500000001</v>
      </c>
      <c r="O1026" s="1">
        <v>0</v>
      </c>
      <c r="P1026" s="1">
        <v>0</v>
      </c>
      <c r="Q1026" s="1">
        <v>0</v>
      </c>
      <c r="R1026" s="1">
        <v>11347291.35</v>
      </c>
      <c r="S1026" s="1">
        <v>2146785</v>
      </c>
      <c r="T1026" s="1">
        <v>21.000001467311002</v>
      </c>
      <c r="U1026" t="str">
        <f t="shared" si="15"/>
        <v>Week 2</v>
      </c>
    </row>
    <row r="1027" spans="1:21" x14ac:dyDescent="0.25">
      <c r="A1027" s="1">
        <v>1026</v>
      </c>
      <c r="B1027" s="1" t="s">
        <v>860</v>
      </c>
      <c r="C1027" s="2">
        <v>46066</v>
      </c>
      <c r="D1027" s="1" t="s">
        <v>202</v>
      </c>
      <c r="E1027" s="1" t="s">
        <v>203</v>
      </c>
      <c r="F1027" s="1" t="s">
        <v>23</v>
      </c>
      <c r="G1027" s="1" t="s">
        <v>24</v>
      </c>
      <c r="H1027" s="1">
        <v>1</v>
      </c>
      <c r="I1027" s="1" t="s">
        <v>861</v>
      </c>
      <c r="J1027" s="1" t="s">
        <v>26</v>
      </c>
      <c r="K1027" s="1">
        <v>1422650</v>
      </c>
      <c r="L1027" s="1">
        <v>0</v>
      </c>
      <c r="M1027" s="1">
        <v>0</v>
      </c>
      <c r="N1027" s="1">
        <v>156491.5</v>
      </c>
      <c r="O1027" s="1">
        <v>0</v>
      </c>
      <c r="P1027" s="1">
        <v>0</v>
      </c>
      <c r="Q1027" s="1">
        <v>0</v>
      </c>
      <c r="R1027" s="1">
        <v>1579141.5</v>
      </c>
      <c r="S1027" s="1">
        <v>567694.1</v>
      </c>
      <c r="T1027" s="1">
        <v>39.903989034547998</v>
      </c>
      <c r="U1027" t="str">
        <f t="shared" ref="U1027:U1090" si="16">"Week "&amp;IF(DAY(C1027)&gt;=24,4,INT((DAY(C1027)-1)/7)+1)</f>
        <v>Week 2</v>
      </c>
    </row>
    <row r="1028" spans="1:21" x14ac:dyDescent="0.25">
      <c r="A1028" s="1">
        <v>1027</v>
      </c>
      <c r="B1028" s="1" t="s">
        <v>862</v>
      </c>
      <c r="C1028" s="2">
        <v>46066</v>
      </c>
      <c r="D1028" s="1" t="s">
        <v>184</v>
      </c>
      <c r="E1028" s="1" t="s">
        <v>116</v>
      </c>
      <c r="F1028" s="1" t="s">
        <v>30</v>
      </c>
      <c r="G1028" s="1" t="s">
        <v>24</v>
      </c>
      <c r="H1028" s="1">
        <v>1</v>
      </c>
      <c r="I1028" s="1" t="s">
        <v>863</v>
      </c>
      <c r="J1028" s="1" t="s">
        <v>26</v>
      </c>
      <c r="K1028" s="1">
        <v>4050000</v>
      </c>
      <c r="L1028" s="1">
        <v>0</v>
      </c>
      <c r="M1028" s="1">
        <v>0</v>
      </c>
      <c r="N1028" s="1">
        <v>445500</v>
      </c>
      <c r="O1028" s="1">
        <v>0</v>
      </c>
      <c r="P1028" s="1">
        <v>0</v>
      </c>
      <c r="Q1028" s="1">
        <v>0</v>
      </c>
      <c r="R1028" s="1">
        <v>4495500</v>
      </c>
      <c r="S1028" s="1">
        <v>2700000</v>
      </c>
      <c r="T1028" s="1">
        <v>66.666666666666998</v>
      </c>
      <c r="U1028" t="str">
        <f t="shared" si="16"/>
        <v>Week 2</v>
      </c>
    </row>
    <row r="1029" spans="1:21" x14ac:dyDescent="0.25">
      <c r="A1029" s="1">
        <v>1028</v>
      </c>
      <c r="B1029" s="1" t="s">
        <v>864</v>
      </c>
      <c r="C1029" s="2">
        <v>46066</v>
      </c>
      <c r="D1029" s="1" t="s">
        <v>21</v>
      </c>
      <c r="E1029" s="1" t="s">
        <v>22</v>
      </c>
      <c r="F1029" s="1" t="s">
        <v>865</v>
      </c>
      <c r="G1029" s="1" t="s">
        <v>24</v>
      </c>
      <c r="H1029" s="1">
        <v>1</v>
      </c>
      <c r="I1029" s="1" t="s">
        <v>866</v>
      </c>
      <c r="J1029" s="1" t="s">
        <v>26</v>
      </c>
      <c r="K1029" s="1">
        <v>10378700</v>
      </c>
      <c r="L1029" s="1">
        <v>0</v>
      </c>
      <c r="M1029" s="1">
        <v>0</v>
      </c>
      <c r="N1029" s="1">
        <v>1141657</v>
      </c>
      <c r="O1029" s="1">
        <v>0</v>
      </c>
      <c r="P1029" s="1">
        <v>0</v>
      </c>
      <c r="Q1029" s="1">
        <v>0</v>
      </c>
      <c r="R1029" s="1">
        <v>11520357</v>
      </c>
      <c r="S1029" s="1">
        <v>3512509.6486486001</v>
      </c>
      <c r="T1029" s="1">
        <v>33.843445216150997</v>
      </c>
      <c r="U1029" t="str">
        <f t="shared" si="16"/>
        <v>Week 2</v>
      </c>
    </row>
    <row r="1030" spans="1:21" x14ac:dyDescent="0.25">
      <c r="A1030" s="1">
        <v>1029</v>
      </c>
      <c r="B1030" s="1" t="s">
        <v>867</v>
      </c>
      <c r="C1030" s="2">
        <v>46066</v>
      </c>
      <c r="D1030" s="1" t="s">
        <v>33</v>
      </c>
      <c r="E1030" s="1" t="s">
        <v>38</v>
      </c>
      <c r="F1030" s="1" t="s">
        <v>23</v>
      </c>
      <c r="G1030" s="1" t="s">
        <v>24</v>
      </c>
      <c r="H1030" s="1">
        <v>1</v>
      </c>
      <c r="I1030" s="1" t="s">
        <v>868</v>
      </c>
      <c r="J1030" s="1" t="s">
        <v>26</v>
      </c>
      <c r="K1030" s="1">
        <v>113000000</v>
      </c>
      <c r="L1030" s="1">
        <v>0</v>
      </c>
      <c r="M1030" s="1">
        <v>0</v>
      </c>
      <c r="N1030" s="1">
        <v>12430000</v>
      </c>
      <c r="O1030" s="1">
        <v>0</v>
      </c>
      <c r="P1030" s="1">
        <v>0</v>
      </c>
      <c r="Q1030" s="1">
        <v>0</v>
      </c>
      <c r="R1030" s="1">
        <v>125430000</v>
      </c>
      <c r="S1030" s="1">
        <v>25400000</v>
      </c>
      <c r="T1030" s="1">
        <v>22.477876106195001</v>
      </c>
      <c r="U1030" t="str">
        <f t="shared" si="16"/>
        <v>Week 2</v>
      </c>
    </row>
    <row r="1031" spans="1:21" x14ac:dyDescent="0.25">
      <c r="A1031" s="1">
        <v>1030</v>
      </c>
      <c r="B1031" s="1" t="s">
        <v>869</v>
      </c>
      <c r="C1031" s="2">
        <v>46066</v>
      </c>
      <c r="D1031" s="1" t="s">
        <v>37</v>
      </c>
      <c r="E1031" s="1" t="s">
        <v>38</v>
      </c>
      <c r="F1031" s="1" t="s">
        <v>23</v>
      </c>
      <c r="G1031" s="1" t="s">
        <v>24</v>
      </c>
      <c r="H1031" s="1">
        <v>1</v>
      </c>
      <c r="I1031" s="1" t="s">
        <v>870</v>
      </c>
      <c r="J1031" s="1" t="s">
        <v>26</v>
      </c>
      <c r="K1031" s="1">
        <v>2848000</v>
      </c>
      <c r="L1031" s="1">
        <v>0</v>
      </c>
      <c r="M1031" s="1">
        <v>0</v>
      </c>
      <c r="N1031" s="1">
        <v>313280</v>
      </c>
      <c r="O1031" s="1">
        <v>0</v>
      </c>
      <c r="P1031" s="1">
        <v>0</v>
      </c>
      <c r="Q1031" s="1">
        <v>0</v>
      </c>
      <c r="R1031" s="1">
        <v>3161280</v>
      </c>
      <c r="S1031" s="1">
        <v>958000</v>
      </c>
      <c r="T1031" s="1">
        <v>33.637640449438003</v>
      </c>
      <c r="U1031" t="str">
        <f t="shared" si="16"/>
        <v>Week 2</v>
      </c>
    </row>
    <row r="1032" spans="1:21" x14ac:dyDescent="0.25">
      <c r="A1032" s="1">
        <v>1031</v>
      </c>
      <c r="B1032" s="1" t="s">
        <v>871</v>
      </c>
      <c r="C1032" s="2">
        <v>46066</v>
      </c>
      <c r="D1032" s="1" t="s">
        <v>21</v>
      </c>
      <c r="E1032" s="1" t="s">
        <v>22</v>
      </c>
      <c r="F1032" s="1" t="s">
        <v>30</v>
      </c>
      <c r="G1032" s="1" t="s">
        <v>24</v>
      </c>
      <c r="H1032" s="1">
        <v>1</v>
      </c>
      <c r="I1032" s="1" t="s">
        <v>872</v>
      </c>
      <c r="J1032" s="1" t="s">
        <v>26</v>
      </c>
      <c r="K1032" s="1">
        <v>24349513.899999999</v>
      </c>
      <c r="L1032" s="1">
        <v>0</v>
      </c>
      <c r="M1032" s="1">
        <v>0</v>
      </c>
      <c r="N1032" s="1">
        <v>2678446.5290000001</v>
      </c>
      <c r="O1032" s="1">
        <v>0</v>
      </c>
      <c r="P1032" s="1">
        <v>0</v>
      </c>
      <c r="Q1032" s="1">
        <v>0</v>
      </c>
      <c r="R1032" s="1">
        <v>27027960.429000001</v>
      </c>
      <c r="S1032" s="1">
        <v>11401904.630000001</v>
      </c>
      <c r="T1032" s="1">
        <v>46.826005138443001</v>
      </c>
      <c r="U1032" t="str">
        <f t="shared" si="16"/>
        <v>Week 2</v>
      </c>
    </row>
    <row r="1033" spans="1:21" x14ac:dyDescent="0.25">
      <c r="A1033" s="1">
        <v>1032</v>
      </c>
      <c r="B1033" s="1" t="s">
        <v>873</v>
      </c>
      <c r="C1033" s="2">
        <v>46066</v>
      </c>
      <c r="D1033" s="1" t="s">
        <v>2979</v>
      </c>
      <c r="E1033" s="1" t="s">
        <v>203</v>
      </c>
      <c r="F1033" s="1" t="s">
        <v>30</v>
      </c>
      <c r="G1033" s="1" t="s">
        <v>24</v>
      </c>
      <c r="H1033" s="1">
        <v>1</v>
      </c>
      <c r="I1033" s="1" t="s">
        <v>874</v>
      </c>
      <c r="J1033" s="1"/>
      <c r="K1033" s="1">
        <v>1076923</v>
      </c>
      <c r="L1033" s="1">
        <v>0</v>
      </c>
      <c r="M1033" s="1">
        <v>0</v>
      </c>
      <c r="N1033" s="1">
        <v>118461.53</v>
      </c>
      <c r="O1033" s="1">
        <v>0</v>
      </c>
      <c r="P1033" s="1">
        <v>0</v>
      </c>
      <c r="Q1033" s="1">
        <v>0</v>
      </c>
      <c r="R1033" s="1">
        <v>1195384.53</v>
      </c>
      <c r="S1033" s="1">
        <v>648995.07207206998</v>
      </c>
      <c r="T1033" s="1">
        <v>60.263832425536997</v>
      </c>
      <c r="U1033" t="str">
        <f t="shared" si="16"/>
        <v>Week 2</v>
      </c>
    </row>
    <row r="1034" spans="1:21" x14ac:dyDescent="0.25">
      <c r="A1034" s="1">
        <v>1033</v>
      </c>
      <c r="B1034" s="1" t="s">
        <v>875</v>
      </c>
      <c r="C1034" s="2">
        <v>46066</v>
      </c>
      <c r="D1034" s="1" t="s">
        <v>316</v>
      </c>
      <c r="E1034" s="1" t="s">
        <v>38</v>
      </c>
      <c r="F1034" s="1" t="s">
        <v>23</v>
      </c>
      <c r="G1034" s="1" t="s">
        <v>24</v>
      </c>
      <c r="H1034" s="1">
        <v>1</v>
      </c>
      <c r="I1034" s="1" t="s">
        <v>876</v>
      </c>
      <c r="J1034" s="1"/>
      <c r="K1034" s="1">
        <v>10740000</v>
      </c>
      <c r="L1034" s="1">
        <v>0</v>
      </c>
      <c r="M1034" s="1">
        <v>0</v>
      </c>
      <c r="N1034" s="1">
        <v>1181400</v>
      </c>
      <c r="O1034" s="1">
        <v>0</v>
      </c>
      <c r="P1034" s="1">
        <v>0</v>
      </c>
      <c r="Q1034" s="1">
        <v>0</v>
      </c>
      <c r="R1034" s="1">
        <v>11921400</v>
      </c>
      <c r="S1034" s="1">
        <v>8040000</v>
      </c>
      <c r="T1034" s="1">
        <v>74.860335195530993</v>
      </c>
      <c r="U1034" t="str">
        <f t="shared" si="16"/>
        <v>Week 2</v>
      </c>
    </row>
    <row r="1035" spans="1:21" x14ac:dyDescent="0.25">
      <c r="A1035" s="1">
        <v>1034</v>
      </c>
      <c r="B1035" s="1" t="s">
        <v>877</v>
      </c>
      <c r="C1035" s="2">
        <v>46066</v>
      </c>
      <c r="D1035" s="1" t="s">
        <v>306</v>
      </c>
      <c r="E1035" s="1" t="s">
        <v>99</v>
      </c>
      <c r="F1035" s="1" t="s">
        <v>23</v>
      </c>
      <c r="G1035" s="1" t="s">
        <v>24</v>
      </c>
      <c r="H1035" s="1">
        <v>1</v>
      </c>
      <c r="I1035" s="1" t="s">
        <v>878</v>
      </c>
      <c r="J1035" s="1"/>
      <c r="K1035" s="1">
        <v>12750000</v>
      </c>
      <c r="L1035" s="1">
        <v>0</v>
      </c>
      <c r="M1035" s="1">
        <v>0</v>
      </c>
      <c r="N1035" s="1">
        <v>1402500</v>
      </c>
      <c r="O1035" s="1">
        <v>0</v>
      </c>
      <c r="P1035" s="1">
        <v>0</v>
      </c>
      <c r="Q1035" s="1">
        <v>0</v>
      </c>
      <c r="R1035" s="1">
        <v>14152500</v>
      </c>
      <c r="S1035" s="1">
        <v>3343928</v>
      </c>
      <c r="T1035" s="1">
        <v>26.226886274510001</v>
      </c>
      <c r="U1035" t="str">
        <f t="shared" si="16"/>
        <v>Week 2</v>
      </c>
    </row>
    <row r="1036" spans="1:21" x14ac:dyDescent="0.25">
      <c r="A1036" s="1">
        <v>1035</v>
      </c>
      <c r="B1036" s="1" t="s">
        <v>2229</v>
      </c>
      <c r="C1036" s="2">
        <v>46065</v>
      </c>
      <c r="D1036" s="1" t="s">
        <v>2210</v>
      </c>
      <c r="E1036" s="1" t="s">
        <v>192</v>
      </c>
      <c r="F1036" s="1" t="s">
        <v>260</v>
      </c>
      <c r="G1036" s="1" t="s">
        <v>24</v>
      </c>
      <c r="H1036" s="1">
        <v>1</v>
      </c>
      <c r="I1036" s="1" t="s">
        <v>2230</v>
      </c>
      <c r="J1036" s="1" t="s">
        <v>56</v>
      </c>
      <c r="K1036" s="1">
        <v>1407785794.7368</v>
      </c>
      <c r="L1036" s="1">
        <v>0</v>
      </c>
      <c r="M1036" s="1">
        <v>0</v>
      </c>
      <c r="N1036" s="1">
        <v>154856437.42105001</v>
      </c>
      <c r="O1036" s="1">
        <v>0</v>
      </c>
      <c r="P1036" s="1">
        <v>0</v>
      </c>
      <c r="Q1036" s="1">
        <v>0</v>
      </c>
      <c r="R1036" s="1">
        <v>1562642232.1579001</v>
      </c>
      <c r="S1036" s="1">
        <v>131436649.73683999</v>
      </c>
      <c r="T1036" s="1">
        <v>9.3364097171764993</v>
      </c>
      <c r="U1036" t="str">
        <f t="shared" si="16"/>
        <v>Week 2</v>
      </c>
    </row>
    <row r="1037" spans="1:21" x14ac:dyDescent="0.25">
      <c r="A1037" s="1">
        <v>1036</v>
      </c>
      <c r="B1037" s="1" t="s">
        <v>879</v>
      </c>
      <c r="C1037" s="2">
        <v>46065</v>
      </c>
      <c r="D1037" s="1" t="s">
        <v>21</v>
      </c>
      <c r="E1037" s="1" t="s">
        <v>22</v>
      </c>
      <c r="F1037" s="1" t="s">
        <v>23</v>
      </c>
      <c r="G1037" s="1" t="s">
        <v>24</v>
      </c>
      <c r="H1037" s="1">
        <v>1</v>
      </c>
      <c r="I1037" s="1" t="s">
        <v>880</v>
      </c>
      <c r="J1037" s="1" t="s">
        <v>26</v>
      </c>
      <c r="K1037" s="1">
        <v>2639361</v>
      </c>
      <c r="L1037" s="1">
        <v>0</v>
      </c>
      <c r="M1037" s="1">
        <v>0</v>
      </c>
      <c r="N1037" s="1">
        <v>290329.71000000002</v>
      </c>
      <c r="O1037" s="1">
        <v>0</v>
      </c>
      <c r="P1037" s="1">
        <v>0</v>
      </c>
      <c r="Q1037" s="1">
        <v>0</v>
      </c>
      <c r="R1037" s="1">
        <v>2929690.71</v>
      </c>
      <c r="S1037" s="1">
        <v>724091</v>
      </c>
      <c r="T1037" s="1">
        <v>27.434329748753999</v>
      </c>
      <c r="U1037" t="str">
        <f t="shared" si="16"/>
        <v>Week 2</v>
      </c>
    </row>
    <row r="1038" spans="1:21" x14ac:dyDescent="0.25">
      <c r="A1038" s="1">
        <v>1037</v>
      </c>
      <c r="B1038" s="1" t="s">
        <v>881</v>
      </c>
      <c r="C1038" s="2">
        <v>46065</v>
      </c>
      <c r="D1038" s="1" t="s">
        <v>321</v>
      </c>
      <c r="E1038" s="1" t="s">
        <v>192</v>
      </c>
      <c r="F1038" s="1" t="s">
        <v>260</v>
      </c>
      <c r="G1038" s="1" t="s">
        <v>24</v>
      </c>
      <c r="H1038" s="1">
        <v>1</v>
      </c>
      <c r="I1038" s="1" t="s">
        <v>882</v>
      </c>
      <c r="J1038" s="1" t="s">
        <v>56</v>
      </c>
      <c r="K1038" s="1">
        <v>11739696</v>
      </c>
      <c r="L1038" s="1">
        <v>0</v>
      </c>
      <c r="M1038" s="1">
        <v>0</v>
      </c>
      <c r="N1038" s="1">
        <v>1291366.56</v>
      </c>
      <c r="O1038" s="1">
        <v>0</v>
      </c>
      <c r="P1038" s="1">
        <v>0</v>
      </c>
      <c r="Q1038" s="1">
        <v>0</v>
      </c>
      <c r="R1038" s="1">
        <v>13031062.560000001</v>
      </c>
      <c r="S1038" s="1">
        <v>3876943.28</v>
      </c>
      <c r="T1038" s="1">
        <v>33.024222092293002</v>
      </c>
      <c r="U1038" t="str">
        <f t="shared" si="16"/>
        <v>Week 2</v>
      </c>
    </row>
    <row r="1039" spans="1:21" x14ac:dyDescent="0.25">
      <c r="A1039" s="1">
        <v>1038</v>
      </c>
      <c r="B1039" s="1" t="s">
        <v>883</v>
      </c>
      <c r="C1039" s="2">
        <v>46065</v>
      </c>
      <c r="D1039" s="1" t="s">
        <v>112</v>
      </c>
      <c r="E1039" s="1" t="s">
        <v>38</v>
      </c>
      <c r="F1039" s="1" t="s">
        <v>23</v>
      </c>
      <c r="G1039" s="1" t="s">
        <v>24</v>
      </c>
      <c r="H1039" s="1">
        <v>1</v>
      </c>
      <c r="I1039" s="1" t="s">
        <v>884</v>
      </c>
      <c r="J1039" s="1"/>
      <c r="K1039" s="1">
        <v>2937500</v>
      </c>
      <c r="L1039" s="1">
        <v>0</v>
      </c>
      <c r="M1039" s="1">
        <v>0</v>
      </c>
      <c r="N1039" s="1">
        <v>323125</v>
      </c>
      <c r="O1039" s="1">
        <v>0</v>
      </c>
      <c r="P1039" s="1">
        <v>0</v>
      </c>
      <c r="Q1039" s="1">
        <v>0</v>
      </c>
      <c r="R1039" s="1">
        <v>3260625</v>
      </c>
      <c r="S1039" s="1">
        <v>1135698</v>
      </c>
      <c r="T1039" s="1">
        <v>38.662059574468003</v>
      </c>
      <c r="U1039" t="str">
        <f t="shared" si="16"/>
        <v>Week 2</v>
      </c>
    </row>
    <row r="1040" spans="1:21" x14ac:dyDescent="0.25">
      <c r="A1040" s="1">
        <v>1039</v>
      </c>
      <c r="B1040" s="1" t="s">
        <v>885</v>
      </c>
      <c r="C1040" s="2">
        <v>46065</v>
      </c>
      <c r="D1040" s="1" t="s">
        <v>321</v>
      </c>
      <c r="E1040" s="1" t="s">
        <v>192</v>
      </c>
      <c r="F1040" s="1" t="s">
        <v>30</v>
      </c>
      <c r="G1040" s="1" t="s">
        <v>24</v>
      </c>
      <c r="H1040" s="1">
        <v>1</v>
      </c>
      <c r="I1040" s="1" t="s">
        <v>886</v>
      </c>
      <c r="J1040" s="1" t="s">
        <v>56</v>
      </c>
      <c r="K1040" s="1">
        <v>608750</v>
      </c>
      <c r="L1040" s="1">
        <v>0</v>
      </c>
      <c r="M1040" s="1">
        <v>0</v>
      </c>
      <c r="N1040" s="1">
        <v>66962.5</v>
      </c>
      <c r="O1040" s="1">
        <v>0</v>
      </c>
      <c r="P1040" s="1">
        <v>0</v>
      </c>
      <c r="Q1040" s="1">
        <v>0</v>
      </c>
      <c r="R1040" s="1">
        <v>675712.5</v>
      </c>
      <c r="S1040" s="1">
        <v>121750</v>
      </c>
      <c r="T1040" s="1">
        <v>20</v>
      </c>
      <c r="U1040" t="str">
        <f t="shared" si="16"/>
        <v>Week 2</v>
      </c>
    </row>
    <row r="1041" spans="1:21" x14ac:dyDescent="0.25">
      <c r="A1041" s="1">
        <v>1040</v>
      </c>
      <c r="B1041" s="1" t="s">
        <v>887</v>
      </c>
      <c r="C1041" s="2">
        <v>46065</v>
      </c>
      <c r="D1041" s="1" t="s">
        <v>33</v>
      </c>
      <c r="E1041" s="1" t="s">
        <v>34</v>
      </c>
      <c r="F1041" s="1" t="s">
        <v>30</v>
      </c>
      <c r="G1041" s="1" t="s">
        <v>24</v>
      </c>
      <c r="H1041" s="1">
        <v>1</v>
      </c>
      <c r="I1041" s="1" t="s">
        <v>888</v>
      </c>
      <c r="J1041" s="1"/>
      <c r="K1041" s="1">
        <v>78400</v>
      </c>
      <c r="L1041" s="1">
        <v>0</v>
      </c>
      <c r="M1041" s="1">
        <v>0</v>
      </c>
      <c r="N1041" s="1">
        <v>8624</v>
      </c>
      <c r="O1041" s="1">
        <v>0</v>
      </c>
      <c r="P1041" s="1">
        <v>0</v>
      </c>
      <c r="Q1041" s="1">
        <v>0</v>
      </c>
      <c r="R1041" s="1">
        <v>87024</v>
      </c>
      <c r="S1041" s="1">
        <v>2344</v>
      </c>
      <c r="T1041" s="1">
        <v>2.9897959183673</v>
      </c>
      <c r="U1041" t="str">
        <f t="shared" si="16"/>
        <v>Week 2</v>
      </c>
    </row>
    <row r="1042" spans="1:21" x14ac:dyDescent="0.25">
      <c r="A1042" s="1">
        <v>1041</v>
      </c>
      <c r="B1042" s="1" t="s">
        <v>889</v>
      </c>
      <c r="C1042" s="2">
        <v>46065</v>
      </c>
      <c r="D1042" s="1" t="s">
        <v>33</v>
      </c>
      <c r="E1042" s="1" t="s">
        <v>38</v>
      </c>
      <c r="F1042" s="1" t="s">
        <v>23</v>
      </c>
      <c r="G1042" s="1" t="s">
        <v>24</v>
      </c>
      <c r="H1042" s="1">
        <v>1</v>
      </c>
      <c r="I1042" s="1" t="s">
        <v>890</v>
      </c>
      <c r="J1042" s="1"/>
      <c r="K1042" s="1">
        <v>25760518.018018</v>
      </c>
      <c r="L1042" s="1">
        <v>0</v>
      </c>
      <c r="M1042" s="1">
        <v>0</v>
      </c>
      <c r="N1042" s="1">
        <v>2833656.9819820002</v>
      </c>
      <c r="O1042" s="1">
        <v>0</v>
      </c>
      <c r="P1042" s="1">
        <v>0</v>
      </c>
      <c r="Q1042" s="1">
        <v>0</v>
      </c>
      <c r="R1042" s="1">
        <v>28594175</v>
      </c>
      <c r="S1042" s="1">
        <v>5715671.1711712005</v>
      </c>
      <c r="T1042" s="1">
        <v>22.187718302766001</v>
      </c>
      <c r="U1042" t="str">
        <f t="shared" si="16"/>
        <v>Week 2</v>
      </c>
    </row>
    <row r="1043" spans="1:21" x14ac:dyDescent="0.25">
      <c r="A1043" s="1">
        <v>1042</v>
      </c>
      <c r="B1043" s="1" t="s">
        <v>891</v>
      </c>
      <c r="C1043" s="2">
        <v>46065</v>
      </c>
      <c r="D1043" s="1" t="s">
        <v>33</v>
      </c>
      <c r="E1043" s="1" t="s">
        <v>38</v>
      </c>
      <c r="F1043" s="1" t="s">
        <v>23</v>
      </c>
      <c r="G1043" s="1" t="s">
        <v>24</v>
      </c>
      <c r="H1043" s="1">
        <v>1</v>
      </c>
      <c r="I1043" s="1" t="s">
        <v>892</v>
      </c>
      <c r="J1043" s="1"/>
      <c r="K1043" s="1">
        <v>8833333.3333334997</v>
      </c>
      <c r="L1043" s="1">
        <v>0</v>
      </c>
      <c r="M1043" s="1">
        <v>0</v>
      </c>
      <c r="N1043" s="1">
        <v>971666.66666669003</v>
      </c>
      <c r="O1043" s="1">
        <v>0</v>
      </c>
      <c r="P1043" s="1">
        <v>0</v>
      </c>
      <c r="Q1043" s="1">
        <v>0</v>
      </c>
      <c r="R1043" s="1">
        <v>9805000.0000001993</v>
      </c>
      <c r="S1043" s="1">
        <v>8833283.3333334997</v>
      </c>
      <c r="T1043" s="1">
        <v>99.999433962264007</v>
      </c>
      <c r="U1043" t="str">
        <f t="shared" si="16"/>
        <v>Week 2</v>
      </c>
    </row>
    <row r="1044" spans="1:21" x14ac:dyDescent="0.25">
      <c r="A1044" s="1">
        <v>1043</v>
      </c>
      <c r="B1044" s="1" t="s">
        <v>893</v>
      </c>
      <c r="C1044" s="2">
        <v>46065</v>
      </c>
      <c r="D1044" s="1" t="s">
        <v>527</v>
      </c>
      <c r="E1044" s="1" t="s">
        <v>192</v>
      </c>
      <c r="F1044" s="1" t="s">
        <v>23</v>
      </c>
      <c r="G1044" s="1" t="s">
        <v>24</v>
      </c>
      <c r="H1044" s="1">
        <v>1</v>
      </c>
      <c r="I1044" s="1" t="s">
        <v>894</v>
      </c>
      <c r="J1044" s="1" t="s">
        <v>56</v>
      </c>
      <c r="K1044" s="1">
        <v>11500000</v>
      </c>
      <c r="L1044" s="1">
        <v>0</v>
      </c>
      <c r="M1044" s="1">
        <v>0</v>
      </c>
      <c r="N1044" s="1">
        <v>1265000</v>
      </c>
      <c r="O1044" s="1">
        <v>0</v>
      </c>
      <c r="P1044" s="1">
        <v>0</v>
      </c>
      <c r="Q1044" s="1">
        <v>0</v>
      </c>
      <c r="R1044" s="1">
        <v>12765000</v>
      </c>
      <c r="S1044" s="1">
        <v>2260000</v>
      </c>
      <c r="T1044" s="1">
        <v>19.652173913043001</v>
      </c>
      <c r="U1044" t="str">
        <f t="shared" si="16"/>
        <v>Week 2</v>
      </c>
    </row>
    <row r="1045" spans="1:21" x14ac:dyDescent="0.25">
      <c r="A1045" s="1">
        <v>1044</v>
      </c>
      <c r="B1045" s="1" t="s">
        <v>895</v>
      </c>
      <c r="C1045" s="2">
        <v>46065</v>
      </c>
      <c r="D1045" s="1" t="s">
        <v>21</v>
      </c>
      <c r="E1045" s="1" t="s">
        <v>22</v>
      </c>
      <c r="F1045" s="1" t="s">
        <v>23</v>
      </c>
      <c r="G1045" s="1" t="s">
        <v>24</v>
      </c>
      <c r="H1045" s="1">
        <v>1</v>
      </c>
      <c r="I1045" s="1" t="s">
        <v>896</v>
      </c>
      <c r="J1045" s="1" t="s">
        <v>26</v>
      </c>
      <c r="K1045" s="1">
        <v>14932486.764706001</v>
      </c>
      <c r="L1045" s="1">
        <v>0</v>
      </c>
      <c r="M1045" s="1">
        <v>0</v>
      </c>
      <c r="N1045" s="1">
        <v>1642573.5441176</v>
      </c>
      <c r="O1045" s="1">
        <v>0</v>
      </c>
      <c r="P1045" s="1">
        <v>0</v>
      </c>
      <c r="Q1045" s="1">
        <v>0</v>
      </c>
      <c r="R1045" s="1">
        <v>16575060.308824001</v>
      </c>
      <c r="S1045" s="1">
        <v>5559805.6836248003</v>
      </c>
      <c r="T1045" s="1">
        <v>37.232952362401001</v>
      </c>
      <c r="U1045" t="str">
        <f t="shared" si="16"/>
        <v>Week 2</v>
      </c>
    </row>
    <row r="1046" spans="1:21" x14ac:dyDescent="0.25">
      <c r="A1046" s="1">
        <v>1045</v>
      </c>
      <c r="B1046" s="1" t="s">
        <v>897</v>
      </c>
      <c r="C1046" s="2">
        <v>46065</v>
      </c>
      <c r="D1046" s="1" t="s">
        <v>21</v>
      </c>
      <c r="E1046" s="1" t="s">
        <v>22</v>
      </c>
      <c r="F1046" s="1" t="s">
        <v>23</v>
      </c>
      <c r="G1046" s="1" t="s">
        <v>24</v>
      </c>
      <c r="H1046" s="1">
        <v>1</v>
      </c>
      <c r="I1046" s="1" t="s">
        <v>898</v>
      </c>
      <c r="J1046" s="1" t="s">
        <v>26</v>
      </c>
      <c r="K1046" s="1">
        <v>45472614.75</v>
      </c>
      <c r="L1046" s="1">
        <v>0</v>
      </c>
      <c r="M1046" s="1">
        <v>0</v>
      </c>
      <c r="N1046" s="1">
        <v>5001987.6224999996</v>
      </c>
      <c r="O1046" s="1">
        <v>0</v>
      </c>
      <c r="P1046" s="1">
        <v>0</v>
      </c>
      <c r="Q1046" s="1">
        <v>0</v>
      </c>
      <c r="R1046" s="1">
        <v>50474602.372500002</v>
      </c>
      <c r="S1046" s="1">
        <v>21598249.079999998</v>
      </c>
      <c r="T1046" s="1">
        <v>47.497266648824002</v>
      </c>
      <c r="U1046" t="str">
        <f t="shared" si="16"/>
        <v>Week 2</v>
      </c>
    </row>
    <row r="1047" spans="1:21" x14ac:dyDescent="0.25">
      <c r="A1047" s="1">
        <v>1046</v>
      </c>
      <c r="B1047" s="1" t="s">
        <v>899</v>
      </c>
      <c r="C1047" s="2">
        <v>46065</v>
      </c>
      <c r="D1047" s="1" t="s">
        <v>21</v>
      </c>
      <c r="E1047" s="1" t="s">
        <v>22</v>
      </c>
      <c r="F1047" s="1" t="s">
        <v>30</v>
      </c>
      <c r="G1047" s="1" t="s">
        <v>24</v>
      </c>
      <c r="H1047" s="1">
        <v>1</v>
      </c>
      <c r="I1047" s="1" t="s">
        <v>900</v>
      </c>
      <c r="J1047" s="1" t="s">
        <v>56</v>
      </c>
      <c r="K1047" s="1">
        <v>132008920.26000001</v>
      </c>
      <c r="L1047" s="1">
        <v>0</v>
      </c>
      <c r="M1047" s="1">
        <v>0</v>
      </c>
      <c r="N1047" s="1">
        <v>14520981.228599999</v>
      </c>
      <c r="O1047" s="1">
        <v>0</v>
      </c>
      <c r="P1047" s="1">
        <v>0</v>
      </c>
      <c r="Q1047" s="1">
        <v>0</v>
      </c>
      <c r="R1047" s="1">
        <v>146529901.48859999</v>
      </c>
      <c r="S1047" s="1">
        <v>36584263.908660002</v>
      </c>
      <c r="T1047" s="1">
        <v>27.713478632053999</v>
      </c>
      <c r="U1047" t="str">
        <f t="shared" si="16"/>
        <v>Week 2</v>
      </c>
    </row>
    <row r="1048" spans="1:21" x14ac:dyDescent="0.25">
      <c r="A1048" s="1">
        <v>1047</v>
      </c>
      <c r="B1048" s="1" t="s">
        <v>901</v>
      </c>
      <c r="C1048" s="2">
        <v>46064</v>
      </c>
      <c r="D1048" s="1" t="s">
        <v>21</v>
      </c>
      <c r="E1048" s="1" t="s">
        <v>22</v>
      </c>
      <c r="F1048" s="1" t="s">
        <v>30</v>
      </c>
      <c r="G1048" s="1" t="s">
        <v>24</v>
      </c>
      <c r="H1048" s="1">
        <v>1</v>
      </c>
      <c r="I1048" s="1" t="s">
        <v>902</v>
      </c>
      <c r="J1048" s="1" t="s">
        <v>26</v>
      </c>
      <c r="K1048" s="1">
        <v>2554370</v>
      </c>
      <c r="L1048" s="1">
        <v>0</v>
      </c>
      <c r="M1048" s="1">
        <v>0</v>
      </c>
      <c r="N1048" s="1">
        <v>280980.7</v>
      </c>
      <c r="O1048" s="1">
        <v>0</v>
      </c>
      <c r="P1048" s="1">
        <v>0</v>
      </c>
      <c r="Q1048" s="1">
        <v>0</v>
      </c>
      <c r="R1048" s="1">
        <v>2835350.7</v>
      </c>
      <c r="S1048" s="1">
        <v>662479</v>
      </c>
      <c r="T1048" s="1">
        <v>25.935122946166999</v>
      </c>
      <c r="U1048" t="str">
        <f t="shared" si="16"/>
        <v>Week 2</v>
      </c>
    </row>
    <row r="1049" spans="1:21" x14ac:dyDescent="0.25">
      <c r="A1049" s="1">
        <v>1048</v>
      </c>
      <c r="B1049" s="1" t="s">
        <v>903</v>
      </c>
      <c r="C1049" s="2">
        <v>46064</v>
      </c>
      <c r="D1049" s="1" t="s">
        <v>28</v>
      </c>
      <c r="E1049" s="1" t="s">
        <v>203</v>
      </c>
      <c r="F1049" s="1" t="s">
        <v>23</v>
      </c>
      <c r="G1049" s="1" t="s">
        <v>24</v>
      </c>
      <c r="H1049" s="1">
        <v>1</v>
      </c>
      <c r="I1049" s="1" t="s">
        <v>845</v>
      </c>
      <c r="J1049" s="1" t="s">
        <v>26</v>
      </c>
      <c r="K1049" s="1">
        <v>76688125</v>
      </c>
      <c r="L1049" s="1">
        <v>0</v>
      </c>
      <c r="M1049" s="1">
        <v>0</v>
      </c>
      <c r="N1049" s="1">
        <v>8435693.75</v>
      </c>
      <c r="O1049" s="1">
        <v>0</v>
      </c>
      <c r="P1049" s="1">
        <v>0</v>
      </c>
      <c r="Q1049" s="1">
        <v>0</v>
      </c>
      <c r="R1049" s="1">
        <v>85123818.75</v>
      </c>
      <c r="S1049" s="1">
        <v>9942625</v>
      </c>
      <c r="T1049" s="1">
        <v>12.965012510085</v>
      </c>
      <c r="U1049" t="str">
        <f t="shared" si="16"/>
        <v>Week 2</v>
      </c>
    </row>
    <row r="1050" spans="1:21" x14ac:dyDescent="0.25">
      <c r="A1050" s="1">
        <v>1049</v>
      </c>
      <c r="B1050" s="1" t="s">
        <v>904</v>
      </c>
      <c r="C1050" s="2">
        <v>46064</v>
      </c>
      <c r="D1050" s="1" t="s">
        <v>21</v>
      </c>
      <c r="E1050" s="1" t="s">
        <v>22</v>
      </c>
      <c r="F1050" s="1" t="s">
        <v>23</v>
      </c>
      <c r="G1050" s="1" t="s">
        <v>24</v>
      </c>
      <c r="H1050" s="1">
        <v>1</v>
      </c>
      <c r="I1050" s="1" t="s">
        <v>905</v>
      </c>
      <c r="J1050" s="1" t="s">
        <v>26</v>
      </c>
      <c r="K1050" s="1">
        <v>27627511</v>
      </c>
      <c r="L1050" s="1">
        <v>0</v>
      </c>
      <c r="M1050" s="1">
        <v>0</v>
      </c>
      <c r="N1050" s="1">
        <v>3039026.21</v>
      </c>
      <c r="O1050" s="1">
        <v>0</v>
      </c>
      <c r="P1050" s="1">
        <v>0</v>
      </c>
      <c r="Q1050" s="1">
        <v>0</v>
      </c>
      <c r="R1050" s="1">
        <v>30666537.210000001</v>
      </c>
      <c r="S1050" s="1">
        <v>5933493.7027222002</v>
      </c>
      <c r="T1050" s="1">
        <v>21.476758086250001</v>
      </c>
      <c r="U1050" t="str">
        <f t="shared" si="16"/>
        <v>Week 2</v>
      </c>
    </row>
    <row r="1051" spans="1:21" x14ac:dyDescent="0.25">
      <c r="A1051" s="1">
        <v>1050</v>
      </c>
      <c r="B1051" s="1" t="s">
        <v>906</v>
      </c>
      <c r="C1051" s="2">
        <v>46064</v>
      </c>
      <c r="D1051" s="1" t="s">
        <v>53</v>
      </c>
      <c r="E1051" s="1" t="s">
        <v>54</v>
      </c>
      <c r="F1051" s="1" t="s">
        <v>23</v>
      </c>
      <c r="G1051" s="1" t="s">
        <v>24</v>
      </c>
      <c r="H1051" s="1">
        <v>1</v>
      </c>
      <c r="I1051" s="1" t="s">
        <v>907</v>
      </c>
      <c r="J1051" s="1"/>
      <c r="K1051" s="1">
        <v>47900000</v>
      </c>
      <c r="L1051" s="1">
        <v>0</v>
      </c>
      <c r="M1051" s="1">
        <v>0</v>
      </c>
      <c r="N1051" s="1">
        <v>5269000</v>
      </c>
      <c r="O1051" s="1">
        <v>0</v>
      </c>
      <c r="P1051" s="1">
        <v>0</v>
      </c>
      <c r="Q1051" s="1">
        <v>0</v>
      </c>
      <c r="R1051" s="1">
        <v>53169000</v>
      </c>
      <c r="S1051" s="1">
        <v>14609851.252251999</v>
      </c>
      <c r="T1051" s="1">
        <v>30.500733303240999</v>
      </c>
      <c r="U1051" t="str">
        <f t="shared" si="16"/>
        <v>Week 2</v>
      </c>
    </row>
    <row r="1052" spans="1:21" x14ac:dyDescent="0.25">
      <c r="A1052" s="1">
        <v>1051</v>
      </c>
      <c r="B1052" s="1" t="s">
        <v>908</v>
      </c>
      <c r="C1052" s="2">
        <v>46064</v>
      </c>
      <c r="D1052" s="1" t="s">
        <v>53</v>
      </c>
      <c r="E1052" s="1" t="s">
        <v>54</v>
      </c>
      <c r="F1052" s="1" t="s">
        <v>23</v>
      </c>
      <c r="G1052" s="1" t="s">
        <v>24</v>
      </c>
      <c r="H1052" s="1">
        <v>1</v>
      </c>
      <c r="I1052" s="1" t="s">
        <v>266</v>
      </c>
      <c r="J1052" s="1"/>
      <c r="K1052" s="1">
        <v>4500000</v>
      </c>
      <c r="L1052" s="1">
        <v>0</v>
      </c>
      <c r="M1052" s="1">
        <v>0</v>
      </c>
      <c r="N1052" s="1">
        <v>495000</v>
      </c>
      <c r="O1052" s="1">
        <v>0</v>
      </c>
      <c r="P1052" s="1">
        <v>0</v>
      </c>
      <c r="Q1052" s="1">
        <v>0</v>
      </c>
      <c r="R1052" s="1">
        <v>4995000</v>
      </c>
      <c r="S1052" s="1">
        <v>635000</v>
      </c>
      <c r="T1052" s="1">
        <v>14.111111111111001</v>
      </c>
      <c r="U1052" t="str">
        <f t="shared" si="16"/>
        <v>Week 2</v>
      </c>
    </row>
    <row r="1053" spans="1:21" x14ac:dyDescent="0.25">
      <c r="A1053" s="1">
        <v>1052</v>
      </c>
      <c r="B1053" s="1" t="s">
        <v>909</v>
      </c>
      <c r="C1053" s="2">
        <v>46064</v>
      </c>
      <c r="D1053" s="1" t="s">
        <v>910</v>
      </c>
      <c r="E1053" s="1" t="s">
        <v>192</v>
      </c>
      <c r="F1053" s="1" t="s">
        <v>30</v>
      </c>
      <c r="G1053" s="1" t="s">
        <v>24</v>
      </c>
      <c r="H1053" s="1">
        <v>1</v>
      </c>
      <c r="I1053" s="1" t="s">
        <v>911</v>
      </c>
      <c r="J1053" s="1" t="s">
        <v>56</v>
      </c>
      <c r="K1053" s="1">
        <v>13987826</v>
      </c>
      <c r="L1053" s="1">
        <v>0</v>
      </c>
      <c r="M1053" s="1">
        <v>0</v>
      </c>
      <c r="N1053" s="1">
        <v>1538660.86</v>
      </c>
      <c r="O1053" s="1">
        <v>0</v>
      </c>
      <c r="P1053" s="1">
        <v>0</v>
      </c>
      <c r="Q1053" s="1">
        <v>0</v>
      </c>
      <c r="R1053" s="1">
        <v>15526486.859999999</v>
      </c>
      <c r="S1053" s="1">
        <v>3117826</v>
      </c>
      <c r="T1053" s="1">
        <v>22.289568085848</v>
      </c>
      <c r="U1053" t="str">
        <f t="shared" si="16"/>
        <v>Week 2</v>
      </c>
    </row>
    <row r="1054" spans="1:21" x14ac:dyDescent="0.25">
      <c r="A1054" s="1">
        <v>1053</v>
      </c>
      <c r="B1054" s="1" t="s">
        <v>912</v>
      </c>
      <c r="C1054" s="2">
        <v>46064</v>
      </c>
      <c r="D1054" s="1" t="s">
        <v>53</v>
      </c>
      <c r="E1054" s="1" t="s">
        <v>54</v>
      </c>
      <c r="F1054" s="1" t="s">
        <v>30</v>
      </c>
      <c r="G1054" s="1" t="s">
        <v>24</v>
      </c>
      <c r="H1054" s="1">
        <v>1</v>
      </c>
      <c r="I1054" s="1" t="s">
        <v>913</v>
      </c>
      <c r="J1054" s="1"/>
      <c r="K1054" s="1">
        <v>2869096.23</v>
      </c>
      <c r="L1054" s="1">
        <v>0</v>
      </c>
      <c r="M1054" s="1">
        <v>0</v>
      </c>
      <c r="N1054" s="1">
        <v>315600.58529999998</v>
      </c>
      <c r="O1054" s="1">
        <v>0</v>
      </c>
      <c r="P1054" s="1">
        <v>0</v>
      </c>
      <c r="Q1054" s="1">
        <v>0</v>
      </c>
      <c r="R1054" s="1">
        <v>3184696.8152999999</v>
      </c>
      <c r="S1054" s="1">
        <v>969096.23</v>
      </c>
      <c r="T1054" s="1">
        <v>33.777055640966999</v>
      </c>
      <c r="U1054" t="str">
        <f t="shared" si="16"/>
        <v>Week 2</v>
      </c>
    </row>
    <row r="1055" spans="1:21" x14ac:dyDescent="0.25">
      <c r="A1055" s="1">
        <v>1054</v>
      </c>
      <c r="B1055" s="1" t="s">
        <v>914</v>
      </c>
      <c r="C1055" s="2">
        <v>46064</v>
      </c>
      <c r="D1055" s="1" t="s">
        <v>53</v>
      </c>
      <c r="E1055" s="1" t="s">
        <v>54</v>
      </c>
      <c r="F1055" s="1" t="s">
        <v>23</v>
      </c>
      <c r="G1055" s="1" t="s">
        <v>24</v>
      </c>
      <c r="H1055" s="1">
        <v>1</v>
      </c>
      <c r="I1055" s="1" t="s">
        <v>302</v>
      </c>
      <c r="J1055" s="1"/>
      <c r="K1055" s="1">
        <v>4420000</v>
      </c>
      <c r="L1055" s="1">
        <v>0</v>
      </c>
      <c r="M1055" s="1">
        <v>0</v>
      </c>
      <c r="N1055" s="1">
        <v>486200</v>
      </c>
      <c r="O1055" s="1">
        <v>0</v>
      </c>
      <c r="P1055" s="1">
        <v>0</v>
      </c>
      <c r="Q1055" s="1">
        <v>0</v>
      </c>
      <c r="R1055" s="1">
        <v>4906200</v>
      </c>
      <c r="S1055" s="1">
        <v>1052800</v>
      </c>
      <c r="T1055" s="1">
        <v>23.819004524886999</v>
      </c>
      <c r="U1055" t="str">
        <f t="shared" si="16"/>
        <v>Week 2</v>
      </c>
    </row>
    <row r="1056" spans="1:21" x14ac:dyDescent="0.25">
      <c r="A1056" s="1">
        <v>1055</v>
      </c>
      <c r="B1056" s="1" t="s">
        <v>915</v>
      </c>
      <c r="C1056" s="2">
        <v>46064</v>
      </c>
      <c r="D1056" s="1" t="s">
        <v>21</v>
      </c>
      <c r="E1056" s="1" t="s">
        <v>22</v>
      </c>
      <c r="F1056" s="1" t="s">
        <v>30</v>
      </c>
      <c r="G1056" s="1" t="s">
        <v>24</v>
      </c>
      <c r="H1056" s="1">
        <v>1</v>
      </c>
      <c r="I1056" s="1" t="s">
        <v>916</v>
      </c>
      <c r="J1056" s="1" t="s">
        <v>26</v>
      </c>
      <c r="K1056" s="1">
        <v>39284000</v>
      </c>
      <c r="L1056" s="1">
        <v>0</v>
      </c>
      <c r="M1056" s="1">
        <v>0</v>
      </c>
      <c r="N1056" s="1">
        <v>4321240</v>
      </c>
      <c r="O1056" s="1">
        <v>0</v>
      </c>
      <c r="P1056" s="1">
        <v>0</v>
      </c>
      <c r="Q1056" s="1">
        <v>0</v>
      </c>
      <c r="R1056" s="1">
        <v>43605240</v>
      </c>
      <c r="S1056" s="1">
        <v>1178520</v>
      </c>
      <c r="T1056" s="1">
        <v>3</v>
      </c>
      <c r="U1056" t="str">
        <f t="shared" si="16"/>
        <v>Week 2</v>
      </c>
    </row>
    <row r="1057" spans="1:21" x14ac:dyDescent="0.25">
      <c r="A1057" s="1">
        <v>1056</v>
      </c>
      <c r="B1057" s="1" t="s">
        <v>917</v>
      </c>
      <c r="C1057" s="2">
        <v>46064</v>
      </c>
      <c r="D1057" s="1" t="s">
        <v>53</v>
      </c>
      <c r="E1057" s="1" t="s">
        <v>54</v>
      </c>
      <c r="F1057" s="1" t="s">
        <v>23</v>
      </c>
      <c r="G1057" s="1" t="s">
        <v>24</v>
      </c>
      <c r="H1057" s="1">
        <v>1</v>
      </c>
      <c r="I1057" s="1" t="s">
        <v>918</v>
      </c>
      <c r="J1057" s="1"/>
      <c r="K1057" s="1">
        <v>14142000</v>
      </c>
      <c r="L1057" s="1">
        <v>0</v>
      </c>
      <c r="M1057" s="1">
        <v>0</v>
      </c>
      <c r="N1057" s="1">
        <v>1555620</v>
      </c>
      <c r="O1057" s="1">
        <v>0</v>
      </c>
      <c r="P1057" s="1">
        <v>0</v>
      </c>
      <c r="Q1057" s="1">
        <v>0</v>
      </c>
      <c r="R1057" s="1">
        <v>15697620</v>
      </c>
      <c r="S1057" s="1">
        <v>5017178</v>
      </c>
      <c r="T1057" s="1">
        <v>35.477146089662</v>
      </c>
      <c r="U1057" t="str">
        <f t="shared" si="16"/>
        <v>Week 2</v>
      </c>
    </row>
    <row r="1058" spans="1:21" x14ac:dyDescent="0.25">
      <c r="A1058" s="1">
        <v>1057</v>
      </c>
      <c r="B1058" s="1" t="s">
        <v>919</v>
      </c>
      <c r="C1058" s="2">
        <v>46064</v>
      </c>
      <c r="D1058" s="1" t="s">
        <v>112</v>
      </c>
      <c r="E1058" s="1" t="s">
        <v>38</v>
      </c>
      <c r="F1058" s="1" t="s">
        <v>23</v>
      </c>
      <c r="G1058" s="1" t="s">
        <v>24</v>
      </c>
      <c r="H1058" s="1">
        <v>1</v>
      </c>
      <c r="I1058" s="1" t="s">
        <v>920</v>
      </c>
      <c r="J1058" s="1"/>
      <c r="K1058" s="1">
        <v>30379746</v>
      </c>
      <c r="L1058" s="1">
        <v>0</v>
      </c>
      <c r="M1058" s="1">
        <v>0</v>
      </c>
      <c r="N1058" s="1">
        <v>3341772.06</v>
      </c>
      <c r="O1058" s="1">
        <v>0</v>
      </c>
      <c r="P1058" s="1">
        <v>0</v>
      </c>
      <c r="Q1058" s="1">
        <v>0</v>
      </c>
      <c r="R1058" s="1">
        <v>33721518.060000002</v>
      </c>
      <c r="S1058" s="1">
        <v>6379746</v>
      </c>
      <c r="T1058" s="1">
        <v>20.9999978275</v>
      </c>
      <c r="U1058" t="str">
        <f t="shared" si="16"/>
        <v>Week 2</v>
      </c>
    </row>
    <row r="1059" spans="1:21" x14ac:dyDescent="0.25">
      <c r="A1059" s="1">
        <v>1058</v>
      </c>
      <c r="B1059" s="1" t="s">
        <v>921</v>
      </c>
      <c r="C1059" s="2">
        <v>46064</v>
      </c>
      <c r="D1059" s="1" t="s">
        <v>184</v>
      </c>
      <c r="E1059" s="1" t="s">
        <v>116</v>
      </c>
      <c r="F1059" s="1" t="s">
        <v>30</v>
      </c>
      <c r="G1059" s="1" t="s">
        <v>24</v>
      </c>
      <c r="H1059" s="1">
        <v>1</v>
      </c>
      <c r="I1059" s="1" t="s">
        <v>922</v>
      </c>
      <c r="J1059" s="1" t="s">
        <v>26</v>
      </c>
      <c r="K1059" s="1">
        <v>9682000</v>
      </c>
      <c r="L1059" s="1">
        <v>0</v>
      </c>
      <c r="M1059" s="1">
        <v>0</v>
      </c>
      <c r="N1059" s="1">
        <v>1065020</v>
      </c>
      <c r="O1059" s="1">
        <v>0</v>
      </c>
      <c r="P1059" s="1">
        <v>0</v>
      </c>
      <c r="Q1059" s="1">
        <v>0</v>
      </c>
      <c r="R1059" s="1">
        <v>10747020</v>
      </c>
      <c r="S1059" s="1">
        <v>9382000</v>
      </c>
      <c r="T1059" s="1">
        <v>96.901466639123996</v>
      </c>
      <c r="U1059" t="str">
        <f t="shared" si="16"/>
        <v>Week 2</v>
      </c>
    </row>
    <row r="1060" spans="1:21" x14ac:dyDescent="0.25">
      <c r="A1060" s="1">
        <v>1059</v>
      </c>
      <c r="B1060" s="1" t="s">
        <v>923</v>
      </c>
      <c r="C1060" s="2">
        <v>46064</v>
      </c>
      <c r="D1060" s="1" t="s">
        <v>21</v>
      </c>
      <c r="E1060" s="1" t="s">
        <v>22</v>
      </c>
      <c r="F1060" s="1" t="s">
        <v>30</v>
      </c>
      <c r="G1060" s="1" t="s">
        <v>24</v>
      </c>
      <c r="H1060" s="1">
        <v>1</v>
      </c>
      <c r="I1060" s="1" t="s">
        <v>924</v>
      </c>
      <c r="J1060" s="1" t="s">
        <v>26</v>
      </c>
      <c r="K1060" s="1">
        <v>274400</v>
      </c>
      <c r="L1060" s="1">
        <v>0</v>
      </c>
      <c r="M1060" s="1">
        <v>0</v>
      </c>
      <c r="N1060" s="1">
        <v>30184</v>
      </c>
      <c r="O1060" s="1">
        <v>0</v>
      </c>
      <c r="P1060" s="1">
        <v>0</v>
      </c>
      <c r="Q1060" s="1">
        <v>0</v>
      </c>
      <c r="R1060" s="1">
        <v>304584</v>
      </c>
      <c r="S1060" s="1">
        <v>71136.5</v>
      </c>
      <c r="T1060" s="1">
        <v>0</v>
      </c>
      <c r="U1060" t="str">
        <f t="shared" si="16"/>
        <v>Week 2</v>
      </c>
    </row>
    <row r="1061" spans="1:21" x14ac:dyDescent="0.25">
      <c r="A1061" s="1">
        <v>1060</v>
      </c>
      <c r="B1061" s="1" t="s">
        <v>925</v>
      </c>
      <c r="C1061" s="2">
        <v>46064</v>
      </c>
      <c r="D1061" s="1" t="s">
        <v>21</v>
      </c>
      <c r="E1061" s="1" t="s">
        <v>22</v>
      </c>
      <c r="F1061" s="1" t="s">
        <v>30</v>
      </c>
      <c r="G1061" s="1" t="s">
        <v>24</v>
      </c>
      <c r="H1061" s="1">
        <v>1</v>
      </c>
      <c r="I1061" s="1" t="s">
        <v>926</v>
      </c>
      <c r="J1061" s="1" t="s">
        <v>26</v>
      </c>
      <c r="K1061" s="1">
        <v>98823200</v>
      </c>
      <c r="L1061" s="1">
        <v>0</v>
      </c>
      <c r="M1061" s="1">
        <v>0</v>
      </c>
      <c r="N1061" s="1">
        <v>10870552</v>
      </c>
      <c r="O1061" s="1">
        <v>0</v>
      </c>
      <c r="P1061" s="1">
        <v>0</v>
      </c>
      <c r="Q1061" s="1">
        <v>0</v>
      </c>
      <c r="R1061" s="1">
        <v>109693752</v>
      </c>
      <c r="S1061" s="1">
        <v>6236970</v>
      </c>
      <c r="T1061" s="1">
        <v>6.3112406803261001</v>
      </c>
      <c r="U1061" t="str">
        <f t="shared" si="16"/>
        <v>Week 2</v>
      </c>
    </row>
    <row r="1062" spans="1:21" x14ac:dyDescent="0.25">
      <c r="A1062" s="1">
        <v>1061</v>
      </c>
      <c r="B1062" s="1" t="s">
        <v>927</v>
      </c>
      <c r="C1062" s="2">
        <v>46064</v>
      </c>
      <c r="D1062" s="1" t="s">
        <v>53</v>
      </c>
      <c r="E1062" s="1" t="s">
        <v>54</v>
      </c>
      <c r="F1062" s="1" t="s">
        <v>23</v>
      </c>
      <c r="G1062" s="1" t="s">
        <v>24</v>
      </c>
      <c r="H1062" s="1">
        <v>1</v>
      </c>
      <c r="I1062" s="1" t="s">
        <v>928</v>
      </c>
      <c r="J1062" s="1"/>
      <c r="K1062" s="1">
        <v>192500</v>
      </c>
      <c r="L1062" s="1">
        <v>0</v>
      </c>
      <c r="M1062" s="1">
        <v>0</v>
      </c>
      <c r="N1062" s="1">
        <v>21175</v>
      </c>
      <c r="O1062" s="1">
        <v>0</v>
      </c>
      <c r="P1062" s="1">
        <v>0</v>
      </c>
      <c r="Q1062" s="1">
        <v>0</v>
      </c>
      <c r="R1062" s="1">
        <v>213675</v>
      </c>
      <c r="S1062" s="1">
        <v>53720.342342342003</v>
      </c>
      <c r="T1062" s="1">
        <v>27.906671346671001</v>
      </c>
      <c r="U1062" t="str">
        <f t="shared" si="16"/>
        <v>Week 2</v>
      </c>
    </row>
    <row r="1063" spans="1:21" x14ac:dyDescent="0.25">
      <c r="A1063" s="1">
        <v>1062</v>
      </c>
      <c r="B1063" s="1" t="s">
        <v>929</v>
      </c>
      <c r="C1063" s="2">
        <v>46064</v>
      </c>
      <c r="D1063" s="1" t="s">
        <v>98</v>
      </c>
      <c r="E1063" s="1" t="s">
        <v>99</v>
      </c>
      <c r="F1063" s="1" t="s">
        <v>23</v>
      </c>
      <c r="G1063" s="1" t="s">
        <v>24</v>
      </c>
      <c r="H1063" s="1">
        <v>1</v>
      </c>
      <c r="I1063" s="1" t="s">
        <v>930</v>
      </c>
      <c r="J1063" s="1"/>
      <c r="K1063" s="1">
        <v>8169000</v>
      </c>
      <c r="L1063" s="1">
        <v>0</v>
      </c>
      <c r="M1063" s="1">
        <v>0</v>
      </c>
      <c r="N1063" s="1">
        <v>898590</v>
      </c>
      <c r="O1063" s="1">
        <v>0</v>
      </c>
      <c r="P1063" s="1">
        <v>0</v>
      </c>
      <c r="Q1063" s="1">
        <v>0</v>
      </c>
      <c r="R1063" s="1">
        <v>9067590</v>
      </c>
      <c r="S1063" s="1">
        <v>3851600</v>
      </c>
      <c r="T1063" s="1">
        <v>47.148977843064998</v>
      </c>
      <c r="U1063" t="str">
        <f t="shared" si="16"/>
        <v>Week 2</v>
      </c>
    </row>
    <row r="1064" spans="1:21" x14ac:dyDescent="0.25">
      <c r="A1064" s="1">
        <v>1063</v>
      </c>
      <c r="B1064" s="1" t="s">
        <v>931</v>
      </c>
      <c r="C1064" s="2">
        <v>46064</v>
      </c>
      <c r="D1064" s="1" t="s">
        <v>53</v>
      </c>
      <c r="E1064" s="1" t="s">
        <v>54</v>
      </c>
      <c r="F1064" s="1" t="s">
        <v>23</v>
      </c>
      <c r="G1064" s="1" t="s">
        <v>24</v>
      </c>
      <c r="H1064" s="1">
        <v>1</v>
      </c>
      <c r="I1064" s="1" t="s">
        <v>928</v>
      </c>
      <c r="J1064" s="1"/>
      <c r="K1064" s="1">
        <v>40905000</v>
      </c>
      <c r="L1064" s="1">
        <v>0</v>
      </c>
      <c r="M1064" s="1">
        <v>0</v>
      </c>
      <c r="N1064" s="1">
        <v>4499550</v>
      </c>
      <c r="O1064" s="1">
        <v>0</v>
      </c>
      <c r="P1064" s="1">
        <v>0</v>
      </c>
      <c r="Q1064" s="1">
        <v>0</v>
      </c>
      <c r="R1064" s="1">
        <v>45404550</v>
      </c>
      <c r="S1064" s="1">
        <v>16825608.099892002</v>
      </c>
      <c r="T1064" s="1">
        <v>41.133377581937999</v>
      </c>
      <c r="U1064" t="str">
        <f t="shared" si="16"/>
        <v>Week 2</v>
      </c>
    </row>
    <row r="1065" spans="1:21" x14ac:dyDescent="0.25">
      <c r="A1065" s="1">
        <v>1064</v>
      </c>
      <c r="B1065" s="1" t="s">
        <v>932</v>
      </c>
      <c r="C1065" s="2">
        <v>46064</v>
      </c>
      <c r="D1065" s="1" t="s">
        <v>495</v>
      </c>
      <c r="E1065" s="1" t="s">
        <v>192</v>
      </c>
      <c r="F1065" s="1" t="s">
        <v>23</v>
      </c>
      <c r="G1065" s="1" t="s">
        <v>24</v>
      </c>
      <c r="H1065" s="1">
        <v>1</v>
      </c>
      <c r="I1065" s="1" t="s">
        <v>933</v>
      </c>
      <c r="J1065" s="1" t="s">
        <v>934</v>
      </c>
      <c r="K1065" s="1">
        <v>14960000000</v>
      </c>
      <c r="L1065" s="1">
        <v>0</v>
      </c>
      <c r="M1065" s="1">
        <v>0</v>
      </c>
      <c r="N1065" s="1">
        <v>1645600000</v>
      </c>
      <c r="O1065" s="1">
        <v>0</v>
      </c>
      <c r="P1065" s="1">
        <v>0</v>
      </c>
      <c r="Q1065" s="1">
        <v>0</v>
      </c>
      <c r="R1065" s="1">
        <v>16605600000</v>
      </c>
      <c r="S1065" s="1">
        <v>1925000000</v>
      </c>
      <c r="T1065" s="1">
        <v>12.867647058824</v>
      </c>
      <c r="U1065" t="str">
        <f t="shared" si="16"/>
        <v>Week 2</v>
      </c>
    </row>
    <row r="1066" spans="1:21" x14ac:dyDescent="0.25">
      <c r="A1066" s="1">
        <v>1065</v>
      </c>
      <c r="B1066" s="1" t="s">
        <v>935</v>
      </c>
      <c r="C1066" s="2">
        <v>46063</v>
      </c>
      <c r="D1066" s="1" t="s">
        <v>21</v>
      </c>
      <c r="E1066" s="1" t="s">
        <v>22</v>
      </c>
      <c r="F1066" s="1" t="s">
        <v>30</v>
      </c>
      <c r="G1066" s="1" t="s">
        <v>24</v>
      </c>
      <c r="H1066" s="1">
        <v>1</v>
      </c>
      <c r="I1066" s="1" t="s">
        <v>936</v>
      </c>
      <c r="J1066" s="1" t="s">
        <v>26</v>
      </c>
      <c r="K1066" s="1">
        <v>16494100</v>
      </c>
      <c r="L1066" s="1">
        <v>0</v>
      </c>
      <c r="M1066" s="1">
        <v>0</v>
      </c>
      <c r="N1066" s="1">
        <v>1814351</v>
      </c>
      <c r="O1066" s="1">
        <v>0</v>
      </c>
      <c r="P1066" s="1">
        <v>0</v>
      </c>
      <c r="Q1066" s="1">
        <v>0</v>
      </c>
      <c r="R1066" s="1">
        <v>18308451</v>
      </c>
      <c r="S1066" s="1">
        <v>7381920</v>
      </c>
      <c r="T1066" s="1">
        <v>44.754912362601999</v>
      </c>
      <c r="U1066" t="str">
        <f t="shared" si="16"/>
        <v>Week 2</v>
      </c>
    </row>
    <row r="1067" spans="1:21" x14ac:dyDescent="0.25">
      <c r="A1067" s="1">
        <v>1066</v>
      </c>
      <c r="B1067" s="1" t="s">
        <v>937</v>
      </c>
      <c r="C1067" s="2">
        <v>46063</v>
      </c>
      <c r="D1067" s="1" t="s">
        <v>527</v>
      </c>
      <c r="E1067" s="1" t="s">
        <v>22</v>
      </c>
      <c r="F1067" s="1" t="s">
        <v>23</v>
      </c>
      <c r="G1067" s="1" t="s">
        <v>24</v>
      </c>
      <c r="H1067" s="1">
        <v>1</v>
      </c>
      <c r="I1067" s="1" t="s">
        <v>938</v>
      </c>
      <c r="J1067" s="1" t="s">
        <v>26</v>
      </c>
      <c r="K1067" s="1">
        <v>18586250</v>
      </c>
      <c r="L1067" s="1">
        <v>0</v>
      </c>
      <c r="M1067" s="1">
        <v>0</v>
      </c>
      <c r="N1067" s="1">
        <v>2044487.5</v>
      </c>
      <c r="O1067" s="1">
        <v>0</v>
      </c>
      <c r="P1067" s="1">
        <v>0</v>
      </c>
      <c r="Q1067" s="1">
        <v>0</v>
      </c>
      <c r="R1067" s="1">
        <v>20630737.5</v>
      </c>
      <c r="S1067" s="1">
        <v>3716746</v>
      </c>
      <c r="T1067" s="1">
        <v>19.997288317976999</v>
      </c>
      <c r="U1067" t="str">
        <f t="shared" si="16"/>
        <v>Week 2</v>
      </c>
    </row>
    <row r="1068" spans="1:21" x14ac:dyDescent="0.25">
      <c r="A1068" s="1">
        <v>1067</v>
      </c>
      <c r="B1068" s="1" t="s">
        <v>939</v>
      </c>
      <c r="C1068" s="2">
        <v>46063</v>
      </c>
      <c r="D1068" s="1" t="s">
        <v>396</v>
      </c>
      <c r="E1068" s="1" t="s">
        <v>22</v>
      </c>
      <c r="F1068" s="1" t="s">
        <v>23</v>
      </c>
      <c r="G1068" s="1" t="s">
        <v>24</v>
      </c>
      <c r="H1068" s="1">
        <v>1</v>
      </c>
      <c r="I1068" s="1" t="s">
        <v>940</v>
      </c>
      <c r="J1068" s="1" t="s">
        <v>26</v>
      </c>
      <c r="K1068" s="1">
        <v>6100000</v>
      </c>
      <c r="L1068" s="1">
        <v>0</v>
      </c>
      <c r="M1068" s="1">
        <v>0</v>
      </c>
      <c r="N1068" s="1">
        <v>671000</v>
      </c>
      <c r="O1068" s="1">
        <v>0</v>
      </c>
      <c r="P1068" s="1">
        <v>0</v>
      </c>
      <c r="Q1068" s="1">
        <v>0</v>
      </c>
      <c r="R1068" s="1">
        <v>6771000</v>
      </c>
      <c r="S1068" s="1">
        <v>1270000</v>
      </c>
      <c r="T1068" s="1">
        <v>20.819672131148</v>
      </c>
      <c r="U1068" t="str">
        <f t="shared" si="16"/>
        <v>Week 2</v>
      </c>
    </row>
    <row r="1069" spans="1:21" x14ac:dyDescent="0.25">
      <c r="A1069" s="1">
        <v>1068</v>
      </c>
      <c r="B1069" s="1" t="s">
        <v>941</v>
      </c>
      <c r="C1069" s="2">
        <v>46063</v>
      </c>
      <c r="D1069" s="1" t="s">
        <v>248</v>
      </c>
      <c r="E1069" s="1" t="s">
        <v>116</v>
      </c>
      <c r="F1069" s="1" t="s">
        <v>23</v>
      </c>
      <c r="G1069" s="1" t="s">
        <v>24</v>
      </c>
      <c r="H1069" s="1">
        <v>1</v>
      </c>
      <c r="I1069" s="1" t="s">
        <v>942</v>
      </c>
      <c r="J1069" s="1" t="s">
        <v>26</v>
      </c>
      <c r="K1069" s="1">
        <v>413820</v>
      </c>
      <c r="L1069" s="1">
        <v>0</v>
      </c>
      <c r="M1069" s="1">
        <v>0</v>
      </c>
      <c r="N1069" s="1">
        <v>45520.2</v>
      </c>
      <c r="O1069" s="1">
        <v>0</v>
      </c>
      <c r="P1069" s="1">
        <v>0</v>
      </c>
      <c r="Q1069" s="1">
        <v>0</v>
      </c>
      <c r="R1069" s="1">
        <v>459340.2</v>
      </c>
      <c r="S1069" s="1">
        <v>92694</v>
      </c>
      <c r="T1069" s="1">
        <v>22.399594026388002</v>
      </c>
      <c r="U1069" t="str">
        <f t="shared" si="16"/>
        <v>Week 2</v>
      </c>
    </row>
    <row r="1070" spans="1:21" x14ac:dyDescent="0.25">
      <c r="A1070" s="1">
        <v>1069</v>
      </c>
      <c r="B1070" s="1" t="s">
        <v>943</v>
      </c>
      <c r="C1070" s="2">
        <v>46063</v>
      </c>
      <c r="D1070" s="1" t="s">
        <v>21</v>
      </c>
      <c r="E1070" s="1" t="s">
        <v>22</v>
      </c>
      <c r="F1070" s="1" t="s">
        <v>23</v>
      </c>
      <c r="G1070" s="1" t="s">
        <v>24</v>
      </c>
      <c r="H1070" s="1">
        <v>1</v>
      </c>
      <c r="I1070" s="1" t="s">
        <v>944</v>
      </c>
      <c r="J1070" s="1" t="s">
        <v>26</v>
      </c>
      <c r="K1070" s="1">
        <v>5264000</v>
      </c>
      <c r="L1070" s="1">
        <v>0</v>
      </c>
      <c r="M1070" s="1">
        <v>0</v>
      </c>
      <c r="N1070" s="1">
        <v>579040</v>
      </c>
      <c r="O1070" s="1">
        <v>0</v>
      </c>
      <c r="P1070" s="1">
        <v>0</v>
      </c>
      <c r="Q1070" s="1">
        <v>0</v>
      </c>
      <c r="R1070" s="1">
        <v>5843040</v>
      </c>
      <c r="S1070" s="1">
        <v>3749000</v>
      </c>
      <c r="T1070" s="1">
        <v>71.219604863222003</v>
      </c>
      <c r="U1070" t="str">
        <f t="shared" si="16"/>
        <v>Week 2</v>
      </c>
    </row>
    <row r="1071" spans="1:21" x14ac:dyDescent="0.25">
      <c r="A1071" s="1">
        <v>1070</v>
      </c>
      <c r="B1071" s="1" t="s">
        <v>945</v>
      </c>
      <c r="C1071" s="2">
        <v>46063</v>
      </c>
      <c r="D1071" s="1" t="s">
        <v>184</v>
      </c>
      <c r="E1071" s="1" t="s">
        <v>116</v>
      </c>
      <c r="F1071" s="1" t="s">
        <v>30</v>
      </c>
      <c r="G1071" s="1" t="s">
        <v>24</v>
      </c>
      <c r="H1071" s="1">
        <v>1</v>
      </c>
      <c r="I1071" s="1" t="s">
        <v>946</v>
      </c>
      <c r="J1071" s="1" t="s">
        <v>26</v>
      </c>
      <c r="K1071" s="1">
        <v>2327903</v>
      </c>
      <c r="L1071" s="1">
        <v>0</v>
      </c>
      <c r="M1071" s="1">
        <v>0</v>
      </c>
      <c r="N1071" s="1">
        <v>256069.33</v>
      </c>
      <c r="O1071" s="1">
        <v>0</v>
      </c>
      <c r="P1071" s="1">
        <v>0</v>
      </c>
      <c r="Q1071" s="1">
        <v>0</v>
      </c>
      <c r="R1071" s="1">
        <v>2583972.33</v>
      </c>
      <c r="S1071" s="1">
        <v>176703</v>
      </c>
      <c r="T1071" s="1">
        <v>7.5906513286850998</v>
      </c>
      <c r="U1071" t="str">
        <f t="shared" si="16"/>
        <v>Week 2</v>
      </c>
    </row>
    <row r="1072" spans="1:21" x14ac:dyDescent="0.25">
      <c r="A1072" s="1">
        <v>1071</v>
      </c>
      <c r="B1072" s="1" t="s">
        <v>947</v>
      </c>
      <c r="C1072" s="2">
        <v>46063</v>
      </c>
      <c r="D1072" s="1" t="s">
        <v>21</v>
      </c>
      <c r="E1072" s="1" t="s">
        <v>22</v>
      </c>
      <c r="F1072" s="1" t="s">
        <v>23</v>
      </c>
      <c r="G1072" s="1" t="s">
        <v>24</v>
      </c>
      <c r="H1072" s="1">
        <v>1</v>
      </c>
      <c r="I1072" s="1" t="s">
        <v>948</v>
      </c>
      <c r="J1072" s="1" t="s">
        <v>26</v>
      </c>
      <c r="K1072" s="1">
        <v>11116488</v>
      </c>
      <c r="L1072" s="1">
        <v>0</v>
      </c>
      <c r="M1072" s="1">
        <v>0</v>
      </c>
      <c r="N1072" s="1">
        <v>1222813.68</v>
      </c>
      <c r="O1072" s="1">
        <v>0</v>
      </c>
      <c r="P1072" s="1">
        <v>0</v>
      </c>
      <c r="Q1072" s="1">
        <v>0</v>
      </c>
      <c r="R1072" s="1">
        <v>12339301.68</v>
      </c>
      <c r="S1072" s="1">
        <v>3766488</v>
      </c>
      <c r="T1072" s="1">
        <v>33.881995824580997</v>
      </c>
      <c r="U1072" t="str">
        <f t="shared" si="16"/>
        <v>Week 2</v>
      </c>
    </row>
    <row r="1073" spans="1:21" x14ac:dyDescent="0.25">
      <c r="A1073" s="1">
        <v>1072</v>
      </c>
      <c r="B1073" s="1" t="s">
        <v>949</v>
      </c>
      <c r="C1073" s="2">
        <v>46063</v>
      </c>
      <c r="D1073" s="1" t="s">
        <v>306</v>
      </c>
      <c r="E1073" s="1" t="s">
        <v>99</v>
      </c>
      <c r="F1073" s="1" t="s">
        <v>23</v>
      </c>
      <c r="G1073" s="1" t="s">
        <v>24</v>
      </c>
      <c r="H1073" s="1">
        <v>1</v>
      </c>
      <c r="I1073" s="1" t="s">
        <v>950</v>
      </c>
      <c r="J1073" s="1"/>
      <c r="K1073" s="1">
        <v>237313800</v>
      </c>
      <c r="L1073" s="1">
        <v>0</v>
      </c>
      <c r="M1073" s="1">
        <v>0</v>
      </c>
      <c r="N1073" s="1">
        <v>26104518</v>
      </c>
      <c r="O1073" s="1">
        <v>0</v>
      </c>
      <c r="P1073" s="1">
        <v>0</v>
      </c>
      <c r="Q1073" s="1">
        <v>0</v>
      </c>
      <c r="R1073" s="1">
        <v>263418318</v>
      </c>
      <c r="S1073" s="1">
        <v>128476296.40000001</v>
      </c>
      <c r="T1073" s="1">
        <v>54.137726672447997</v>
      </c>
      <c r="U1073" t="str">
        <f t="shared" si="16"/>
        <v>Week 2</v>
      </c>
    </row>
    <row r="1074" spans="1:21" x14ac:dyDescent="0.25">
      <c r="A1074" s="1">
        <v>1073</v>
      </c>
      <c r="B1074" s="1" t="s">
        <v>951</v>
      </c>
      <c r="C1074" s="2">
        <v>46063</v>
      </c>
      <c r="D1074" s="1" t="s">
        <v>511</v>
      </c>
      <c r="E1074" s="1" t="s">
        <v>38</v>
      </c>
      <c r="F1074" s="1" t="s">
        <v>23</v>
      </c>
      <c r="G1074" s="1" t="s">
        <v>24</v>
      </c>
      <c r="H1074" s="1">
        <v>1</v>
      </c>
      <c r="I1074" s="1" t="s">
        <v>807</v>
      </c>
      <c r="J1074" s="1"/>
      <c r="K1074" s="1">
        <v>3870000</v>
      </c>
      <c r="L1074" s="1">
        <v>0</v>
      </c>
      <c r="M1074" s="1">
        <v>0</v>
      </c>
      <c r="N1074" s="1">
        <v>425700</v>
      </c>
      <c r="O1074" s="1">
        <v>0</v>
      </c>
      <c r="P1074" s="1">
        <v>0</v>
      </c>
      <c r="Q1074" s="1">
        <v>0</v>
      </c>
      <c r="R1074" s="1">
        <v>4295700</v>
      </c>
      <c r="S1074" s="1">
        <v>1100000</v>
      </c>
      <c r="T1074" s="1">
        <v>28.423772609819</v>
      </c>
      <c r="U1074" t="str">
        <f t="shared" si="16"/>
        <v>Week 2</v>
      </c>
    </row>
    <row r="1075" spans="1:21" x14ac:dyDescent="0.25">
      <c r="A1075" s="1">
        <v>1074</v>
      </c>
      <c r="B1075" s="1" t="s">
        <v>952</v>
      </c>
      <c r="C1075" s="2">
        <v>46063</v>
      </c>
      <c r="D1075" s="1" t="s">
        <v>33</v>
      </c>
      <c r="E1075" s="1" t="s">
        <v>34</v>
      </c>
      <c r="F1075" s="1" t="s">
        <v>30</v>
      </c>
      <c r="G1075" s="1" t="s">
        <v>24</v>
      </c>
      <c r="H1075" s="1">
        <v>1</v>
      </c>
      <c r="I1075" s="1" t="s">
        <v>953</v>
      </c>
      <c r="J1075" s="1"/>
      <c r="K1075" s="1">
        <v>10976000</v>
      </c>
      <c r="L1075" s="1">
        <v>0</v>
      </c>
      <c r="M1075" s="1">
        <v>0</v>
      </c>
      <c r="N1075" s="1">
        <v>1207360</v>
      </c>
      <c r="O1075" s="1">
        <v>0</v>
      </c>
      <c r="P1075" s="1">
        <v>0</v>
      </c>
      <c r="Q1075" s="1">
        <v>0</v>
      </c>
      <c r="R1075" s="1">
        <v>12183360</v>
      </c>
      <c r="S1075" s="1">
        <v>2176000</v>
      </c>
      <c r="T1075" s="1">
        <v>19.825072886297001</v>
      </c>
      <c r="U1075" t="str">
        <f t="shared" si="16"/>
        <v>Week 2</v>
      </c>
    </row>
    <row r="1076" spans="1:21" x14ac:dyDescent="0.25">
      <c r="A1076" s="1">
        <v>1075</v>
      </c>
      <c r="B1076" s="1" t="s">
        <v>2231</v>
      </c>
      <c r="C1076" s="2">
        <v>46063</v>
      </c>
      <c r="D1076" s="1" t="s">
        <v>2210</v>
      </c>
      <c r="E1076" s="1" t="s">
        <v>192</v>
      </c>
      <c r="F1076" s="1" t="s">
        <v>30</v>
      </c>
      <c r="G1076" s="1" t="s">
        <v>24</v>
      </c>
      <c r="H1076" s="1">
        <v>1</v>
      </c>
      <c r="I1076" s="1" t="s">
        <v>2232</v>
      </c>
      <c r="J1076" s="1" t="s">
        <v>56</v>
      </c>
      <c r="K1076" s="1">
        <v>3536750000</v>
      </c>
      <c r="L1076" s="1">
        <v>0</v>
      </c>
      <c r="M1076" s="1">
        <v>0</v>
      </c>
      <c r="N1076" s="1">
        <v>389042500</v>
      </c>
      <c r="O1076" s="1">
        <v>0</v>
      </c>
      <c r="P1076" s="1">
        <v>0</v>
      </c>
      <c r="Q1076" s="1">
        <v>0</v>
      </c>
      <c r="R1076" s="1">
        <v>3925792500</v>
      </c>
      <c r="S1076" s="1">
        <v>411250000</v>
      </c>
      <c r="T1076" s="1">
        <v>11.627906976744001</v>
      </c>
      <c r="U1076" t="str">
        <f t="shared" si="16"/>
        <v>Week 2</v>
      </c>
    </row>
    <row r="1077" spans="1:21" x14ac:dyDescent="0.25">
      <c r="A1077" s="1">
        <v>1076</v>
      </c>
      <c r="B1077" s="1" t="s">
        <v>954</v>
      </c>
      <c r="C1077" s="2">
        <v>46063</v>
      </c>
      <c r="D1077" s="1" t="s">
        <v>53</v>
      </c>
      <c r="E1077" s="1" t="s">
        <v>54</v>
      </c>
      <c r="F1077" s="1" t="s">
        <v>30</v>
      </c>
      <c r="G1077" s="1" t="s">
        <v>24</v>
      </c>
      <c r="H1077" s="1">
        <v>1</v>
      </c>
      <c r="I1077" s="1" t="s">
        <v>955</v>
      </c>
      <c r="J1077" s="1"/>
      <c r="K1077" s="1">
        <v>17609400</v>
      </c>
      <c r="L1077" s="1">
        <v>0</v>
      </c>
      <c r="M1077" s="1">
        <v>0</v>
      </c>
      <c r="N1077" s="1">
        <v>1937034</v>
      </c>
      <c r="O1077" s="1">
        <v>0</v>
      </c>
      <c r="P1077" s="1">
        <v>0</v>
      </c>
      <c r="Q1077" s="1">
        <v>0</v>
      </c>
      <c r="R1077" s="1">
        <v>19546434</v>
      </c>
      <c r="S1077" s="1">
        <v>3670400</v>
      </c>
      <c r="T1077" s="1">
        <v>20.843413177053002</v>
      </c>
      <c r="U1077" t="str">
        <f t="shared" si="16"/>
        <v>Week 2</v>
      </c>
    </row>
    <row r="1078" spans="1:21" x14ac:dyDescent="0.25">
      <c r="A1078" s="1">
        <v>1077</v>
      </c>
      <c r="B1078" s="1" t="s">
        <v>956</v>
      </c>
      <c r="C1078" s="2">
        <v>46063</v>
      </c>
      <c r="D1078" s="1" t="s">
        <v>53</v>
      </c>
      <c r="E1078" s="1" t="s">
        <v>54</v>
      </c>
      <c r="F1078" s="1" t="s">
        <v>30</v>
      </c>
      <c r="G1078" s="1" t="s">
        <v>24</v>
      </c>
      <c r="H1078" s="1">
        <v>1</v>
      </c>
      <c r="I1078" s="1" t="s">
        <v>957</v>
      </c>
      <c r="J1078" s="1"/>
      <c r="K1078" s="1">
        <v>42177778</v>
      </c>
      <c r="L1078" s="1">
        <v>0</v>
      </c>
      <c r="M1078" s="1">
        <v>0</v>
      </c>
      <c r="N1078" s="1">
        <v>4639555.58</v>
      </c>
      <c r="O1078" s="1">
        <v>0</v>
      </c>
      <c r="P1078" s="1">
        <v>0</v>
      </c>
      <c r="Q1078" s="1">
        <v>0</v>
      </c>
      <c r="R1078" s="1">
        <v>46817333.579999998</v>
      </c>
      <c r="S1078" s="1">
        <v>5969778</v>
      </c>
      <c r="T1078" s="1">
        <v>14.153846606144</v>
      </c>
      <c r="U1078" t="str">
        <f t="shared" si="16"/>
        <v>Week 2</v>
      </c>
    </row>
    <row r="1079" spans="1:21" x14ac:dyDescent="0.25">
      <c r="A1079" s="1">
        <v>1078</v>
      </c>
      <c r="B1079" s="1" t="s">
        <v>958</v>
      </c>
      <c r="C1079" s="2">
        <v>46063</v>
      </c>
      <c r="D1079" s="1" t="s">
        <v>396</v>
      </c>
      <c r="E1079" s="1" t="s">
        <v>22</v>
      </c>
      <c r="F1079" s="1" t="s">
        <v>30</v>
      </c>
      <c r="G1079" s="1" t="s">
        <v>24</v>
      </c>
      <c r="H1079" s="1">
        <v>1</v>
      </c>
      <c r="I1079" s="1" t="s">
        <v>959</v>
      </c>
      <c r="J1079" s="1" t="s">
        <v>26</v>
      </c>
      <c r="K1079" s="1">
        <v>17656937.5</v>
      </c>
      <c r="L1079" s="1">
        <v>0</v>
      </c>
      <c r="M1079" s="1">
        <v>0</v>
      </c>
      <c r="N1079" s="1">
        <v>1942263.125</v>
      </c>
      <c r="O1079" s="1">
        <v>0</v>
      </c>
      <c r="P1079" s="1">
        <v>0</v>
      </c>
      <c r="Q1079" s="1">
        <v>0</v>
      </c>
      <c r="R1079" s="1">
        <v>19599200.625</v>
      </c>
      <c r="S1079" s="1">
        <v>2787433.5</v>
      </c>
      <c r="T1079" s="1">
        <v>15.786619282081</v>
      </c>
      <c r="U1079" t="str">
        <f t="shared" si="16"/>
        <v>Week 2</v>
      </c>
    </row>
    <row r="1080" spans="1:21" x14ac:dyDescent="0.25">
      <c r="A1080" s="1">
        <v>1079</v>
      </c>
      <c r="B1080" s="1" t="s">
        <v>961</v>
      </c>
      <c r="C1080" s="2">
        <v>46062</v>
      </c>
      <c r="D1080" s="1" t="s">
        <v>33</v>
      </c>
      <c r="E1080" s="1" t="s">
        <v>34</v>
      </c>
      <c r="F1080" s="1" t="s">
        <v>30</v>
      </c>
      <c r="G1080" s="1" t="s">
        <v>24</v>
      </c>
      <c r="H1080" s="1">
        <v>1</v>
      </c>
      <c r="I1080" s="1" t="s">
        <v>962</v>
      </c>
      <c r="J1080" s="1"/>
      <c r="K1080" s="1">
        <v>1617000</v>
      </c>
      <c r="L1080" s="1">
        <v>0</v>
      </c>
      <c r="M1080" s="1">
        <v>0</v>
      </c>
      <c r="N1080" s="1">
        <v>177870</v>
      </c>
      <c r="O1080" s="1">
        <v>0</v>
      </c>
      <c r="P1080" s="1">
        <v>0</v>
      </c>
      <c r="Q1080" s="1">
        <v>0</v>
      </c>
      <c r="R1080" s="1">
        <v>1794870</v>
      </c>
      <c r="S1080" s="1">
        <v>1617000</v>
      </c>
      <c r="T1080" s="1">
        <v>100</v>
      </c>
      <c r="U1080" t="str">
        <f t="shared" si="16"/>
        <v>Week 2</v>
      </c>
    </row>
    <row r="1081" spans="1:21" x14ac:dyDescent="0.25">
      <c r="A1081" s="1">
        <v>1080</v>
      </c>
      <c r="B1081" s="1" t="s">
        <v>963</v>
      </c>
      <c r="C1081" s="2">
        <v>46062</v>
      </c>
      <c r="D1081" s="1" t="s">
        <v>2979</v>
      </c>
      <c r="E1081" s="1" t="s">
        <v>203</v>
      </c>
      <c r="F1081" s="1" t="s">
        <v>30</v>
      </c>
      <c r="G1081" s="1" t="s">
        <v>24</v>
      </c>
      <c r="H1081" s="1">
        <v>1</v>
      </c>
      <c r="I1081" s="1" t="s">
        <v>964</v>
      </c>
      <c r="J1081" s="1"/>
      <c r="K1081" s="1">
        <v>1076923</v>
      </c>
      <c r="L1081" s="1">
        <v>0</v>
      </c>
      <c r="M1081" s="1">
        <v>0</v>
      </c>
      <c r="N1081" s="1">
        <v>118461.53</v>
      </c>
      <c r="O1081" s="1">
        <v>0</v>
      </c>
      <c r="P1081" s="1">
        <v>0</v>
      </c>
      <c r="Q1081" s="1">
        <v>0</v>
      </c>
      <c r="R1081" s="1">
        <v>1195384.53</v>
      </c>
      <c r="S1081" s="1">
        <v>648995.07207206998</v>
      </c>
      <c r="T1081" s="1">
        <v>60.263832425536997</v>
      </c>
      <c r="U1081" t="str">
        <f t="shared" si="16"/>
        <v>Week 2</v>
      </c>
    </row>
    <row r="1082" spans="1:21" x14ac:dyDescent="0.25">
      <c r="A1082" s="1">
        <v>1081</v>
      </c>
      <c r="B1082" s="1" t="s">
        <v>965</v>
      </c>
      <c r="C1082" s="2">
        <v>46062</v>
      </c>
      <c r="D1082" s="1" t="s">
        <v>184</v>
      </c>
      <c r="E1082" s="1" t="s">
        <v>116</v>
      </c>
      <c r="F1082" s="1" t="s">
        <v>30</v>
      </c>
      <c r="G1082" s="1" t="s">
        <v>24</v>
      </c>
      <c r="H1082" s="1">
        <v>1</v>
      </c>
      <c r="I1082" s="1" t="s">
        <v>966</v>
      </c>
      <c r="J1082" s="1" t="s">
        <v>26</v>
      </c>
      <c r="K1082" s="1">
        <v>2067725</v>
      </c>
      <c r="L1082" s="1">
        <v>0</v>
      </c>
      <c r="M1082" s="1">
        <v>0</v>
      </c>
      <c r="N1082" s="1">
        <v>227449.75</v>
      </c>
      <c r="O1082" s="1">
        <v>0</v>
      </c>
      <c r="P1082" s="1">
        <v>0</v>
      </c>
      <c r="Q1082" s="1">
        <v>0</v>
      </c>
      <c r="R1082" s="1">
        <v>2295174.75</v>
      </c>
      <c r="S1082" s="1">
        <v>294981.30630629999</v>
      </c>
      <c r="T1082" s="1">
        <v>14.265983450715</v>
      </c>
      <c r="U1082" t="str">
        <f t="shared" si="16"/>
        <v>Week 2</v>
      </c>
    </row>
    <row r="1083" spans="1:21" x14ac:dyDescent="0.25">
      <c r="A1083" s="1">
        <v>1082</v>
      </c>
      <c r="B1083" s="1" t="s">
        <v>967</v>
      </c>
      <c r="C1083" s="2">
        <v>46062</v>
      </c>
      <c r="D1083" s="1" t="s">
        <v>21</v>
      </c>
      <c r="E1083" s="1" t="s">
        <v>22</v>
      </c>
      <c r="F1083" s="1" t="s">
        <v>30</v>
      </c>
      <c r="G1083" s="1" t="s">
        <v>24</v>
      </c>
      <c r="H1083" s="1">
        <v>1</v>
      </c>
      <c r="I1083" s="1" t="s">
        <v>968</v>
      </c>
      <c r="J1083" s="1" t="s">
        <v>26</v>
      </c>
      <c r="K1083" s="1">
        <v>158469000</v>
      </c>
      <c r="L1083" s="1">
        <v>0</v>
      </c>
      <c r="M1083" s="1">
        <v>0</v>
      </c>
      <c r="N1083" s="1">
        <v>17431590</v>
      </c>
      <c r="O1083" s="1">
        <v>0</v>
      </c>
      <c r="P1083" s="1">
        <v>0</v>
      </c>
      <c r="Q1083" s="1">
        <v>0</v>
      </c>
      <c r="R1083" s="1">
        <v>175900590</v>
      </c>
      <c r="S1083" s="1">
        <v>4741790</v>
      </c>
      <c r="T1083" s="1">
        <v>2.992250850324</v>
      </c>
      <c r="U1083" t="str">
        <f t="shared" si="16"/>
        <v>Week 2</v>
      </c>
    </row>
    <row r="1084" spans="1:21" x14ac:dyDescent="0.25">
      <c r="A1084" s="1">
        <v>1083</v>
      </c>
      <c r="B1084" s="1" t="s">
        <v>969</v>
      </c>
      <c r="C1084" s="2">
        <v>46062</v>
      </c>
      <c r="D1084" s="1" t="s">
        <v>184</v>
      </c>
      <c r="E1084" s="1" t="s">
        <v>116</v>
      </c>
      <c r="F1084" s="1" t="s">
        <v>30</v>
      </c>
      <c r="G1084" s="1" t="s">
        <v>24</v>
      </c>
      <c r="H1084" s="1">
        <v>1</v>
      </c>
      <c r="I1084" s="1" t="s">
        <v>970</v>
      </c>
      <c r="J1084" s="1"/>
      <c r="K1084" s="1">
        <v>3708698</v>
      </c>
      <c r="L1084" s="1">
        <v>0</v>
      </c>
      <c r="M1084" s="1">
        <v>0</v>
      </c>
      <c r="N1084" s="1">
        <v>407956.78</v>
      </c>
      <c r="O1084" s="1">
        <v>0</v>
      </c>
      <c r="P1084" s="1">
        <v>0</v>
      </c>
      <c r="Q1084" s="1">
        <v>0</v>
      </c>
      <c r="R1084" s="1">
        <v>4116654.78</v>
      </c>
      <c r="S1084" s="1">
        <v>281098</v>
      </c>
      <c r="T1084" s="1">
        <v>7.5794254479604</v>
      </c>
      <c r="U1084" t="str">
        <f t="shared" si="16"/>
        <v>Week 2</v>
      </c>
    </row>
    <row r="1085" spans="1:21" x14ac:dyDescent="0.25">
      <c r="A1085" s="1">
        <v>1084</v>
      </c>
      <c r="B1085" s="1" t="s">
        <v>971</v>
      </c>
      <c r="C1085" s="2">
        <v>46060</v>
      </c>
      <c r="D1085" s="1" t="s">
        <v>98</v>
      </c>
      <c r="E1085" s="1" t="s">
        <v>99</v>
      </c>
      <c r="F1085" s="1" t="s">
        <v>23</v>
      </c>
      <c r="G1085" s="1" t="s">
        <v>24</v>
      </c>
      <c r="H1085" s="1">
        <v>1</v>
      </c>
      <c r="I1085" s="1" t="s">
        <v>930</v>
      </c>
      <c r="J1085" s="1"/>
      <c r="K1085" s="1">
        <v>43805000</v>
      </c>
      <c r="L1085" s="1">
        <v>0</v>
      </c>
      <c r="M1085" s="1">
        <v>0</v>
      </c>
      <c r="N1085" s="1">
        <v>4818550</v>
      </c>
      <c r="O1085" s="1">
        <v>0</v>
      </c>
      <c r="P1085" s="1">
        <v>0</v>
      </c>
      <c r="Q1085" s="1">
        <v>0</v>
      </c>
      <c r="R1085" s="1">
        <v>48623550</v>
      </c>
      <c r="S1085" s="1">
        <v>18514729.729729999</v>
      </c>
      <c r="T1085" s="1">
        <v>42.266247528203998</v>
      </c>
      <c r="U1085" t="str">
        <f t="shared" si="16"/>
        <v>Week 1</v>
      </c>
    </row>
    <row r="1086" spans="1:21" x14ac:dyDescent="0.25">
      <c r="A1086" s="1">
        <v>1085</v>
      </c>
      <c r="B1086" s="1" t="s">
        <v>972</v>
      </c>
      <c r="C1086" s="2">
        <v>46060</v>
      </c>
      <c r="D1086" s="1" t="s">
        <v>184</v>
      </c>
      <c r="E1086" s="1" t="s">
        <v>116</v>
      </c>
      <c r="F1086" s="1" t="s">
        <v>23</v>
      </c>
      <c r="G1086" s="1" t="s">
        <v>24</v>
      </c>
      <c r="H1086" s="1">
        <v>1</v>
      </c>
      <c r="I1086" s="1" t="s">
        <v>973</v>
      </c>
      <c r="J1086" s="1" t="s">
        <v>26</v>
      </c>
      <c r="K1086" s="1">
        <v>5882450</v>
      </c>
      <c r="L1086" s="1">
        <v>0</v>
      </c>
      <c r="M1086" s="1">
        <v>0</v>
      </c>
      <c r="N1086" s="1">
        <v>647069.5</v>
      </c>
      <c r="O1086" s="1">
        <v>0</v>
      </c>
      <c r="P1086" s="1">
        <v>0</v>
      </c>
      <c r="Q1086" s="1">
        <v>0</v>
      </c>
      <c r="R1086" s="1">
        <v>6529519.5</v>
      </c>
      <c r="S1086" s="1">
        <v>1400450</v>
      </c>
      <c r="T1086" s="1">
        <v>23.807257180257</v>
      </c>
      <c r="U1086" t="str">
        <f t="shared" si="16"/>
        <v>Week 1</v>
      </c>
    </row>
    <row r="1087" spans="1:21" x14ac:dyDescent="0.25">
      <c r="A1087" s="1">
        <v>1086</v>
      </c>
      <c r="B1087" s="1" t="s">
        <v>974</v>
      </c>
      <c r="C1087" s="2">
        <v>46060</v>
      </c>
      <c r="D1087" s="1" t="s">
        <v>98</v>
      </c>
      <c r="E1087" s="1" t="s">
        <v>99</v>
      </c>
      <c r="F1087" s="1" t="s">
        <v>23</v>
      </c>
      <c r="G1087" s="1" t="s">
        <v>24</v>
      </c>
      <c r="H1087" s="1">
        <v>1</v>
      </c>
      <c r="I1087" s="1" t="s">
        <v>975</v>
      </c>
      <c r="J1087" s="1"/>
      <c r="K1087" s="1">
        <v>18765000</v>
      </c>
      <c r="L1087" s="1">
        <v>0</v>
      </c>
      <c r="M1087" s="1">
        <v>0</v>
      </c>
      <c r="N1087" s="1">
        <v>2064150</v>
      </c>
      <c r="O1087" s="1">
        <v>0</v>
      </c>
      <c r="P1087" s="1">
        <v>0</v>
      </c>
      <c r="Q1087" s="1">
        <v>0</v>
      </c>
      <c r="R1087" s="1">
        <v>20829150</v>
      </c>
      <c r="S1087" s="1">
        <v>4829838.74</v>
      </c>
      <c r="T1087" s="1">
        <v>25.738549107381001</v>
      </c>
      <c r="U1087" t="str">
        <f t="shared" si="16"/>
        <v>Week 1</v>
      </c>
    </row>
    <row r="1088" spans="1:21" x14ac:dyDescent="0.25">
      <c r="A1088" s="1">
        <v>1087</v>
      </c>
      <c r="B1088" s="1" t="s">
        <v>976</v>
      </c>
      <c r="C1088" s="2">
        <v>46060</v>
      </c>
      <c r="D1088" s="1" t="s">
        <v>28</v>
      </c>
      <c r="E1088" s="1" t="s">
        <v>203</v>
      </c>
      <c r="F1088" s="1" t="s">
        <v>23</v>
      </c>
      <c r="G1088" s="1" t="s">
        <v>24</v>
      </c>
      <c r="H1088" s="1">
        <v>1</v>
      </c>
      <c r="I1088" s="1" t="s">
        <v>977</v>
      </c>
      <c r="J1088" s="1" t="s">
        <v>26</v>
      </c>
      <c r="K1088" s="1">
        <v>36375250</v>
      </c>
      <c r="L1088" s="1">
        <v>0</v>
      </c>
      <c r="M1088" s="1">
        <v>0</v>
      </c>
      <c r="N1088" s="1">
        <v>4001277.5</v>
      </c>
      <c r="O1088" s="1">
        <v>0</v>
      </c>
      <c r="P1088" s="1">
        <v>0</v>
      </c>
      <c r="Q1088" s="1">
        <v>0</v>
      </c>
      <c r="R1088" s="1">
        <v>40376527.5</v>
      </c>
      <c r="S1088" s="1">
        <v>6585250</v>
      </c>
      <c r="T1088" s="1">
        <v>18.103655644978002</v>
      </c>
      <c r="U1088" t="str">
        <f t="shared" si="16"/>
        <v>Week 1</v>
      </c>
    </row>
    <row r="1089" spans="1:21" x14ac:dyDescent="0.25">
      <c r="A1089" s="1">
        <v>1088</v>
      </c>
      <c r="B1089" s="1" t="s">
        <v>978</v>
      </c>
      <c r="C1089" s="2">
        <v>46060</v>
      </c>
      <c r="D1089" s="1" t="s">
        <v>28</v>
      </c>
      <c r="E1089" s="1" t="s">
        <v>203</v>
      </c>
      <c r="F1089" s="1" t="s">
        <v>23</v>
      </c>
      <c r="G1089" s="1" t="s">
        <v>24</v>
      </c>
      <c r="H1089" s="1">
        <v>1</v>
      </c>
      <c r="I1089" s="1" t="s">
        <v>979</v>
      </c>
      <c r="J1089" s="1" t="s">
        <v>26</v>
      </c>
      <c r="K1089" s="1">
        <v>14625000</v>
      </c>
      <c r="L1089" s="1">
        <v>0</v>
      </c>
      <c r="M1089" s="1">
        <v>0</v>
      </c>
      <c r="N1089" s="1">
        <v>1608750</v>
      </c>
      <c r="O1089" s="1">
        <v>0</v>
      </c>
      <c r="P1089" s="1">
        <v>0</v>
      </c>
      <c r="Q1089" s="1">
        <v>0</v>
      </c>
      <c r="R1089" s="1">
        <v>16233750</v>
      </c>
      <c r="S1089" s="1">
        <v>2925000</v>
      </c>
      <c r="T1089" s="1">
        <v>20</v>
      </c>
      <c r="U1089" t="str">
        <f t="shared" si="16"/>
        <v>Week 1</v>
      </c>
    </row>
    <row r="1090" spans="1:21" x14ac:dyDescent="0.25">
      <c r="A1090" s="1">
        <v>1089</v>
      </c>
      <c r="B1090" s="1" t="s">
        <v>980</v>
      </c>
      <c r="C1090" s="2">
        <v>46060</v>
      </c>
      <c r="D1090" s="1" t="s">
        <v>28</v>
      </c>
      <c r="E1090" s="1" t="s">
        <v>203</v>
      </c>
      <c r="F1090" s="1" t="s">
        <v>23</v>
      </c>
      <c r="G1090" s="1" t="s">
        <v>24</v>
      </c>
      <c r="H1090" s="1">
        <v>1</v>
      </c>
      <c r="I1090" s="1" t="s">
        <v>981</v>
      </c>
      <c r="J1090" s="1" t="s">
        <v>26</v>
      </c>
      <c r="K1090" s="1">
        <v>20796000</v>
      </c>
      <c r="L1090" s="1">
        <v>0</v>
      </c>
      <c r="M1090" s="1">
        <v>0</v>
      </c>
      <c r="N1090" s="1">
        <v>2287560</v>
      </c>
      <c r="O1090" s="1">
        <v>0</v>
      </c>
      <c r="P1090" s="1">
        <v>0</v>
      </c>
      <c r="Q1090" s="1">
        <v>0</v>
      </c>
      <c r="R1090" s="1">
        <v>23083560</v>
      </c>
      <c r="S1090" s="1">
        <v>3221000</v>
      </c>
      <c r="T1090" s="1">
        <v>15.488555491441</v>
      </c>
      <c r="U1090" t="str">
        <f t="shared" si="16"/>
        <v>Week 1</v>
      </c>
    </row>
    <row r="1091" spans="1:21" x14ac:dyDescent="0.25">
      <c r="A1091" s="1">
        <v>1090</v>
      </c>
      <c r="B1091" s="1" t="s">
        <v>982</v>
      </c>
      <c r="C1091" s="2">
        <v>46060</v>
      </c>
      <c r="D1091" s="1" t="s">
        <v>98</v>
      </c>
      <c r="E1091" s="1" t="s">
        <v>99</v>
      </c>
      <c r="F1091" s="1" t="s">
        <v>23</v>
      </c>
      <c r="G1091" s="1" t="s">
        <v>24</v>
      </c>
      <c r="H1091" s="1">
        <v>1</v>
      </c>
      <c r="I1091" s="1" t="s">
        <v>983</v>
      </c>
      <c r="J1091" s="1"/>
      <c r="K1091" s="1">
        <v>12130000</v>
      </c>
      <c r="L1091" s="1">
        <v>0</v>
      </c>
      <c r="M1091" s="1">
        <v>0</v>
      </c>
      <c r="N1091" s="1">
        <v>1334300</v>
      </c>
      <c r="O1091" s="1">
        <v>0</v>
      </c>
      <c r="P1091" s="1">
        <v>0</v>
      </c>
      <c r="Q1091" s="1">
        <v>0</v>
      </c>
      <c r="R1091" s="1">
        <v>13464300</v>
      </c>
      <c r="S1091" s="1">
        <v>3426756.7567568002</v>
      </c>
      <c r="T1091" s="1">
        <v>28.250261803436</v>
      </c>
      <c r="U1091" t="str">
        <f t="shared" ref="U1091:U1154" si="17">"Week "&amp;IF(DAY(C1091)&gt;=24,4,INT((DAY(C1091)-1)/7)+1)</f>
        <v>Week 1</v>
      </c>
    </row>
    <row r="1092" spans="1:21" x14ac:dyDescent="0.25">
      <c r="A1092" s="1">
        <v>1091</v>
      </c>
      <c r="B1092" s="1" t="s">
        <v>984</v>
      </c>
      <c r="C1092" s="2">
        <v>46060</v>
      </c>
      <c r="D1092" s="1" t="s">
        <v>33</v>
      </c>
      <c r="E1092" s="1" t="s">
        <v>38</v>
      </c>
      <c r="F1092" s="1" t="s">
        <v>30</v>
      </c>
      <c r="G1092" s="1" t="s">
        <v>24</v>
      </c>
      <c r="H1092" s="1">
        <v>1</v>
      </c>
      <c r="I1092" s="1" t="s">
        <v>985</v>
      </c>
      <c r="J1092" s="1"/>
      <c r="K1092" s="1">
        <v>7142975</v>
      </c>
      <c r="L1092" s="1">
        <v>0</v>
      </c>
      <c r="M1092" s="1">
        <v>0</v>
      </c>
      <c r="N1092" s="1">
        <v>785727.25</v>
      </c>
      <c r="O1092" s="1">
        <v>0</v>
      </c>
      <c r="P1092" s="1">
        <v>0</v>
      </c>
      <c r="Q1092" s="1">
        <v>0</v>
      </c>
      <c r="R1092" s="1">
        <v>7928702.25</v>
      </c>
      <c r="S1092" s="1">
        <v>1367975</v>
      </c>
      <c r="T1092" s="1">
        <v>19.151334002989</v>
      </c>
      <c r="U1092" t="str">
        <f t="shared" si="17"/>
        <v>Week 1</v>
      </c>
    </row>
    <row r="1093" spans="1:21" x14ac:dyDescent="0.25">
      <c r="A1093" s="1">
        <v>1092</v>
      </c>
      <c r="B1093" s="1" t="s">
        <v>986</v>
      </c>
      <c r="C1093" s="2">
        <v>46060</v>
      </c>
      <c r="D1093" s="1" t="s">
        <v>21</v>
      </c>
      <c r="E1093" s="1" t="s">
        <v>22</v>
      </c>
      <c r="F1093" s="1" t="s">
        <v>30</v>
      </c>
      <c r="G1093" s="1" t="s">
        <v>24</v>
      </c>
      <c r="H1093" s="1">
        <v>1</v>
      </c>
      <c r="I1093" s="1" t="s">
        <v>987</v>
      </c>
      <c r="J1093" s="1" t="s">
        <v>26</v>
      </c>
      <c r="K1093" s="1">
        <v>4700000</v>
      </c>
      <c r="L1093" s="1">
        <v>0</v>
      </c>
      <c r="M1093" s="1">
        <v>0</v>
      </c>
      <c r="N1093" s="1">
        <v>517000</v>
      </c>
      <c r="O1093" s="1">
        <v>0</v>
      </c>
      <c r="P1093" s="1">
        <v>0</v>
      </c>
      <c r="Q1093" s="1">
        <v>0</v>
      </c>
      <c r="R1093" s="1">
        <v>5217000</v>
      </c>
      <c r="S1093" s="1">
        <v>700000</v>
      </c>
      <c r="T1093" s="1">
        <v>14.893617021277</v>
      </c>
      <c r="U1093" t="str">
        <f t="shared" si="17"/>
        <v>Week 1</v>
      </c>
    </row>
    <row r="1094" spans="1:21" x14ac:dyDescent="0.25">
      <c r="A1094" s="1">
        <v>1093</v>
      </c>
      <c r="B1094" s="1" t="s">
        <v>988</v>
      </c>
      <c r="C1094" s="2">
        <v>46060</v>
      </c>
      <c r="D1094" s="1" t="s">
        <v>33</v>
      </c>
      <c r="E1094" s="1" t="s">
        <v>38</v>
      </c>
      <c r="F1094" s="1" t="s">
        <v>23</v>
      </c>
      <c r="G1094" s="1" t="s">
        <v>24</v>
      </c>
      <c r="H1094" s="1">
        <v>1</v>
      </c>
      <c r="I1094" s="1" t="s">
        <v>989</v>
      </c>
      <c r="J1094" s="1"/>
      <c r="K1094" s="1">
        <v>2952000</v>
      </c>
      <c r="L1094" s="1">
        <v>0</v>
      </c>
      <c r="M1094" s="1">
        <v>0</v>
      </c>
      <c r="N1094" s="1">
        <v>324720</v>
      </c>
      <c r="O1094" s="1">
        <v>0</v>
      </c>
      <c r="P1094" s="1">
        <v>0</v>
      </c>
      <c r="Q1094" s="1">
        <v>0</v>
      </c>
      <c r="R1094" s="1">
        <v>3276720</v>
      </c>
      <c r="S1094" s="1">
        <v>1210000</v>
      </c>
      <c r="T1094" s="1">
        <v>40.989159891599002</v>
      </c>
      <c r="U1094" t="str">
        <f t="shared" si="17"/>
        <v>Week 1</v>
      </c>
    </row>
    <row r="1095" spans="1:21" x14ac:dyDescent="0.25">
      <c r="A1095" s="1">
        <v>1094</v>
      </c>
      <c r="B1095" s="1" t="s">
        <v>990</v>
      </c>
      <c r="C1095" s="2">
        <v>46060</v>
      </c>
      <c r="D1095" s="1" t="s">
        <v>248</v>
      </c>
      <c r="E1095" s="1" t="s">
        <v>116</v>
      </c>
      <c r="F1095" s="1" t="s">
        <v>23</v>
      </c>
      <c r="G1095" s="1" t="s">
        <v>24</v>
      </c>
      <c r="H1095" s="1">
        <v>1</v>
      </c>
      <c r="I1095" s="1" t="s">
        <v>991</v>
      </c>
      <c r="J1095" s="1" t="s">
        <v>26</v>
      </c>
      <c r="K1095" s="1">
        <v>7210000</v>
      </c>
      <c r="L1095" s="1">
        <v>0</v>
      </c>
      <c r="M1095" s="1">
        <v>0</v>
      </c>
      <c r="N1095" s="1">
        <v>793100</v>
      </c>
      <c r="O1095" s="1">
        <v>0</v>
      </c>
      <c r="P1095" s="1">
        <v>0</v>
      </c>
      <c r="Q1095" s="1">
        <v>0</v>
      </c>
      <c r="R1095" s="1">
        <v>8003100</v>
      </c>
      <c r="S1095" s="1">
        <v>3493000</v>
      </c>
      <c r="T1095" s="1">
        <v>48.446601941748</v>
      </c>
      <c r="U1095" t="str">
        <f t="shared" si="17"/>
        <v>Week 1</v>
      </c>
    </row>
    <row r="1096" spans="1:21" x14ac:dyDescent="0.25">
      <c r="A1096" s="1">
        <v>1095</v>
      </c>
      <c r="B1096" s="1" t="s">
        <v>992</v>
      </c>
      <c r="C1096" s="2">
        <v>46059</v>
      </c>
      <c r="D1096" s="1" t="s">
        <v>248</v>
      </c>
      <c r="E1096" s="1" t="s">
        <v>116</v>
      </c>
      <c r="F1096" s="1" t="s">
        <v>23</v>
      </c>
      <c r="G1096" s="1" t="s">
        <v>24</v>
      </c>
      <c r="H1096" s="1">
        <v>1</v>
      </c>
      <c r="I1096" s="1" t="s">
        <v>993</v>
      </c>
      <c r="J1096" s="1" t="s">
        <v>26</v>
      </c>
      <c r="K1096" s="1">
        <v>10365300</v>
      </c>
      <c r="L1096" s="1">
        <v>0</v>
      </c>
      <c r="M1096" s="1">
        <v>0</v>
      </c>
      <c r="N1096" s="1">
        <v>1140183</v>
      </c>
      <c r="O1096" s="1">
        <v>0</v>
      </c>
      <c r="P1096" s="1">
        <v>0</v>
      </c>
      <c r="Q1096" s="1">
        <v>0</v>
      </c>
      <c r="R1096" s="1">
        <v>11505483</v>
      </c>
      <c r="S1096" s="1">
        <v>4271245.8899999997</v>
      </c>
      <c r="T1096" s="1">
        <v>41.207161297791998</v>
      </c>
      <c r="U1096" t="str">
        <f t="shared" si="17"/>
        <v>Week 1</v>
      </c>
    </row>
    <row r="1097" spans="1:21" x14ac:dyDescent="0.25">
      <c r="A1097" s="1">
        <v>1096</v>
      </c>
      <c r="B1097" s="1" t="s">
        <v>994</v>
      </c>
      <c r="C1097" s="2">
        <v>46059</v>
      </c>
      <c r="D1097" s="1" t="s">
        <v>432</v>
      </c>
      <c r="E1097" s="1" t="s">
        <v>116</v>
      </c>
      <c r="F1097" s="1" t="s">
        <v>23</v>
      </c>
      <c r="G1097" s="1" t="s">
        <v>24</v>
      </c>
      <c r="H1097" s="1">
        <v>1</v>
      </c>
      <c r="I1097" s="1" t="s">
        <v>995</v>
      </c>
      <c r="J1097" s="1" t="s">
        <v>26</v>
      </c>
      <c r="K1097" s="1">
        <v>38300000</v>
      </c>
      <c r="L1097" s="1">
        <v>0</v>
      </c>
      <c r="M1097" s="1">
        <v>0</v>
      </c>
      <c r="N1097" s="1">
        <v>4213000</v>
      </c>
      <c r="O1097" s="1">
        <v>0</v>
      </c>
      <c r="P1097" s="1">
        <v>0</v>
      </c>
      <c r="Q1097" s="1">
        <v>0</v>
      </c>
      <c r="R1097" s="1">
        <v>42513000</v>
      </c>
      <c r="S1097" s="1">
        <v>7000000</v>
      </c>
      <c r="T1097" s="1">
        <v>18.276762402088998</v>
      </c>
      <c r="U1097" t="str">
        <f t="shared" si="17"/>
        <v>Week 1</v>
      </c>
    </row>
    <row r="1098" spans="1:21" x14ac:dyDescent="0.25">
      <c r="A1098" s="1">
        <v>1097</v>
      </c>
      <c r="B1098" s="1" t="s">
        <v>996</v>
      </c>
      <c r="C1098" s="2">
        <v>46059</v>
      </c>
      <c r="D1098" s="1" t="s">
        <v>53</v>
      </c>
      <c r="E1098" s="1" t="s">
        <v>54</v>
      </c>
      <c r="F1098" s="1" t="s">
        <v>23</v>
      </c>
      <c r="G1098" s="1" t="s">
        <v>24</v>
      </c>
      <c r="H1098" s="1">
        <v>1</v>
      </c>
      <c r="I1098" s="1" t="s">
        <v>997</v>
      </c>
      <c r="J1098" s="1"/>
      <c r="K1098" s="1">
        <v>2848750</v>
      </c>
      <c r="L1098" s="1">
        <v>0</v>
      </c>
      <c r="M1098" s="1">
        <v>0</v>
      </c>
      <c r="N1098" s="1">
        <v>313362.5</v>
      </c>
      <c r="O1098" s="1">
        <v>0</v>
      </c>
      <c r="P1098" s="1">
        <v>0</v>
      </c>
      <c r="Q1098" s="1">
        <v>0</v>
      </c>
      <c r="R1098" s="1">
        <v>3162112.5</v>
      </c>
      <c r="S1098" s="1">
        <v>1194407.6576576999</v>
      </c>
      <c r="T1098" s="1">
        <v>41.927429843184001</v>
      </c>
      <c r="U1098" t="str">
        <f t="shared" si="17"/>
        <v>Week 1</v>
      </c>
    </row>
    <row r="1099" spans="1:21" x14ac:dyDescent="0.25">
      <c r="A1099" s="1">
        <v>1098</v>
      </c>
      <c r="B1099" s="1" t="s">
        <v>998</v>
      </c>
      <c r="C1099" s="2">
        <v>46059</v>
      </c>
      <c r="D1099" s="1" t="s">
        <v>28</v>
      </c>
      <c r="E1099" s="1" t="s">
        <v>29</v>
      </c>
      <c r="F1099" s="1" t="s">
        <v>23</v>
      </c>
      <c r="G1099" s="1" t="s">
        <v>24</v>
      </c>
      <c r="H1099" s="1">
        <v>1</v>
      </c>
      <c r="I1099" s="1" t="s">
        <v>198</v>
      </c>
      <c r="J1099" s="1"/>
      <c r="K1099" s="1">
        <v>1897012.5</v>
      </c>
      <c r="L1099" s="1">
        <v>0</v>
      </c>
      <c r="M1099" s="1">
        <v>0</v>
      </c>
      <c r="N1099" s="1">
        <v>208671.375</v>
      </c>
      <c r="O1099" s="1">
        <v>0</v>
      </c>
      <c r="P1099" s="1">
        <v>0</v>
      </c>
      <c r="Q1099" s="1">
        <v>0</v>
      </c>
      <c r="R1099" s="1">
        <v>2105683.875</v>
      </c>
      <c r="S1099" s="1">
        <v>1521642.5</v>
      </c>
      <c r="T1099" s="1">
        <v>80.212571082162</v>
      </c>
      <c r="U1099" t="str">
        <f t="shared" si="17"/>
        <v>Week 1</v>
      </c>
    </row>
    <row r="1100" spans="1:21" x14ac:dyDescent="0.25">
      <c r="A1100" s="1">
        <v>1099</v>
      </c>
      <c r="B1100" s="1" t="s">
        <v>2233</v>
      </c>
      <c r="C1100" s="2">
        <v>46059</v>
      </c>
      <c r="D1100" s="1" t="s">
        <v>2210</v>
      </c>
      <c r="E1100" s="1" t="s">
        <v>192</v>
      </c>
      <c r="F1100" s="1" t="s">
        <v>30</v>
      </c>
      <c r="G1100" s="1" t="s">
        <v>24</v>
      </c>
      <c r="H1100" s="1">
        <v>1</v>
      </c>
      <c r="I1100" s="1" t="s">
        <v>2234</v>
      </c>
      <c r="J1100" s="1"/>
      <c r="K1100" s="1">
        <v>13792092</v>
      </c>
      <c r="L1100" s="1">
        <v>0</v>
      </c>
      <c r="M1100" s="1">
        <v>0</v>
      </c>
      <c r="N1100" s="1">
        <v>1517130.12</v>
      </c>
      <c r="O1100" s="1">
        <v>0</v>
      </c>
      <c r="P1100" s="1">
        <v>0</v>
      </c>
      <c r="Q1100" s="1">
        <v>0</v>
      </c>
      <c r="R1100" s="1">
        <v>15309222.119999999</v>
      </c>
      <c r="S1100" s="1">
        <v>792092</v>
      </c>
      <c r="T1100" s="1">
        <v>5.7430881406534002</v>
      </c>
      <c r="U1100" t="str">
        <f t="shared" si="17"/>
        <v>Week 1</v>
      </c>
    </row>
    <row r="1101" spans="1:21" x14ac:dyDescent="0.25">
      <c r="A1101" s="1">
        <v>1100</v>
      </c>
      <c r="B1101" s="1" t="s">
        <v>2235</v>
      </c>
      <c r="C1101" s="2">
        <v>46059</v>
      </c>
      <c r="D1101" s="1" t="s">
        <v>2210</v>
      </c>
      <c r="E1101" s="1" t="s">
        <v>192</v>
      </c>
      <c r="F1101" s="1" t="s">
        <v>30</v>
      </c>
      <c r="G1101" s="1" t="s">
        <v>24</v>
      </c>
      <c r="H1101" s="1">
        <v>1</v>
      </c>
      <c r="I1101" s="1" t="s">
        <v>2236</v>
      </c>
      <c r="J1101" s="1" t="s">
        <v>56</v>
      </c>
      <c r="K1101" s="1">
        <v>193500000</v>
      </c>
      <c r="L1101" s="1">
        <v>0</v>
      </c>
      <c r="M1101" s="1">
        <v>0</v>
      </c>
      <c r="N1101" s="1">
        <v>21285000</v>
      </c>
      <c r="O1101" s="1">
        <v>0</v>
      </c>
      <c r="P1101" s="1">
        <v>0</v>
      </c>
      <c r="Q1101" s="1">
        <v>0</v>
      </c>
      <c r="R1101" s="1">
        <v>214785000</v>
      </c>
      <c r="S1101" s="1">
        <v>22500000</v>
      </c>
      <c r="T1101" s="1">
        <v>11.627906976744001</v>
      </c>
      <c r="U1101" t="str">
        <f t="shared" si="17"/>
        <v>Week 1</v>
      </c>
    </row>
    <row r="1102" spans="1:21" x14ac:dyDescent="0.25">
      <c r="A1102" s="1">
        <v>1101</v>
      </c>
      <c r="B1102" s="1" t="s">
        <v>999</v>
      </c>
      <c r="C1102" s="2">
        <v>46059</v>
      </c>
      <c r="D1102" s="1" t="s">
        <v>53</v>
      </c>
      <c r="E1102" s="1" t="s">
        <v>54</v>
      </c>
      <c r="F1102" s="1" t="s">
        <v>23</v>
      </c>
      <c r="G1102" s="1" t="s">
        <v>24</v>
      </c>
      <c r="H1102" s="1">
        <v>1</v>
      </c>
      <c r="I1102" s="1" t="s">
        <v>759</v>
      </c>
      <c r="J1102" s="1"/>
      <c r="K1102" s="1">
        <v>2200878</v>
      </c>
      <c r="L1102" s="1">
        <v>0</v>
      </c>
      <c r="M1102" s="1">
        <v>0</v>
      </c>
      <c r="N1102" s="1">
        <v>242096.58</v>
      </c>
      <c r="O1102" s="1">
        <v>0</v>
      </c>
      <c r="P1102" s="1">
        <v>0</v>
      </c>
      <c r="Q1102" s="1">
        <v>0</v>
      </c>
      <c r="R1102" s="1">
        <v>2442974.58</v>
      </c>
      <c r="S1102" s="1">
        <v>668175.30000000005</v>
      </c>
      <c r="T1102" s="1">
        <v>30.35948834965</v>
      </c>
      <c r="U1102" t="str">
        <f t="shared" si="17"/>
        <v>Week 1</v>
      </c>
    </row>
    <row r="1103" spans="1:21" x14ac:dyDescent="0.25">
      <c r="A1103" s="1">
        <v>1102</v>
      </c>
      <c r="B1103" s="1" t="s">
        <v>1000</v>
      </c>
      <c r="C1103" s="2">
        <v>46059</v>
      </c>
      <c r="D1103" s="1" t="s">
        <v>53</v>
      </c>
      <c r="E1103" s="1" t="s">
        <v>54</v>
      </c>
      <c r="F1103" s="1" t="s">
        <v>260</v>
      </c>
      <c r="G1103" s="1" t="s">
        <v>24</v>
      </c>
      <c r="H1103" s="1">
        <v>1</v>
      </c>
      <c r="I1103" s="1" t="s">
        <v>302</v>
      </c>
      <c r="J1103" s="1"/>
      <c r="K1103" s="1">
        <v>642373000</v>
      </c>
      <c r="L1103" s="1">
        <v>0</v>
      </c>
      <c r="M1103" s="1">
        <v>0</v>
      </c>
      <c r="N1103" s="1">
        <v>70661030</v>
      </c>
      <c r="O1103" s="1">
        <v>0</v>
      </c>
      <c r="P1103" s="1">
        <v>0</v>
      </c>
      <c r="Q1103" s="1">
        <v>0</v>
      </c>
      <c r="R1103" s="1">
        <v>713034030</v>
      </c>
      <c r="S1103" s="1">
        <v>131028000</v>
      </c>
      <c r="T1103" s="1">
        <v>20.397494913391</v>
      </c>
      <c r="U1103" t="str">
        <f t="shared" si="17"/>
        <v>Week 1</v>
      </c>
    </row>
    <row r="1104" spans="1:21" x14ac:dyDescent="0.25">
      <c r="A1104" s="1">
        <v>1103</v>
      </c>
      <c r="B1104" s="1" t="s">
        <v>1001</v>
      </c>
      <c r="C1104" s="2">
        <v>46059</v>
      </c>
      <c r="D1104" s="1" t="s">
        <v>202</v>
      </c>
      <c r="E1104" s="1" t="s">
        <v>203</v>
      </c>
      <c r="F1104" s="1" t="s">
        <v>23</v>
      </c>
      <c r="G1104" s="1" t="s">
        <v>24</v>
      </c>
      <c r="H1104" s="1">
        <v>1</v>
      </c>
      <c r="I1104" s="1" t="s">
        <v>1002</v>
      </c>
      <c r="J1104" s="1" t="s">
        <v>26</v>
      </c>
      <c r="K1104" s="1">
        <v>1723500</v>
      </c>
      <c r="L1104" s="1">
        <v>0</v>
      </c>
      <c r="M1104" s="1">
        <v>0</v>
      </c>
      <c r="N1104" s="1">
        <v>189585</v>
      </c>
      <c r="O1104" s="1">
        <v>0</v>
      </c>
      <c r="P1104" s="1">
        <v>0</v>
      </c>
      <c r="Q1104" s="1">
        <v>0</v>
      </c>
      <c r="R1104" s="1">
        <v>1913085</v>
      </c>
      <c r="S1104" s="1">
        <v>573049.5</v>
      </c>
      <c r="T1104" s="1">
        <v>33.249173194081997</v>
      </c>
      <c r="U1104" t="str">
        <f t="shared" si="17"/>
        <v>Week 1</v>
      </c>
    </row>
    <row r="1105" spans="1:21" x14ac:dyDescent="0.25">
      <c r="A1105" s="1">
        <v>1104</v>
      </c>
      <c r="B1105" s="1" t="s">
        <v>1003</v>
      </c>
      <c r="C1105" s="2">
        <v>46059</v>
      </c>
      <c r="D1105" s="1" t="s">
        <v>349</v>
      </c>
      <c r="E1105" s="1" t="s">
        <v>29</v>
      </c>
      <c r="F1105" s="1" t="s">
        <v>30</v>
      </c>
      <c r="G1105" s="1" t="s">
        <v>24</v>
      </c>
      <c r="H1105" s="1">
        <v>1</v>
      </c>
      <c r="I1105" s="1" t="s">
        <v>1004</v>
      </c>
      <c r="J1105" s="1"/>
      <c r="K1105" s="1">
        <v>160000</v>
      </c>
      <c r="L1105" s="1">
        <v>0</v>
      </c>
      <c r="M1105" s="1">
        <v>0</v>
      </c>
      <c r="N1105" s="1">
        <v>17600</v>
      </c>
      <c r="O1105" s="1">
        <v>0</v>
      </c>
      <c r="P1105" s="1">
        <v>0</v>
      </c>
      <c r="Q1105" s="1">
        <v>0</v>
      </c>
      <c r="R1105" s="1">
        <v>177600</v>
      </c>
      <c r="S1105" s="1">
        <v>60000</v>
      </c>
      <c r="T1105" s="1">
        <v>37.5</v>
      </c>
      <c r="U1105" t="str">
        <f t="shared" si="17"/>
        <v>Week 1</v>
      </c>
    </row>
    <row r="1106" spans="1:21" x14ac:dyDescent="0.25">
      <c r="A1106" s="1">
        <v>1105</v>
      </c>
      <c r="B1106" s="1" t="s">
        <v>1005</v>
      </c>
      <c r="C1106" s="2">
        <v>46059</v>
      </c>
      <c r="D1106" s="1" t="s">
        <v>28</v>
      </c>
      <c r="E1106" s="1" t="s">
        <v>29</v>
      </c>
      <c r="F1106" s="1" t="s">
        <v>23</v>
      </c>
      <c r="G1106" s="1" t="s">
        <v>24</v>
      </c>
      <c r="H1106" s="1">
        <v>1</v>
      </c>
      <c r="I1106" s="1" t="s">
        <v>198</v>
      </c>
      <c r="J1106" s="1"/>
      <c r="K1106" s="1">
        <v>1120000</v>
      </c>
      <c r="L1106" s="1">
        <v>0</v>
      </c>
      <c r="M1106" s="1">
        <v>0</v>
      </c>
      <c r="N1106" s="1">
        <v>123200</v>
      </c>
      <c r="O1106" s="1">
        <v>0</v>
      </c>
      <c r="P1106" s="1">
        <v>0</v>
      </c>
      <c r="Q1106" s="1">
        <v>0</v>
      </c>
      <c r="R1106" s="1">
        <v>1243200</v>
      </c>
      <c r="S1106" s="1">
        <v>329774</v>
      </c>
      <c r="T1106" s="1">
        <v>29.444107142857</v>
      </c>
      <c r="U1106" t="str">
        <f t="shared" si="17"/>
        <v>Week 1</v>
      </c>
    </row>
    <row r="1107" spans="1:21" x14ac:dyDescent="0.25">
      <c r="A1107" s="1">
        <v>1106</v>
      </c>
      <c r="B1107" s="1" t="s">
        <v>1006</v>
      </c>
      <c r="C1107" s="2">
        <v>46059</v>
      </c>
      <c r="D1107" s="1" t="s">
        <v>53</v>
      </c>
      <c r="E1107" s="1" t="s">
        <v>54</v>
      </c>
      <c r="F1107" s="1" t="s">
        <v>23</v>
      </c>
      <c r="G1107" s="1" t="s">
        <v>24</v>
      </c>
      <c r="H1107" s="1">
        <v>1</v>
      </c>
      <c r="I1107" s="1" t="s">
        <v>1007</v>
      </c>
      <c r="J1107" s="1"/>
      <c r="K1107" s="1">
        <v>3256756</v>
      </c>
      <c r="L1107" s="1">
        <v>0</v>
      </c>
      <c r="M1107" s="1">
        <v>0</v>
      </c>
      <c r="N1107" s="1">
        <v>0</v>
      </c>
      <c r="O1107" s="1">
        <v>0</v>
      </c>
      <c r="P1107" s="1">
        <v>0</v>
      </c>
      <c r="Q1107" s="1">
        <v>0</v>
      </c>
      <c r="R1107" s="1">
        <v>3256756</v>
      </c>
      <c r="S1107" s="1">
        <v>961350.6</v>
      </c>
      <c r="T1107" s="1">
        <v>29.518655987736999</v>
      </c>
      <c r="U1107" t="str">
        <f t="shared" si="17"/>
        <v>Week 1</v>
      </c>
    </row>
    <row r="1108" spans="1:21" x14ac:dyDescent="0.25">
      <c r="A1108" s="1">
        <v>1107</v>
      </c>
      <c r="B1108" s="1" t="s">
        <v>2237</v>
      </c>
      <c r="C1108" s="2">
        <v>46059</v>
      </c>
      <c r="D1108" s="1" t="s">
        <v>2210</v>
      </c>
      <c r="E1108" s="1" t="s">
        <v>192</v>
      </c>
      <c r="F1108" s="1" t="s">
        <v>30</v>
      </c>
      <c r="G1108" s="1" t="s">
        <v>24</v>
      </c>
      <c r="H1108" s="1">
        <v>1</v>
      </c>
      <c r="I1108" s="1" t="s">
        <v>2238</v>
      </c>
      <c r="J1108" s="1" t="s">
        <v>56</v>
      </c>
      <c r="K1108" s="1">
        <v>5100000</v>
      </c>
      <c r="L1108" s="1">
        <v>0</v>
      </c>
      <c r="M1108" s="1">
        <v>0</v>
      </c>
      <c r="N1108" s="1">
        <v>561000</v>
      </c>
      <c r="O1108" s="1">
        <v>0</v>
      </c>
      <c r="P1108" s="1">
        <v>0</v>
      </c>
      <c r="Q1108" s="1">
        <v>0</v>
      </c>
      <c r="R1108" s="1">
        <v>5661000</v>
      </c>
      <c r="S1108" s="1">
        <v>240000</v>
      </c>
      <c r="T1108" s="1">
        <v>4.7058823529411997</v>
      </c>
      <c r="U1108" t="str">
        <f t="shared" si="17"/>
        <v>Week 1</v>
      </c>
    </row>
    <row r="1109" spans="1:21" x14ac:dyDescent="0.25">
      <c r="A1109" s="1">
        <v>1108</v>
      </c>
      <c r="B1109" s="1" t="s">
        <v>1008</v>
      </c>
      <c r="C1109" s="2">
        <v>46059</v>
      </c>
      <c r="D1109" s="1" t="s">
        <v>53</v>
      </c>
      <c r="E1109" s="1" t="s">
        <v>54</v>
      </c>
      <c r="F1109" s="1" t="s">
        <v>23</v>
      </c>
      <c r="G1109" s="1" t="s">
        <v>24</v>
      </c>
      <c r="H1109" s="1">
        <v>1</v>
      </c>
      <c r="I1109" s="1" t="s">
        <v>1009</v>
      </c>
      <c r="J1109" s="1"/>
      <c r="K1109" s="1">
        <v>2500000</v>
      </c>
      <c r="L1109" s="1">
        <v>0</v>
      </c>
      <c r="M1109" s="1">
        <v>0</v>
      </c>
      <c r="N1109" s="1">
        <v>275000</v>
      </c>
      <c r="O1109" s="1">
        <v>0</v>
      </c>
      <c r="P1109" s="1">
        <v>0</v>
      </c>
      <c r="Q1109" s="1">
        <v>0</v>
      </c>
      <c r="R1109" s="1">
        <v>2775000</v>
      </c>
      <c r="S1109" s="1">
        <v>908108.11</v>
      </c>
      <c r="T1109" s="1">
        <v>36.324324400000002</v>
      </c>
      <c r="U1109" t="str">
        <f t="shared" si="17"/>
        <v>Week 1</v>
      </c>
    </row>
    <row r="1110" spans="1:21" x14ac:dyDescent="0.25">
      <c r="A1110" s="1">
        <v>1109</v>
      </c>
      <c r="B1110" s="1" t="s">
        <v>1010</v>
      </c>
      <c r="C1110" s="2">
        <v>46059</v>
      </c>
      <c r="D1110" s="1" t="s">
        <v>53</v>
      </c>
      <c r="E1110" s="1" t="s">
        <v>54</v>
      </c>
      <c r="F1110" s="1" t="s">
        <v>23</v>
      </c>
      <c r="G1110" s="1" t="s">
        <v>24</v>
      </c>
      <c r="H1110" s="1">
        <v>1</v>
      </c>
      <c r="I1110" s="1" t="s">
        <v>1009</v>
      </c>
      <c r="J1110" s="1"/>
      <c r="K1110" s="1">
        <v>85695835</v>
      </c>
      <c r="L1110" s="1">
        <v>0</v>
      </c>
      <c r="M1110" s="1">
        <v>0</v>
      </c>
      <c r="N1110" s="1">
        <v>0</v>
      </c>
      <c r="O1110" s="1">
        <v>0</v>
      </c>
      <c r="P1110" s="1">
        <v>0</v>
      </c>
      <c r="Q1110" s="1">
        <v>0</v>
      </c>
      <c r="R1110" s="1">
        <v>85695835</v>
      </c>
      <c r="S1110" s="1">
        <v>19199609.140000001</v>
      </c>
      <c r="T1110" s="1">
        <v>22.404366723307</v>
      </c>
      <c r="U1110" t="str">
        <f t="shared" si="17"/>
        <v>Week 1</v>
      </c>
    </row>
    <row r="1111" spans="1:21" x14ac:dyDescent="0.25">
      <c r="A1111" s="1">
        <v>1110</v>
      </c>
      <c r="B1111" s="1" t="s">
        <v>1011</v>
      </c>
      <c r="C1111" s="2">
        <v>46059</v>
      </c>
      <c r="D1111" s="1" t="s">
        <v>53</v>
      </c>
      <c r="E1111" s="1" t="s">
        <v>54</v>
      </c>
      <c r="F1111" s="1" t="s">
        <v>23</v>
      </c>
      <c r="G1111" s="1" t="s">
        <v>24</v>
      </c>
      <c r="H1111" s="1">
        <v>1</v>
      </c>
      <c r="I1111" s="1" t="s">
        <v>759</v>
      </c>
      <c r="J1111" s="1"/>
      <c r="K1111" s="1">
        <v>915000</v>
      </c>
      <c r="L1111" s="1">
        <v>0</v>
      </c>
      <c r="M1111" s="1">
        <v>0</v>
      </c>
      <c r="N1111" s="1">
        <v>100650</v>
      </c>
      <c r="O1111" s="1">
        <v>0</v>
      </c>
      <c r="P1111" s="1">
        <v>0</v>
      </c>
      <c r="Q1111" s="1">
        <v>0</v>
      </c>
      <c r="R1111" s="1">
        <v>1015650</v>
      </c>
      <c r="S1111" s="1">
        <v>405000</v>
      </c>
      <c r="T1111" s="1">
        <v>44.262295081966997</v>
      </c>
      <c r="U1111" t="str">
        <f t="shared" si="17"/>
        <v>Week 1</v>
      </c>
    </row>
    <row r="1112" spans="1:21" x14ac:dyDescent="0.25">
      <c r="A1112" s="1">
        <v>1111</v>
      </c>
      <c r="B1112" s="1" t="s">
        <v>1012</v>
      </c>
      <c r="C1112" s="2">
        <v>46058</v>
      </c>
      <c r="D1112" s="1" t="s">
        <v>53</v>
      </c>
      <c r="E1112" s="1" t="s">
        <v>54</v>
      </c>
      <c r="F1112" s="1" t="s">
        <v>39</v>
      </c>
      <c r="G1112" s="1" t="s">
        <v>24</v>
      </c>
      <c r="H1112" s="1">
        <v>1</v>
      </c>
      <c r="I1112" s="1" t="s">
        <v>1013</v>
      </c>
      <c r="J1112" s="1"/>
      <c r="K1112" s="1">
        <v>3571066</v>
      </c>
      <c r="L1112" s="1">
        <v>0</v>
      </c>
      <c r="M1112" s="1">
        <v>0</v>
      </c>
      <c r="N1112" s="1">
        <v>392817.26</v>
      </c>
      <c r="O1112" s="1">
        <v>0</v>
      </c>
      <c r="P1112" s="1">
        <v>0</v>
      </c>
      <c r="Q1112" s="1">
        <v>0</v>
      </c>
      <c r="R1112" s="1">
        <v>3963883.26</v>
      </c>
      <c r="S1112" s="1">
        <v>1616921.85586</v>
      </c>
      <c r="T1112" s="1">
        <v>45.278408628123998</v>
      </c>
      <c r="U1112" t="str">
        <f t="shared" si="17"/>
        <v>Week 1</v>
      </c>
    </row>
    <row r="1113" spans="1:21" x14ac:dyDescent="0.25">
      <c r="A1113" s="1">
        <v>1112</v>
      </c>
      <c r="B1113" s="1" t="s">
        <v>1014</v>
      </c>
      <c r="C1113" s="2">
        <v>46058</v>
      </c>
      <c r="D1113" s="1" t="s">
        <v>2979</v>
      </c>
      <c r="E1113" s="1" t="s">
        <v>203</v>
      </c>
      <c r="F1113" s="1" t="s">
        <v>23</v>
      </c>
      <c r="G1113" s="1" t="s">
        <v>24</v>
      </c>
      <c r="H1113" s="1">
        <v>1</v>
      </c>
      <c r="I1113" s="1" t="s">
        <v>1015</v>
      </c>
      <c r="J1113" s="1" t="s">
        <v>26</v>
      </c>
      <c r="K1113" s="1">
        <v>40768315.675676003</v>
      </c>
      <c r="L1113" s="1">
        <v>0</v>
      </c>
      <c r="M1113" s="1">
        <v>0</v>
      </c>
      <c r="N1113" s="1">
        <v>4484514.7243243</v>
      </c>
      <c r="O1113" s="1">
        <v>0</v>
      </c>
      <c r="P1113" s="1">
        <v>0</v>
      </c>
      <c r="Q1113" s="1">
        <v>0</v>
      </c>
      <c r="R1113" s="1">
        <v>45252830.399999999</v>
      </c>
      <c r="S1113" s="1">
        <v>5907811.1711712005</v>
      </c>
      <c r="T1113" s="1">
        <v>14.491182854277</v>
      </c>
      <c r="U1113" t="str">
        <f t="shared" si="17"/>
        <v>Week 1</v>
      </c>
    </row>
    <row r="1114" spans="1:21" x14ac:dyDescent="0.25">
      <c r="A1114" s="1">
        <v>1113</v>
      </c>
      <c r="B1114" s="1" t="s">
        <v>1016</v>
      </c>
      <c r="C1114" s="2">
        <v>46058</v>
      </c>
      <c r="D1114" s="1" t="s">
        <v>98</v>
      </c>
      <c r="E1114" s="1" t="s">
        <v>99</v>
      </c>
      <c r="F1114" s="1" t="s">
        <v>23</v>
      </c>
      <c r="G1114" s="1" t="s">
        <v>24</v>
      </c>
      <c r="H1114" s="1">
        <v>1</v>
      </c>
      <c r="I1114" s="1" t="s">
        <v>724</v>
      </c>
      <c r="J1114" s="1"/>
      <c r="K1114" s="1">
        <v>26930500</v>
      </c>
      <c r="L1114" s="1">
        <v>0</v>
      </c>
      <c r="M1114" s="1">
        <v>0</v>
      </c>
      <c r="N1114" s="1">
        <v>2962355</v>
      </c>
      <c r="O1114" s="1">
        <v>0</v>
      </c>
      <c r="P1114" s="1">
        <v>0</v>
      </c>
      <c r="Q1114" s="1">
        <v>0</v>
      </c>
      <c r="R1114" s="1">
        <v>29892855</v>
      </c>
      <c r="S1114" s="1">
        <v>8484049.4600000009</v>
      </c>
      <c r="T1114" s="1">
        <v>31.503497744193002</v>
      </c>
      <c r="U1114" t="str">
        <f t="shared" si="17"/>
        <v>Week 1</v>
      </c>
    </row>
    <row r="1115" spans="1:21" x14ac:dyDescent="0.25">
      <c r="A1115" s="1">
        <v>1114</v>
      </c>
      <c r="B1115" s="1" t="s">
        <v>1017</v>
      </c>
      <c r="C1115" s="2">
        <v>46058</v>
      </c>
      <c r="D1115" s="1" t="s">
        <v>53</v>
      </c>
      <c r="E1115" s="1" t="s">
        <v>54</v>
      </c>
      <c r="F1115" s="1" t="s">
        <v>23</v>
      </c>
      <c r="G1115" s="1" t="s">
        <v>24</v>
      </c>
      <c r="H1115" s="1">
        <v>1</v>
      </c>
      <c r="I1115" s="1" t="s">
        <v>1018</v>
      </c>
      <c r="J1115" s="1"/>
      <c r="K1115" s="1">
        <v>3728965</v>
      </c>
      <c r="L1115" s="1">
        <v>0</v>
      </c>
      <c r="M1115" s="1">
        <v>0</v>
      </c>
      <c r="N1115" s="1">
        <v>410186.15</v>
      </c>
      <c r="O1115" s="1">
        <v>0</v>
      </c>
      <c r="P1115" s="1">
        <v>0</v>
      </c>
      <c r="Q1115" s="1">
        <v>0</v>
      </c>
      <c r="R1115" s="1">
        <v>4139151.15</v>
      </c>
      <c r="S1115" s="1">
        <v>1214865</v>
      </c>
      <c r="T1115" s="1">
        <v>32.579147296903997</v>
      </c>
      <c r="U1115" t="str">
        <f t="shared" si="17"/>
        <v>Week 1</v>
      </c>
    </row>
    <row r="1116" spans="1:21" x14ac:dyDescent="0.25">
      <c r="A1116" s="1">
        <v>1115</v>
      </c>
      <c r="B1116" s="1" t="s">
        <v>2239</v>
      </c>
      <c r="C1116" s="2">
        <v>46058</v>
      </c>
      <c r="D1116" s="1" t="s">
        <v>2210</v>
      </c>
      <c r="E1116" s="1" t="s">
        <v>192</v>
      </c>
      <c r="F1116" s="1" t="s">
        <v>23</v>
      </c>
      <c r="G1116" s="1" t="s">
        <v>24</v>
      </c>
      <c r="H1116" s="1">
        <v>1</v>
      </c>
      <c r="I1116" s="1" t="s">
        <v>2240</v>
      </c>
      <c r="J1116" s="1" t="s">
        <v>56</v>
      </c>
      <c r="K1116" s="1">
        <v>54523242</v>
      </c>
      <c r="L1116" s="1">
        <v>0</v>
      </c>
      <c r="M1116" s="1">
        <v>0</v>
      </c>
      <c r="N1116" s="1">
        <v>5997556.6200000001</v>
      </c>
      <c r="O1116" s="1">
        <v>0</v>
      </c>
      <c r="P1116" s="1">
        <v>0</v>
      </c>
      <c r="Q1116" s="1">
        <v>0</v>
      </c>
      <c r="R1116" s="1">
        <v>60520798.619999997</v>
      </c>
      <c r="S1116" s="1">
        <v>7633242</v>
      </c>
      <c r="T1116" s="1">
        <v>13.999978211127001</v>
      </c>
      <c r="U1116" t="str">
        <f t="shared" si="17"/>
        <v>Week 1</v>
      </c>
    </row>
    <row r="1117" spans="1:21" x14ac:dyDescent="0.25">
      <c r="A1117" s="1">
        <v>1116</v>
      </c>
      <c r="B1117" s="1" t="s">
        <v>1019</v>
      </c>
      <c r="C1117" s="2">
        <v>46058</v>
      </c>
      <c r="D1117" s="1" t="s">
        <v>98</v>
      </c>
      <c r="E1117" s="1" t="s">
        <v>99</v>
      </c>
      <c r="F1117" s="1" t="s">
        <v>260</v>
      </c>
      <c r="G1117" s="1" t="s">
        <v>24</v>
      </c>
      <c r="H1117" s="1">
        <v>1</v>
      </c>
      <c r="I1117" s="1" t="s">
        <v>729</v>
      </c>
      <c r="J1117" s="1"/>
      <c r="K1117" s="1">
        <v>70968500</v>
      </c>
      <c r="L1117" s="1">
        <v>0</v>
      </c>
      <c r="M1117" s="1">
        <v>0</v>
      </c>
      <c r="N1117" s="1">
        <v>7806535</v>
      </c>
      <c r="O1117" s="1">
        <v>0</v>
      </c>
      <c r="P1117" s="1">
        <v>0</v>
      </c>
      <c r="Q1117" s="1">
        <v>0</v>
      </c>
      <c r="R1117" s="1">
        <v>78775035</v>
      </c>
      <c r="S1117" s="1">
        <v>16508617.111351</v>
      </c>
      <c r="T1117" s="1">
        <v>23.261893813947999</v>
      </c>
      <c r="U1117" t="str">
        <f t="shared" si="17"/>
        <v>Week 1</v>
      </c>
    </row>
    <row r="1118" spans="1:21" x14ac:dyDescent="0.25">
      <c r="A1118" s="1">
        <v>1117</v>
      </c>
      <c r="B1118" s="1" t="s">
        <v>1020</v>
      </c>
      <c r="C1118" s="2">
        <v>46058</v>
      </c>
      <c r="D1118" s="1" t="s">
        <v>37</v>
      </c>
      <c r="E1118" s="1" t="s">
        <v>38</v>
      </c>
      <c r="F1118" s="1" t="s">
        <v>30</v>
      </c>
      <c r="G1118" s="1" t="s">
        <v>24</v>
      </c>
      <c r="H1118" s="1">
        <v>1</v>
      </c>
      <c r="I1118" s="1" t="s">
        <v>762</v>
      </c>
      <c r="J1118" s="1"/>
      <c r="K1118" s="1">
        <v>562570</v>
      </c>
      <c r="L1118" s="1">
        <v>0</v>
      </c>
      <c r="M1118" s="1">
        <v>0</v>
      </c>
      <c r="N1118" s="1">
        <v>61882.7</v>
      </c>
      <c r="O1118" s="1">
        <v>0</v>
      </c>
      <c r="P1118" s="1">
        <v>0</v>
      </c>
      <c r="Q1118" s="1">
        <v>0</v>
      </c>
      <c r="R1118" s="1">
        <v>624452.69999999995</v>
      </c>
      <c r="S1118" s="1">
        <v>131219.45946000001</v>
      </c>
      <c r="T1118" s="1">
        <v>23.325001237178999</v>
      </c>
      <c r="U1118" t="str">
        <f t="shared" si="17"/>
        <v>Week 1</v>
      </c>
    </row>
    <row r="1119" spans="1:21" x14ac:dyDescent="0.25">
      <c r="A1119" s="1">
        <v>1118</v>
      </c>
      <c r="B1119" s="1" t="s">
        <v>1021</v>
      </c>
      <c r="C1119" s="2">
        <v>46058</v>
      </c>
      <c r="D1119" s="1" t="s">
        <v>53</v>
      </c>
      <c r="E1119" s="1" t="s">
        <v>54</v>
      </c>
      <c r="F1119" s="1" t="s">
        <v>23</v>
      </c>
      <c r="G1119" s="1" t="s">
        <v>24</v>
      </c>
      <c r="H1119" s="1">
        <v>1</v>
      </c>
      <c r="I1119" s="1" t="s">
        <v>759</v>
      </c>
      <c r="J1119" s="1"/>
      <c r="K1119" s="1">
        <v>45786379</v>
      </c>
      <c r="L1119" s="1">
        <v>0</v>
      </c>
      <c r="M1119" s="1">
        <v>0</v>
      </c>
      <c r="N1119" s="1">
        <v>5036501.6900000004</v>
      </c>
      <c r="O1119" s="1">
        <v>0</v>
      </c>
      <c r="P1119" s="1">
        <v>0</v>
      </c>
      <c r="Q1119" s="1">
        <v>0</v>
      </c>
      <c r="R1119" s="1">
        <v>50822880.689999998</v>
      </c>
      <c r="S1119" s="1">
        <v>11497266.380000001</v>
      </c>
      <c r="T1119" s="1">
        <v>25.110669660075001</v>
      </c>
      <c r="U1119" t="str">
        <f t="shared" si="17"/>
        <v>Week 1</v>
      </c>
    </row>
    <row r="1120" spans="1:21" x14ac:dyDescent="0.25">
      <c r="A1120" s="1">
        <v>1119</v>
      </c>
      <c r="B1120" s="1" t="s">
        <v>1022</v>
      </c>
      <c r="C1120" s="2">
        <v>46058</v>
      </c>
      <c r="D1120" s="1" t="s">
        <v>316</v>
      </c>
      <c r="E1120" s="1" t="s">
        <v>38</v>
      </c>
      <c r="F1120" s="1" t="s">
        <v>30</v>
      </c>
      <c r="G1120" s="1" t="s">
        <v>24</v>
      </c>
      <c r="H1120" s="1">
        <v>1</v>
      </c>
      <c r="I1120" s="1" t="s">
        <v>1023</v>
      </c>
      <c r="J1120" s="1"/>
      <c r="K1120" s="1">
        <v>1715000</v>
      </c>
      <c r="L1120" s="1">
        <v>0</v>
      </c>
      <c r="M1120" s="1">
        <v>0</v>
      </c>
      <c r="N1120" s="1">
        <v>188650</v>
      </c>
      <c r="O1120" s="1">
        <v>0</v>
      </c>
      <c r="P1120" s="1">
        <v>0</v>
      </c>
      <c r="Q1120" s="1">
        <v>0</v>
      </c>
      <c r="R1120" s="1">
        <v>1903650</v>
      </c>
      <c r="S1120" s="1">
        <v>665000</v>
      </c>
      <c r="T1120" s="1">
        <v>38.775510204082003</v>
      </c>
      <c r="U1120" t="str">
        <f t="shared" si="17"/>
        <v>Week 1</v>
      </c>
    </row>
    <row r="1121" spans="1:21" x14ac:dyDescent="0.25">
      <c r="A1121" s="1">
        <v>1120</v>
      </c>
      <c r="B1121" s="1" t="s">
        <v>1024</v>
      </c>
      <c r="C1121" s="2">
        <v>46058</v>
      </c>
      <c r="D1121" s="1" t="s">
        <v>53</v>
      </c>
      <c r="E1121" s="1" t="s">
        <v>54</v>
      </c>
      <c r="F1121" s="1" t="s">
        <v>30</v>
      </c>
      <c r="G1121" s="1" t="s">
        <v>24</v>
      </c>
      <c r="H1121" s="1">
        <v>1</v>
      </c>
      <c r="I1121" s="1" t="s">
        <v>1025</v>
      </c>
      <c r="J1121" s="1"/>
      <c r="K1121" s="1">
        <v>4338750</v>
      </c>
      <c r="L1121" s="1">
        <v>0</v>
      </c>
      <c r="M1121" s="1">
        <v>0</v>
      </c>
      <c r="N1121" s="1">
        <v>477262.5</v>
      </c>
      <c r="O1121" s="1">
        <v>0</v>
      </c>
      <c r="P1121" s="1">
        <v>0</v>
      </c>
      <c r="Q1121" s="1">
        <v>0</v>
      </c>
      <c r="R1121" s="1">
        <v>4816012.5</v>
      </c>
      <c r="S1121" s="1">
        <v>960372</v>
      </c>
      <c r="T1121" s="1">
        <v>22.134762316334999</v>
      </c>
      <c r="U1121" t="str">
        <f t="shared" si="17"/>
        <v>Week 1</v>
      </c>
    </row>
    <row r="1122" spans="1:21" x14ac:dyDescent="0.25">
      <c r="A1122" s="1">
        <v>1121</v>
      </c>
      <c r="B1122" s="1" t="s">
        <v>1026</v>
      </c>
      <c r="C1122" s="2">
        <v>46058</v>
      </c>
      <c r="D1122" s="1" t="s">
        <v>33</v>
      </c>
      <c r="E1122" s="1" t="s">
        <v>38</v>
      </c>
      <c r="F1122" s="1" t="s">
        <v>23</v>
      </c>
      <c r="G1122" s="1" t="s">
        <v>24</v>
      </c>
      <c r="H1122" s="1">
        <v>1</v>
      </c>
      <c r="I1122" s="1" t="s">
        <v>1027</v>
      </c>
      <c r="J1122" s="1"/>
      <c r="K1122" s="1">
        <v>2352000</v>
      </c>
      <c r="L1122" s="1">
        <v>0</v>
      </c>
      <c r="M1122" s="1">
        <v>0</v>
      </c>
      <c r="N1122" s="1">
        <v>258720</v>
      </c>
      <c r="O1122" s="1">
        <v>0</v>
      </c>
      <c r="P1122" s="1">
        <v>0</v>
      </c>
      <c r="Q1122" s="1">
        <v>0</v>
      </c>
      <c r="R1122" s="1">
        <v>2610720</v>
      </c>
      <c r="S1122" s="1">
        <v>714000</v>
      </c>
      <c r="T1122" s="1">
        <v>30.357142857143</v>
      </c>
      <c r="U1122" t="str">
        <f t="shared" si="17"/>
        <v>Week 1</v>
      </c>
    </row>
    <row r="1123" spans="1:21" x14ac:dyDescent="0.25">
      <c r="A1123" s="1">
        <v>1122</v>
      </c>
      <c r="B1123" s="1" t="s">
        <v>1028</v>
      </c>
      <c r="C1123" s="2">
        <v>46058</v>
      </c>
      <c r="D1123" s="1" t="s">
        <v>53</v>
      </c>
      <c r="E1123" s="1" t="s">
        <v>54</v>
      </c>
      <c r="F1123" s="1" t="s">
        <v>30</v>
      </c>
      <c r="G1123" s="1" t="s">
        <v>24</v>
      </c>
      <c r="H1123" s="1">
        <v>1</v>
      </c>
      <c r="I1123" s="1" t="s">
        <v>1029</v>
      </c>
      <c r="J1123" s="1"/>
      <c r="K1123" s="1">
        <v>33990000</v>
      </c>
      <c r="L1123" s="1">
        <v>0</v>
      </c>
      <c r="M1123" s="1">
        <v>0</v>
      </c>
      <c r="N1123" s="1">
        <v>3738900</v>
      </c>
      <c r="O1123" s="1">
        <v>0</v>
      </c>
      <c r="P1123" s="1">
        <v>0</v>
      </c>
      <c r="Q1123" s="1">
        <v>0</v>
      </c>
      <c r="R1123" s="1">
        <v>37728900</v>
      </c>
      <c r="S1123" s="1">
        <v>6214000</v>
      </c>
      <c r="T1123" s="1">
        <v>18.281847602235999</v>
      </c>
      <c r="U1123" t="str">
        <f t="shared" si="17"/>
        <v>Week 1</v>
      </c>
    </row>
    <row r="1124" spans="1:21" x14ac:dyDescent="0.25">
      <c r="A1124" s="1">
        <v>1123</v>
      </c>
      <c r="B1124" s="1" t="s">
        <v>1030</v>
      </c>
      <c r="C1124" s="2">
        <v>46058</v>
      </c>
      <c r="D1124" s="1" t="s">
        <v>98</v>
      </c>
      <c r="E1124" s="1" t="s">
        <v>99</v>
      </c>
      <c r="F1124" s="1" t="s">
        <v>30</v>
      </c>
      <c r="G1124" s="1" t="s">
        <v>24</v>
      </c>
      <c r="H1124" s="1">
        <v>1</v>
      </c>
      <c r="I1124" s="1" t="s">
        <v>1031</v>
      </c>
      <c r="J1124" s="1"/>
      <c r="K1124" s="1">
        <v>1425520</v>
      </c>
      <c r="L1124" s="1">
        <v>0</v>
      </c>
      <c r="M1124" s="1">
        <v>0</v>
      </c>
      <c r="N1124" s="1">
        <v>156807.20000000001</v>
      </c>
      <c r="O1124" s="1">
        <v>0</v>
      </c>
      <c r="P1124" s="1">
        <v>0</v>
      </c>
      <c r="Q1124" s="1">
        <v>0</v>
      </c>
      <c r="R1124" s="1">
        <v>1582327.2</v>
      </c>
      <c r="S1124" s="1">
        <v>-245480</v>
      </c>
      <c r="T1124" s="1">
        <v>-17.220382737527</v>
      </c>
      <c r="U1124" t="str">
        <f t="shared" si="17"/>
        <v>Week 1</v>
      </c>
    </row>
    <row r="1125" spans="1:21" x14ac:dyDescent="0.25">
      <c r="A1125" s="1">
        <v>1124</v>
      </c>
      <c r="B1125" s="1" t="s">
        <v>1032</v>
      </c>
      <c r="C1125" s="2">
        <v>46058</v>
      </c>
      <c r="D1125" s="1" t="s">
        <v>33</v>
      </c>
      <c r="E1125" s="1" t="s">
        <v>34</v>
      </c>
      <c r="F1125" s="1" t="s">
        <v>30</v>
      </c>
      <c r="G1125" s="1" t="s">
        <v>24</v>
      </c>
      <c r="H1125" s="1">
        <v>1</v>
      </c>
      <c r="I1125" s="1" t="s">
        <v>1033</v>
      </c>
      <c r="J1125" s="1"/>
      <c r="K1125" s="1">
        <v>1734600</v>
      </c>
      <c r="L1125" s="1">
        <v>0</v>
      </c>
      <c r="M1125" s="1">
        <v>0</v>
      </c>
      <c r="N1125" s="1">
        <v>190806</v>
      </c>
      <c r="O1125" s="1">
        <v>0</v>
      </c>
      <c r="P1125" s="1">
        <v>0</v>
      </c>
      <c r="Q1125" s="1">
        <v>0</v>
      </c>
      <c r="R1125" s="1">
        <v>1925406</v>
      </c>
      <c r="S1125" s="1">
        <v>684600</v>
      </c>
      <c r="T1125" s="1">
        <v>39.467312348668003</v>
      </c>
      <c r="U1125" t="str">
        <f t="shared" si="17"/>
        <v>Week 1</v>
      </c>
    </row>
    <row r="1126" spans="1:21" x14ac:dyDescent="0.25">
      <c r="A1126" s="1">
        <v>1125</v>
      </c>
      <c r="B1126" s="1" t="s">
        <v>1034</v>
      </c>
      <c r="C1126" s="2">
        <v>46058</v>
      </c>
      <c r="D1126" s="1" t="s">
        <v>33</v>
      </c>
      <c r="E1126" s="1" t="s">
        <v>34</v>
      </c>
      <c r="F1126" s="1" t="s">
        <v>30</v>
      </c>
      <c r="G1126" s="1" t="s">
        <v>24</v>
      </c>
      <c r="H1126" s="1">
        <v>1</v>
      </c>
      <c r="I1126" s="1" t="s">
        <v>1035</v>
      </c>
      <c r="J1126" s="1"/>
      <c r="K1126" s="1">
        <v>39688000</v>
      </c>
      <c r="L1126" s="1">
        <v>0</v>
      </c>
      <c r="M1126" s="1">
        <v>0</v>
      </c>
      <c r="N1126" s="1">
        <v>4365680</v>
      </c>
      <c r="O1126" s="1">
        <v>0</v>
      </c>
      <c r="P1126" s="1">
        <v>0</v>
      </c>
      <c r="Q1126" s="1">
        <v>0</v>
      </c>
      <c r="R1126" s="1">
        <v>44053680</v>
      </c>
      <c r="S1126" s="1">
        <v>3756753.2432431001</v>
      </c>
      <c r="T1126" s="1">
        <v>9.4657156904937008</v>
      </c>
      <c r="U1126" t="str">
        <f t="shared" si="17"/>
        <v>Week 1</v>
      </c>
    </row>
    <row r="1127" spans="1:21" x14ac:dyDescent="0.25">
      <c r="A1127" s="1">
        <v>1126</v>
      </c>
      <c r="B1127" s="1" t="s">
        <v>1036</v>
      </c>
      <c r="C1127" s="2">
        <v>46058</v>
      </c>
      <c r="D1127" s="1" t="s">
        <v>21</v>
      </c>
      <c r="E1127" s="1" t="s">
        <v>22</v>
      </c>
      <c r="F1127" s="1" t="s">
        <v>30</v>
      </c>
      <c r="G1127" s="1" t="s">
        <v>24</v>
      </c>
      <c r="H1127" s="1">
        <v>1</v>
      </c>
      <c r="I1127" s="1" t="s">
        <v>1037</v>
      </c>
      <c r="J1127" s="1" t="s">
        <v>26</v>
      </c>
      <c r="K1127" s="1">
        <v>7543060</v>
      </c>
      <c r="L1127" s="1">
        <v>0</v>
      </c>
      <c r="M1127" s="1">
        <v>0</v>
      </c>
      <c r="N1127" s="1">
        <v>829736.6</v>
      </c>
      <c r="O1127" s="1">
        <v>0</v>
      </c>
      <c r="P1127" s="1">
        <v>0</v>
      </c>
      <c r="Q1127" s="1">
        <v>0</v>
      </c>
      <c r="R1127" s="1">
        <v>8372796.5999999996</v>
      </c>
      <c r="S1127" s="1">
        <v>2498016.7387386998</v>
      </c>
      <c r="T1127" s="1">
        <v>33.116755517504998</v>
      </c>
      <c r="U1127" t="str">
        <f t="shared" si="17"/>
        <v>Week 1</v>
      </c>
    </row>
    <row r="1128" spans="1:21" x14ac:dyDescent="0.25">
      <c r="A1128" s="1">
        <v>1127</v>
      </c>
      <c r="B1128" s="1" t="s">
        <v>1038</v>
      </c>
      <c r="C1128" s="2">
        <v>46058</v>
      </c>
      <c r="D1128" s="1" t="s">
        <v>21</v>
      </c>
      <c r="E1128" s="1" t="s">
        <v>22</v>
      </c>
      <c r="F1128" s="1" t="s">
        <v>30</v>
      </c>
      <c r="G1128" s="1" t="s">
        <v>24</v>
      </c>
      <c r="H1128" s="1">
        <v>1</v>
      </c>
      <c r="I1128" s="1" t="s">
        <v>1039</v>
      </c>
      <c r="J1128" s="1" t="s">
        <v>26</v>
      </c>
      <c r="K1128" s="1">
        <v>89425</v>
      </c>
      <c r="L1128" s="1">
        <v>0</v>
      </c>
      <c r="M1128" s="1">
        <v>0</v>
      </c>
      <c r="N1128" s="1">
        <v>9836.75</v>
      </c>
      <c r="O1128" s="1">
        <v>0</v>
      </c>
      <c r="P1128" s="1">
        <v>0</v>
      </c>
      <c r="Q1128" s="1">
        <v>0</v>
      </c>
      <c r="R1128" s="1">
        <v>99261.75</v>
      </c>
      <c r="S1128" s="1">
        <v>37425</v>
      </c>
      <c r="T1128" s="1">
        <v>41.850712887895</v>
      </c>
      <c r="U1128" t="str">
        <f t="shared" si="17"/>
        <v>Week 1</v>
      </c>
    </row>
    <row r="1129" spans="1:21" x14ac:dyDescent="0.25">
      <c r="A1129" s="1">
        <v>1128</v>
      </c>
      <c r="B1129" s="1" t="s">
        <v>1040</v>
      </c>
      <c r="C1129" s="2">
        <v>46058</v>
      </c>
      <c r="D1129" s="1" t="s">
        <v>112</v>
      </c>
      <c r="E1129" s="1" t="s">
        <v>38</v>
      </c>
      <c r="F1129" s="1" t="s">
        <v>23</v>
      </c>
      <c r="G1129" s="1" t="s">
        <v>24</v>
      </c>
      <c r="H1129" s="1">
        <v>1</v>
      </c>
      <c r="I1129" s="1" t="s">
        <v>1041</v>
      </c>
      <c r="J1129" s="1"/>
      <c r="K1129" s="1">
        <v>19710000</v>
      </c>
      <c r="L1129" s="1">
        <v>0</v>
      </c>
      <c r="M1129" s="1">
        <v>0</v>
      </c>
      <c r="N1129" s="1">
        <v>2168100</v>
      </c>
      <c r="O1129" s="1">
        <v>0</v>
      </c>
      <c r="P1129" s="1">
        <v>0</v>
      </c>
      <c r="Q1129" s="1">
        <v>0</v>
      </c>
      <c r="R1129" s="1">
        <v>21878100</v>
      </c>
      <c r="S1129" s="1">
        <v>4100000</v>
      </c>
      <c r="T1129" s="1">
        <v>20.801623541350001</v>
      </c>
      <c r="U1129" t="str">
        <f t="shared" si="17"/>
        <v>Week 1</v>
      </c>
    </row>
    <row r="1130" spans="1:21" x14ac:dyDescent="0.25">
      <c r="A1130" s="1">
        <v>1129</v>
      </c>
      <c r="B1130" s="1" t="s">
        <v>1042</v>
      </c>
      <c r="C1130" s="2">
        <v>46058</v>
      </c>
      <c r="D1130" s="1" t="s">
        <v>202</v>
      </c>
      <c r="E1130" s="1" t="s">
        <v>22</v>
      </c>
      <c r="F1130" s="1" t="s">
        <v>30</v>
      </c>
      <c r="G1130" s="1" t="s">
        <v>24</v>
      </c>
      <c r="H1130" s="1">
        <v>1</v>
      </c>
      <c r="I1130" s="1" t="s">
        <v>1043</v>
      </c>
      <c r="J1130" s="1" t="s">
        <v>26</v>
      </c>
      <c r="K1130" s="1">
        <v>12780240</v>
      </c>
      <c r="L1130" s="1">
        <v>0</v>
      </c>
      <c r="M1130" s="1">
        <v>0</v>
      </c>
      <c r="N1130" s="1">
        <v>1405826.4</v>
      </c>
      <c r="O1130" s="1">
        <v>0</v>
      </c>
      <c r="P1130" s="1">
        <v>0</v>
      </c>
      <c r="Q1130" s="1">
        <v>0</v>
      </c>
      <c r="R1130" s="1">
        <v>14186066.4</v>
      </c>
      <c r="S1130" s="1">
        <v>957240</v>
      </c>
      <c r="T1130" s="1">
        <v>7.4900001877899003</v>
      </c>
      <c r="U1130" t="str">
        <f t="shared" si="17"/>
        <v>Week 1</v>
      </c>
    </row>
    <row r="1131" spans="1:21" x14ac:dyDescent="0.25">
      <c r="A1131" s="1">
        <v>1130</v>
      </c>
      <c r="B1131" s="1" t="s">
        <v>1044</v>
      </c>
      <c r="C1131" s="2">
        <v>46058</v>
      </c>
      <c r="D1131" s="1" t="s">
        <v>33</v>
      </c>
      <c r="E1131" s="1" t="s">
        <v>34</v>
      </c>
      <c r="F1131" s="1" t="s">
        <v>23</v>
      </c>
      <c r="G1131" s="1" t="s">
        <v>24</v>
      </c>
      <c r="H1131" s="1">
        <v>1</v>
      </c>
      <c r="I1131" s="1" t="s">
        <v>1045</v>
      </c>
      <c r="J1131" s="1"/>
      <c r="K1131" s="1">
        <v>31845000</v>
      </c>
      <c r="L1131" s="1">
        <v>0</v>
      </c>
      <c r="M1131" s="1">
        <v>0</v>
      </c>
      <c r="N1131" s="1">
        <v>3502950</v>
      </c>
      <c r="O1131" s="1">
        <v>0</v>
      </c>
      <c r="P1131" s="1">
        <v>0</v>
      </c>
      <c r="Q1131" s="1">
        <v>0</v>
      </c>
      <c r="R1131" s="1">
        <v>35347950</v>
      </c>
      <c r="S1131" s="1">
        <v>6895000</v>
      </c>
      <c r="T1131" s="1">
        <v>21.651750667295001</v>
      </c>
      <c r="U1131" t="str">
        <f t="shared" si="17"/>
        <v>Week 1</v>
      </c>
    </row>
    <row r="1132" spans="1:21" x14ac:dyDescent="0.25">
      <c r="A1132" s="1">
        <v>1131</v>
      </c>
      <c r="B1132" s="1" t="s">
        <v>1046</v>
      </c>
      <c r="C1132" s="2">
        <v>46057</v>
      </c>
      <c r="D1132" s="1" t="s">
        <v>421</v>
      </c>
      <c r="E1132" s="1" t="s">
        <v>203</v>
      </c>
      <c r="F1132" s="1" t="s">
        <v>23</v>
      </c>
      <c r="G1132" s="1" t="s">
        <v>24</v>
      </c>
      <c r="H1132" s="1">
        <v>1</v>
      </c>
      <c r="I1132" s="1" t="s">
        <v>1047</v>
      </c>
      <c r="J1132" s="1" t="s">
        <v>26</v>
      </c>
      <c r="K1132" s="1">
        <v>1560000</v>
      </c>
      <c r="L1132" s="1">
        <v>0</v>
      </c>
      <c r="M1132" s="1">
        <v>0</v>
      </c>
      <c r="N1132" s="1">
        <v>171600</v>
      </c>
      <c r="O1132" s="1">
        <v>0</v>
      </c>
      <c r="P1132" s="1">
        <v>0</v>
      </c>
      <c r="Q1132" s="1">
        <v>0</v>
      </c>
      <c r="R1132" s="1">
        <v>1731600</v>
      </c>
      <c r="S1132" s="1">
        <v>679369.36936937005</v>
      </c>
      <c r="T1132" s="1">
        <v>43.549318549318997</v>
      </c>
      <c r="U1132" t="str">
        <f t="shared" si="17"/>
        <v>Week 1</v>
      </c>
    </row>
    <row r="1133" spans="1:21" x14ac:dyDescent="0.25">
      <c r="A1133" s="1">
        <v>1132</v>
      </c>
      <c r="B1133" s="1" t="s">
        <v>1048</v>
      </c>
      <c r="C1133" s="2">
        <v>46057</v>
      </c>
      <c r="D1133" s="1" t="s">
        <v>33</v>
      </c>
      <c r="E1133" s="1" t="s">
        <v>38</v>
      </c>
      <c r="F1133" s="1" t="s">
        <v>30</v>
      </c>
      <c r="G1133" s="1" t="s">
        <v>24</v>
      </c>
      <c r="H1133" s="1">
        <v>1</v>
      </c>
      <c r="I1133" s="1" t="s">
        <v>1049</v>
      </c>
      <c r="J1133" s="1"/>
      <c r="K1133" s="1">
        <v>10650000</v>
      </c>
      <c r="L1133" s="1">
        <v>0</v>
      </c>
      <c r="M1133" s="1">
        <v>0</v>
      </c>
      <c r="N1133" s="1">
        <v>1171500</v>
      </c>
      <c r="O1133" s="1">
        <v>0</v>
      </c>
      <c r="P1133" s="1">
        <v>0</v>
      </c>
      <c r="Q1133" s="1">
        <v>0</v>
      </c>
      <c r="R1133" s="1">
        <v>11821500</v>
      </c>
      <c r="S1133" s="1">
        <v>2501351.3513513999</v>
      </c>
      <c r="T1133" s="1">
        <v>23.486867148839</v>
      </c>
      <c r="U1133" t="str">
        <f t="shared" si="17"/>
        <v>Week 1</v>
      </c>
    </row>
    <row r="1134" spans="1:21" x14ac:dyDescent="0.25">
      <c r="A1134" s="1">
        <v>1133</v>
      </c>
      <c r="B1134" s="1" t="s">
        <v>1050</v>
      </c>
      <c r="C1134" s="2">
        <v>46057</v>
      </c>
      <c r="D1134" s="1" t="s">
        <v>21</v>
      </c>
      <c r="E1134" s="1" t="s">
        <v>22</v>
      </c>
      <c r="F1134" s="1" t="s">
        <v>23</v>
      </c>
      <c r="G1134" s="1" t="s">
        <v>24</v>
      </c>
      <c r="H1134" s="1">
        <v>1</v>
      </c>
      <c r="I1134" s="1" t="s">
        <v>1051</v>
      </c>
      <c r="J1134" s="1" t="s">
        <v>26</v>
      </c>
      <c r="K1134" s="1">
        <v>32670726</v>
      </c>
      <c r="L1134" s="1">
        <v>0</v>
      </c>
      <c r="M1134" s="1">
        <v>0</v>
      </c>
      <c r="N1134" s="1">
        <v>3593779.86</v>
      </c>
      <c r="O1134" s="1">
        <v>0</v>
      </c>
      <c r="P1134" s="1">
        <v>0</v>
      </c>
      <c r="Q1134" s="1">
        <v>0</v>
      </c>
      <c r="R1134" s="1">
        <v>36264505.859999999</v>
      </c>
      <c r="S1134" s="1">
        <v>7715737.2599999998</v>
      </c>
      <c r="T1134" s="1">
        <v>23.616669124525</v>
      </c>
      <c r="U1134" t="str">
        <f t="shared" si="17"/>
        <v>Week 1</v>
      </c>
    </row>
    <row r="1135" spans="1:21" x14ac:dyDescent="0.25">
      <c r="A1135" s="1">
        <v>1134</v>
      </c>
      <c r="B1135" s="1" t="s">
        <v>2241</v>
      </c>
      <c r="C1135" s="2">
        <v>46057</v>
      </c>
      <c r="D1135" s="1" t="s">
        <v>2210</v>
      </c>
      <c r="E1135" s="1" t="s">
        <v>192</v>
      </c>
      <c r="F1135" s="1" t="s">
        <v>23</v>
      </c>
      <c r="G1135" s="1" t="s">
        <v>24</v>
      </c>
      <c r="H1135" s="1">
        <v>1</v>
      </c>
      <c r="I1135" s="1" t="s">
        <v>2242</v>
      </c>
      <c r="J1135" s="1" t="s">
        <v>56</v>
      </c>
      <c r="K1135" s="1">
        <v>151200000</v>
      </c>
      <c r="L1135" s="1">
        <v>0</v>
      </c>
      <c r="M1135" s="1">
        <v>0</v>
      </c>
      <c r="N1135" s="1">
        <v>16632000</v>
      </c>
      <c r="O1135" s="1">
        <v>0</v>
      </c>
      <c r="P1135" s="1">
        <v>0</v>
      </c>
      <c r="Q1135" s="1">
        <v>0</v>
      </c>
      <c r="R1135" s="1">
        <v>167832000</v>
      </c>
      <c r="S1135" s="1">
        <v>15030000</v>
      </c>
      <c r="T1135" s="1">
        <v>9.9404761904762005</v>
      </c>
      <c r="U1135" t="str">
        <f t="shared" si="17"/>
        <v>Week 1</v>
      </c>
    </row>
    <row r="1136" spans="1:21" x14ac:dyDescent="0.25">
      <c r="A1136" s="1">
        <v>1135</v>
      </c>
      <c r="B1136" s="1" t="s">
        <v>1052</v>
      </c>
      <c r="C1136" s="2">
        <v>46057</v>
      </c>
      <c r="D1136" s="1" t="s">
        <v>2979</v>
      </c>
      <c r="E1136" s="1" t="s">
        <v>203</v>
      </c>
      <c r="F1136" s="1" t="s">
        <v>30</v>
      </c>
      <c r="G1136" s="1" t="s">
        <v>24</v>
      </c>
      <c r="H1136" s="1">
        <v>1</v>
      </c>
      <c r="I1136" s="1" t="s">
        <v>1053</v>
      </c>
      <c r="J1136" s="1" t="s">
        <v>26</v>
      </c>
      <c r="K1136" s="1">
        <v>321360000</v>
      </c>
      <c r="L1136" s="1">
        <v>0</v>
      </c>
      <c r="M1136" s="1">
        <v>0</v>
      </c>
      <c r="N1136" s="1">
        <v>35349600</v>
      </c>
      <c r="O1136" s="1">
        <v>0</v>
      </c>
      <c r="P1136" s="1">
        <v>0</v>
      </c>
      <c r="Q1136" s="1">
        <v>0</v>
      </c>
      <c r="R1136" s="1">
        <v>356709600</v>
      </c>
      <c r="S1136" s="1">
        <v>33360000</v>
      </c>
      <c r="T1136" s="1">
        <v>10.380881254667999</v>
      </c>
      <c r="U1136" t="str">
        <f t="shared" si="17"/>
        <v>Week 1</v>
      </c>
    </row>
    <row r="1137" spans="1:21" x14ac:dyDescent="0.25">
      <c r="A1137" s="1">
        <v>1136</v>
      </c>
      <c r="B1137" s="1" t="s">
        <v>1054</v>
      </c>
      <c r="C1137" s="2">
        <v>46057</v>
      </c>
      <c r="D1137" s="1" t="s">
        <v>21</v>
      </c>
      <c r="E1137" s="1" t="s">
        <v>22</v>
      </c>
      <c r="F1137" s="1" t="s">
        <v>30</v>
      </c>
      <c r="G1137" s="1" t="s">
        <v>24</v>
      </c>
      <c r="H1137" s="1">
        <v>1</v>
      </c>
      <c r="I1137" s="1" t="s">
        <v>1055</v>
      </c>
      <c r="J1137" s="1" t="s">
        <v>26</v>
      </c>
      <c r="K1137" s="1">
        <v>5197155.24</v>
      </c>
      <c r="L1137" s="1">
        <v>0</v>
      </c>
      <c r="M1137" s="1">
        <v>0</v>
      </c>
      <c r="N1137" s="1">
        <v>571687.07640000002</v>
      </c>
      <c r="O1137" s="1">
        <v>0</v>
      </c>
      <c r="P1137" s="1">
        <v>0</v>
      </c>
      <c r="Q1137" s="1">
        <v>0</v>
      </c>
      <c r="R1137" s="1">
        <v>5768842.3163999999</v>
      </c>
      <c r="S1137" s="1">
        <v>1429589.9427060001</v>
      </c>
      <c r="T1137" s="1">
        <v>27.507162605095001</v>
      </c>
      <c r="U1137" t="str">
        <f t="shared" si="17"/>
        <v>Week 1</v>
      </c>
    </row>
    <row r="1138" spans="1:21" x14ac:dyDescent="0.25">
      <c r="A1138" s="1">
        <v>1137</v>
      </c>
      <c r="B1138" s="1" t="s">
        <v>1056</v>
      </c>
      <c r="C1138" s="2">
        <v>46057</v>
      </c>
      <c r="D1138" s="1" t="s">
        <v>349</v>
      </c>
      <c r="E1138" s="1" t="s">
        <v>203</v>
      </c>
      <c r="F1138" s="1" t="s">
        <v>23</v>
      </c>
      <c r="G1138" s="1" t="s">
        <v>24</v>
      </c>
      <c r="H1138" s="1">
        <v>1</v>
      </c>
      <c r="I1138" s="1" t="s">
        <v>1004</v>
      </c>
      <c r="J1138" s="1" t="s">
        <v>26</v>
      </c>
      <c r="K1138" s="1">
        <v>21244250</v>
      </c>
      <c r="L1138" s="1">
        <v>0</v>
      </c>
      <c r="M1138" s="1">
        <v>0</v>
      </c>
      <c r="N1138" s="1">
        <v>2336867.5</v>
      </c>
      <c r="O1138" s="1">
        <v>0</v>
      </c>
      <c r="P1138" s="1">
        <v>0</v>
      </c>
      <c r="Q1138" s="1">
        <v>0</v>
      </c>
      <c r="R1138" s="1">
        <v>23581117.5</v>
      </c>
      <c r="S1138" s="1">
        <v>4350627.49</v>
      </c>
      <c r="T1138" s="1">
        <v>20.479082528214001</v>
      </c>
      <c r="U1138" t="str">
        <f t="shared" si="17"/>
        <v>Week 1</v>
      </c>
    </row>
    <row r="1139" spans="1:21" x14ac:dyDescent="0.25">
      <c r="A1139" s="1">
        <v>1138</v>
      </c>
      <c r="B1139" s="1" t="s">
        <v>1057</v>
      </c>
      <c r="C1139" s="2">
        <v>46057</v>
      </c>
      <c r="D1139" s="1" t="s">
        <v>37</v>
      </c>
      <c r="E1139" s="1" t="s">
        <v>38</v>
      </c>
      <c r="F1139" s="1" t="s">
        <v>23</v>
      </c>
      <c r="G1139" s="1" t="s">
        <v>24</v>
      </c>
      <c r="H1139" s="1">
        <v>1</v>
      </c>
      <c r="I1139" s="1" t="s">
        <v>1058</v>
      </c>
      <c r="J1139" s="1"/>
      <c r="K1139" s="1">
        <v>325000</v>
      </c>
      <c r="L1139" s="1">
        <v>0</v>
      </c>
      <c r="M1139" s="1">
        <v>0</v>
      </c>
      <c r="N1139" s="1">
        <v>35750</v>
      </c>
      <c r="O1139" s="1">
        <v>0</v>
      </c>
      <c r="P1139" s="1">
        <v>0</v>
      </c>
      <c r="Q1139" s="1">
        <v>0</v>
      </c>
      <c r="R1139" s="1">
        <v>360750</v>
      </c>
      <c r="S1139" s="1">
        <v>65000</v>
      </c>
      <c r="T1139" s="1">
        <v>20</v>
      </c>
      <c r="U1139" t="str">
        <f t="shared" si="17"/>
        <v>Week 1</v>
      </c>
    </row>
    <row r="1140" spans="1:21" x14ac:dyDescent="0.25">
      <c r="A1140" s="1">
        <v>1139</v>
      </c>
      <c r="B1140" s="1" t="s">
        <v>1059</v>
      </c>
      <c r="C1140" s="2">
        <v>46057</v>
      </c>
      <c r="D1140" s="1" t="s">
        <v>1060</v>
      </c>
      <c r="E1140" s="1" t="s">
        <v>203</v>
      </c>
      <c r="F1140" s="1" t="s">
        <v>30</v>
      </c>
      <c r="G1140" s="1" t="s">
        <v>24</v>
      </c>
      <c r="H1140" s="1">
        <v>1</v>
      </c>
      <c r="I1140" s="1" t="s">
        <v>1061</v>
      </c>
      <c r="J1140" s="1" t="s">
        <v>56</v>
      </c>
      <c r="K1140" s="1">
        <v>530000</v>
      </c>
      <c r="L1140" s="1">
        <v>0</v>
      </c>
      <c r="M1140" s="1">
        <v>0</v>
      </c>
      <c r="N1140" s="1">
        <v>58300</v>
      </c>
      <c r="O1140" s="1">
        <v>0</v>
      </c>
      <c r="P1140" s="1">
        <v>0</v>
      </c>
      <c r="Q1140" s="1">
        <v>0</v>
      </c>
      <c r="R1140" s="1">
        <v>588300</v>
      </c>
      <c r="S1140" s="1">
        <v>115810</v>
      </c>
      <c r="T1140" s="1">
        <v>21.850943396226</v>
      </c>
      <c r="U1140" t="str">
        <f t="shared" si="17"/>
        <v>Week 1</v>
      </c>
    </row>
    <row r="1141" spans="1:21" x14ac:dyDescent="0.25">
      <c r="A1141" s="1">
        <v>1140</v>
      </c>
      <c r="B1141" s="1" t="s">
        <v>1062</v>
      </c>
      <c r="C1141" s="2">
        <v>46057</v>
      </c>
      <c r="D1141" s="1" t="s">
        <v>21</v>
      </c>
      <c r="E1141" s="1" t="s">
        <v>22</v>
      </c>
      <c r="F1141" s="1" t="s">
        <v>23</v>
      </c>
      <c r="G1141" s="1" t="s">
        <v>24</v>
      </c>
      <c r="H1141" s="1">
        <v>1</v>
      </c>
      <c r="I1141" s="1" t="s">
        <v>1063</v>
      </c>
      <c r="J1141" s="1" t="s">
        <v>26</v>
      </c>
      <c r="K1141" s="1">
        <v>15550000</v>
      </c>
      <c r="L1141" s="1">
        <v>0</v>
      </c>
      <c r="M1141" s="1">
        <v>0</v>
      </c>
      <c r="N1141" s="1">
        <v>1710500</v>
      </c>
      <c r="O1141" s="1">
        <v>0</v>
      </c>
      <c r="P1141" s="1">
        <v>0</v>
      </c>
      <c r="Q1141" s="1">
        <v>0</v>
      </c>
      <c r="R1141" s="1">
        <v>17260500</v>
      </c>
      <c r="S1141" s="1">
        <v>3250000</v>
      </c>
      <c r="T1141" s="1">
        <v>20.900321543408001</v>
      </c>
      <c r="U1141" t="str">
        <f t="shared" si="17"/>
        <v>Week 1</v>
      </c>
    </row>
    <row r="1142" spans="1:21" x14ac:dyDescent="0.25">
      <c r="A1142" s="1">
        <v>1141</v>
      </c>
      <c r="B1142" s="1" t="s">
        <v>1064</v>
      </c>
      <c r="C1142" s="2">
        <v>46057</v>
      </c>
      <c r="D1142" s="1" t="s">
        <v>2979</v>
      </c>
      <c r="E1142" s="1" t="s">
        <v>203</v>
      </c>
      <c r="F1142" s="1" t="s">
        <v>30</v>
      </c>
      <c r="G1142" s="1" t="s">
        <v>24</v>
      </c>
      <c r="H1142" s="1">
        <v>1</v>
      </c>
      <c r="I1142" s="1" t="s">
        <v>1065</v>
      </c>
      <c r="J1142" s="1" t="s">
        <v>26</v>
      </c>
      <c r="K1142" s="1">
        <v>321360000</v>
      </c>
      <c r="L1142" s="1">
        <v>0</v>
      </c>
      <c r="M1142" s="1">
        <v>0</v>
      </c>
      <c r="N1142" s="1">
        <v>35349600</v>
      </c>
      <c r="O1142" s="1">
        <v>0</v>
      </c>
      <c r="P1142" s="1">
        <v>0</v>
      </c>
      <c r="Q1142" s="1">
        <v>0</v>
      </c>
      <c r="R1142" s="1">
        <v>356709600</v>
      </c>
      <c r="S1142" s="1">
        <v>33360000</v>
      </c>
      <c r="T1142" s="1">
        <v>10.380881254667999</v>
      </c>
      <c r="U1142" t="str">
        <f t="shared" si="17"/>
        <v>Week 1</v>
      </c>
    </row>
    <row r="1143" spans="1:21" x14ac:dyDescent="0.25">
      <c r="A1143" s="1">
        <v>1142</v>
      </c>
      <c r="B1143" s="1" t="s">
        <v>2243</v>
      </c>
      <c r="C1143" s="2">
        <v>46057</v>
      </c>
      <c r="D1143" s="1" t="s">
        <v>2210</v>
      </c>
      <c r="E1143" s="1" t="s">
        <v>192</v>
      </c>
      <c r="F1143" s="1" t="s">
        <v>23</v>
      </c>
      <c r="G1143" s="1" t="s">
        <v>24</v>
      </c>
      <c r="H1143" s="1">
        <v>1</v>
      </c>
      <c r="I1143" s="1" t="s">
        <v>2244</v>
      </c>
      <c r="J1143" s="1" t="s">
        <v>56</v>
      </c>
      <c r="K1143" s="1">
        <v>45161</v>
      </c>
      <c r="L1143" s="1">
        <v>0</v>
      </c>
      <c r="M1143" s="1">
        <v>0</v>
      </c>
      <c r="N1143" s="1">
        <v>4967.71</v>
      </c>
      <c r="O1143" s="1">
        <v>0</v>
      </c>
      <c r="P1143" s="1">
        <v>0</v>
      </c>
      <c r="Q1143" s="1">
        <v>0</v>
      </c>
      <c r="R1143" s="1">
        <v>50128.71</v>
      </c>
      <c r="S1143" s="1">
        <v>3161</v>
      </c>
      <c r="T1143" s="1">
        <v>6.9994021390138004</v>
      </c>
      <c r="U1143" t="str">
        <f t="shared" si="17"/>
        <v>Week 1</v>
      </c>
    </row>
    <row r="1144" spans="1:21" x14ac:dyDescent="0.25">
      <c r="A1144" s="1">
        <v>1143</v>
      </c>
      <c r="B1144" s="1" t="s">
        <v>1066</v>
      </c>
      <c r="C1144" s="2">
        <v>46057</v>
      </c>
      <c r="D1144" s="1" t="s">
        <v>33</v>
      </c>
      <c r="E1144" s="1" t="s">
        <v>38</v>
      </c>
      <c r="F1144" s="1" t="s">
        <v>30</v>
      </c>
      <c r="G1144" s="1" t="s">
        <v>24</v>
      </c>
      <c r="H1144" s="1">
        <v>1</v>
      </c>
      <c r="I1144" s="1" t="s">
        <v>2358</v>
      </c>
      <c r="J1144" s="1"/>
      <c r="K1144" s="1">
        <v>8425060</v>
      </c>
      <c r="L1144" s="1">
        <v>0</v>
      </c>
      <c r="M1144" s="1">
        <v>0</v>
      </c>
      <c r="N1144" s="1">
        <v>926756.6</v>
      </c>
      <c r="O1144" s="1">
        <v>0</v>
      </c>
      <c r="P1144" s="1">
        <v>0</v>
      </c>
      <c r="Q1144" s="1">
        <v>0</v>
      </c>
      <c r="R1144" s="1">
        <v>9351816.5999999996</v>
      </c>
      <c r="S1144" s="1">
        <v>1842533</v>
      </c>
      <c r="T1144" s="1">
        <v>21.869672144768</v>
      </c>
      <c r="U1144" t="str">
        <f t="shared" si="17"/>
        <v>Week 1</v>
      </c>
    </row>
    <row r="1145" spans="1:21" x14ac:dyDescent="0.25">
      <c r="A1145" s="1">
        <v>1144</v>
      </c>
      <c r="B1145" s="1" t="s">
        <v>1067</v>
      </c>
      <c r="C1145" s="2">
        <v>46057</v>
      </c>
      <c r="D1145" s="1" t="s">
        <v>2979</v>
      </c>
      <c r="E1145" s="1" t="s">
        <v>203</v>
      </c>
      <c r="F1145" s="1" t="s">
        <v>23</v>
      </c>
      <c r="G1145" s="1" t="s">
        <v>24</v>
      </c>
      <c r="H1145" s="1">
        <v>1</v>
      </c>
      <c r="I1145" s="1" t="s">
        <v>1068</v>
      </c>
      <c r="J1145" s="1" t="s">
        <v>26</v>
      </c>
      <c r="K1145" s="1">
        <v>1173060</v>
      </c>
      <c r="L1145" s="1">
        <v>0</v>
      </c>
      <c r="M1145" s="1">
        <v>0</v>
      </c>
      <c r="N1145" s="1">
        <v>129036.6</v>
      </c>
      <c r="O1145" s="1">
        <v>0</v>
      </c>
      <c r="P1145" s="1">
        <v>0</v>
      </c>
      <c r="Q1145" s="1">
        <v>0</v>
      </c>
      <c r="R1145" s="1">
        <v>1302096.6000000001</v>
      </c>
      <c r="S1145" s="1">
        <v>513060</v>
      </c>
      <c r="T1145" s="1">
        <v>43.736893253542</v>
      </c>
      <c r="U1145" t="str">
        <f t="shared" si="17"/>
        <v>Week 1</v>
      </c>
    </row>
    <row r="1146" spans="1:21" x14ac:dyDescent="0.25">
      <c r="A1146" s="1">
        <v>1145</v>
      </c>
      <c r="B1146" s="1" t="s">
        <v>1069</v>
      </c>
      <c r="C1146" s="2">
        <v>46056</v>
      </c>
      <c r="D1146" s="1" t="s">
        <v>202</v>
      </c>
      <c r="E1146" s="1" t="s">
        <v>203</v>
      </c>
      <c r="F1146" s="1" t="s">
        <v>23</v>
      </c>
      <c r="G1146" s="1" t="s">
        <v>24</v>
      </c>
      <c r="H1146" s="1">
        <v>1</v>
      </c>
      <c r="I1146" s="1" t="s">
        <v>1070</v>
      </c>
      <c r="J1146" s="1" t="s">
        <v>26</v>
      </c>
      <c r="K1146" s="1">
        <v>126579400</v>
      </c>
      <c r="L1146" s="1">
        <v>0</v>
      </c>
      <c r="M1146" s="1">
        <v>0</v>
      </c>
      <c r="N1146" s="1">
        <v>13923734</v>
      </c>
      <c r="O1146" s="1">
        <v>0</v>
      </c>
      <c r="P1146" s="1">
        <v>0</v>
      </c>
      <c r="Q1146" s="1">
        <v>0</v>
      </c>
      <c r="R1146" s="1">
        <v>140503134</v>
      </c>
      <c r="S1146" s="1">
        <v>50510109.573339</v>
      </c>
      <c r="T1146" s="1">
        <v>39.903893977487002</v>
      </c>
      <c r="U1146" t="str">
        <f t="shared" si="17"/>
        <v>Week 1</v>
      </c>
    </row>
    <row r="1147" spans="1:21" x14ac:dyDescent="0.25">
      <c r="A1147" s="1">
        <v>1146</v>
      </c>
      <c r="B1147" s="1" t="s">
        <v>1071</v>
      </c>
      <c r="C1147" s="2">
        <v>46056</v>
      </c>
      <c r="D1147" s="1" t="s">
        <v>202</v>
      </c>
      <c r="E1147" s="1" t="s">
        <v>203</v>
      </c>
      <c r="F1147" s="1" t="s">
        <v>260</v>
      </c>
      <c r="G1147" s="1" t="s">
        <v>24</v>
      </c>
      <c r="H1147" s="1">
        <v>1</v>
      </c>
      <c r="I1147" s="1" t="s">
        <v>1072</v>
      </c>
      <c r="J1147" s="1" t="s">
        <v>26</v>
      </c>
      <c r="K1147" s="1">
        <v>21204193</v>
      </c>
      <c r="L1147" s="1">
        <v>0</v>
      </c>
      <c r="M1147" s="1">
        <v>0</v>
      </c>
      <c r="N1147" s="1">
        <v>1513525.53</v>
      </c>
      <c r="O1147" s="1">
        <v>0</v>
      </c>
      <c r="P1147" s="1">
        <v>0</v>
      </c>
      <c r="Q1147" s="1">
        <v>0</v>
      </c>
      <c r="R1147" s="1">
        <v>22717718.530000001</v>
      </c>
      <c r="S1147" s="1">
        <v>8168579.21</v>
      </c>
      <c r="T1147" s="1">
        <v>38.523414732170998</v>
      </c>
      <c r="U1147" t="str">
        <f t="shared" si="17"/>
        <v>Week 1</v>
      </c>
    </row>
    <row r="1148" spans="1:21" x14ac:dyDescent="0.25">
      <c r="A1148" s="1">
        <v>1147</v>
      </c>
      <c r="B1148" s="1" t="s">
        <v>1073</v>
      </c>
      <c r="C1148" s="2">
        <v>46056</v>
      </c>
      <c r="D1148" s="1" t="s">
        <v>33</v>
      </c>
      <c r="E1148" s="1" t="s">
        <v>38</v>
      </c>
      <c r="F1148" s="1" t="s">
        <v>30</v>
      </c>
      <c r="G1148" s="1" t="s">
        <v>24</v>
      </c>
      <c r="H1148" s="1">
        <v>1</v>
      </c>
      <c r="I1148" s="1" t="s">
        <v>1074</v>
      </c>
      <c r="J1148" s="1"/>
      <c r="K1148" s="1">
        <v>749553</v>
      </c>
      <c r="L1148" s="1">
        <v>0</v>
      </c>
      <c r="M1148" s="1">
        <v>0</v>
      </c>
      <c r="N1148" s="1">
        <v>82450.83</v>
      </c>
      <c r="O1148" s="1">
        <v>0</v>
      </c>
      <c r="P1148" s="1">
        <v>0</v>
      </c>
      <c r="Q1148" s="1">
        <v>0</v>
      </c>
      <c r="R1148" s="1">
        <v>832003.83</v>
      </c>
      <c r="S1148" s="1">
        <v>74553</v>
      </c>
      <c r="T1148" s="1">
        <v>9.9463280114949004</v>
      </c>
      <c r="U1148" t="str">
        <f t="shared" si="17"/>
        <v>Week 1</v>
      </c>
    </row>
    <row r="1149" spans="1:21" x14ac:dyDescent="0.25">
      <c r="A1149" s="1">
        <v>1148</v>
      </c>
      <c r="B1149" s="1" t="s">
        <v>1077</v>
      </c>
      <c r="C1149" s="2">
        <v>46056</v>
      </c>
      <c r="D1149" s="1" t="s">
        <v>33</v>
      </c>
      <c r="E1149" s="1" t="s">
        <v>38</v>
      </c>
      <c r="F1149" s="1" t="s">
        <v>30</v>
      </c>
      <c r="G1149" s="1" t="s">
        <v>24</v>
      </c>
      <c r="H1149" s="1">
        <v>1</v>
      </c>
      <c r="I1149" s="1" t="s">
        <v>2421</v>
      </c>
      <c r="J1149" s="1"/>
      <c r="K1149" s="1">
        <v>6108340</v>
      </c>
      <c r="L1149" s="1">
        <v>0</v>
      </c>
      <c r="M1149" s="1">
        <v>0</v>
      </c>
      <c r="N1149" s="1">
        <v>671917.4</v>
      </c>
      <c r="O1149" s="1">
        <v>0</v>
      </c>
      <c r="P1149" s="1">
        <v>0</v>
      </c>
      <c r="Q1149" s="1">
        <v>0</v>
      </c>
      <c r="R1149" s="1">
        <v>6780257.4000000004</v>
      </c>
      <c r="S1149" s="1">
        <v>3183595.4054055</v>
      </c>
      <c r="T1149" s="1">
        <v>52.118831063849001</v>
      </c>
      <c r="U1149" t="str">
        <f t="shared" si="17"/>
        <v>Week 1</v>
      </c>
    </row>
    <row r="1150" spans="1:21" x14ac:dyDescent="0.25">
      <c r="A1150" s="1">
        <v>1149</v>
      </c>
      <c r="B1150" s="1" t="s">
        <v>1078</v>
      </c>
      <c r="C1150" s="2">
        <v>46056</v>
      </c>
      <c r="D1150" s="1" t="s">
        <v>349</v>
      </c>
      <c r="E1150" s="1" t="s">
        <v>203</v>
      </c>
      <c r="F1150" s="1" t="s">
        <v>23</v>
      </c>
      <c r="G1150" s="1" t="s">
        <v>24</v>
      </c>
      <c r="H1150" s="1">
        <v>1</v>
      </c>
      <c r="I1150" s="1" t="s">
        <v>1079</v>
      </c>
      <c r="J1150" s="1"/>
      <c r="K1150" s="1">
        <v>42290000</v>
      </c>
      <c r="L1150" s="1">
        <v>0</v>
      </c>
      <c r="M1150" s="1">
        <v>0</v>
      </c>
      <c r="N1150" s="1">
        <v>4651900</v>
      </c>
      <c r="O1150" s="1">
        <v>0</v>
      </c>
      <c r="P1150" s="1">
        <v>0</v>
      </c>
      <c r="Q1150" s="1">
        <v>0</v>
      </c>
      <c r="R1150" s="1">
        <v>46941900</v>
      </c>
      <c r="S1150" s="1">
        <v>6407625.2252251999</v>
      </c>
      <c r="T1150" s="1">
        <v>15.151632123965999</v>
      </c>
      <c r="U1150" t="str">
        <f t="shared" si="17"/>
        <v>Week 1</v>
      </c>
    </row>
    <row r="1151" spans="1:21" x14ac:dyDescent="0.25">
      <c r="A1151" s="1">
        <v>1150</v>
      </c>
      <c r="B1151" s="1" t="s">
        <v>1080</v>
      </c>
      <c r="C1151" s="2">
        <v>46056</v>
      </c>
      <c r="D1151" s="1" t="s">
        <v>2979</v>
      </c>
      <c r="E1151" s="1" t="s">
        <v>203</v>
      </c>
      <c r="F1151" s="1" t="s">
        <v>30</v>
      </c>
      <c r="G1151" s="1" t="s">
        <v>24</v>
      </c>
      <c r="H1151" s="1">
        <v>1</v>
      </c>
      <c r="I1151" s="1" t="s">
        <v>1081</v>
      </c>
      <c r="J1151" s="1" t="s">
        <v>26</v>
      </c>
      <c r="K1151" s="1">
        <v>24205011</v>
      </c>
      <c r="L1151" s="1">
        <v>0</v>
      </c>
      <c r="M1151" s="1">
        <v>0</v>
      </c>
      <c r="N1151" s="1">
        <v>2662551.21</v>
      </c>
      <c r="O1151" s="1">
        <v>0</v>
      </c>
      <c r="P1151" s="1">
        <v>0</v>
      </c>
      <c r="Q1151" s="1">
        <v>0</v>
      </c>
      <c r="R1151" s="1">
        <v>26867562.210000001</v>
      </c>
      <c r="S1151" s="1">
        <v>2213119.1383783999</v>
      </c>
      <c r="T1151" s="1">
        <v>9.1432271539904004</v>
      </c>
      <c r="U1151" t="str">
        <f t="shared" si="17"/>
        <v>Week 1</v>
      </c>
    </row>
    <row r="1152" spans="1:21" x14ac:dyDescent="0.25">
      <c r="A1152" s="1">
        <v>1151</v>
      </c>
      <c r="B1152" s="1" t="s">
        <v>1082</v>
      </c>
      <c r="C1152" s="2">
        <v>46056</v>
      </c>
      <c r="D1152" s="1" t="s">
        <v>2979</v>
      </c>
      <c r="E1152" s="1" t="s">
        <v>203</v>
      </c>
      <c r="F1152" s="1" t="s">
        <v>30</v>
      </c>
      <c r="G1152" s="1" t="s">
        <v>24</v>
      </c>
      <c r="H1152" s="1">
        <v>1</v>
      </c>
      <c r="I1152" s="1" t="s">
        <v>1083</v>
      </c>
      <c r="J1152" s="1" t="s">
        <v>56</v>
      </c>
      <c r="K1152" s="1">
        <v>226463680</v>
      </c>
      <c r="L1152" s="1">
        <v>0</v>
      </c>
      <c r="M1152" s="1">
        <v>0</v>
      </c>
      <c r="N1152" s="1">
        <v>24911004.800000001</v>
      </c>
      <c r="O1152" s="1">
        <v>0</v>
      </c>
      <c r="P1152" s="1">
        <v>0</v>
      </c>
      <c r="Q1152" s="1">
        <v>0</v>
      </c>
      <c r="R1152" s="1">
        <v>251374684.80000001</v>
      </c>
      <c r="S1152" s="1">
        <v>58439591</v>
      </c>
      <c r="T1152" s="1">
        <v>25.805281888909999</v>
      </c>
      <c r="U1152" t="str">
        <f t="shared" si="17"/>
        <v>Week 1</v>
      </c>
    </row>
    <row r="1153" spans="1:21" x14ac:dyDescent="0.25">
      <c r="A1153" s="1">
        <v>1152</v>
      </c>
      <c r="B1153" s="1" t="s">
        <v>1084</v>
      </c>
      <c r="C1153" s="2">
        <v>46056</v>
      </c>
      <c r="D1153" s="1" t="s">
        <v>53</v>
      </c>
      <c r="E1153" s="1" t="s">
        <v>54</v>
      </c>
      <c r="F1153" s="1" t="s">
        <v>23</v>
      </c>
      <c r="G1153" s="1" t="s">
        <v>24</v>
      </c>
      <c r="H1153" s="1">
        <v>1</v>
      </c>
      <c r="I1153" s="1" t="s">
        <v>1085</v>
      </c>
      <c r="J1153" s="1"/>
      <c r="K1153" s="1">
        <v>11822000</v>
      </c>
      <c r="L1153" s="1">
        <v>0</v>
      </c>
      <c r="M1153" s="1">
        <v>0</v>
      </c>
      <c r="N1153" s="1">
        <v>0</v>
      </c>
      <c r="O1153" s="1">
        <v>0</v>
      </c>
      <c r="P1153" s="1">
        <v>0</v>
      </c>
      <c r="Q1153" s="1">
        <v>0</v>
      </c>
      <c r="R1153" s="1">
        <v>11822000</v>
      </c>
      <c r="S1153" s="1">
        <v>2826207.2972972998</v>
      </c>
      <c r="T1153" s="1">
        <v>23.906338160187001</v>
      </c>
      <c r="U1153" t="str">
        <f t="shared" si="17"/>
        <v>Week 1</v>
      </c>
    </row>
    <row r="1154" spans="1:21" x14ac:dyDescent="0.25">
      <c r="A1154" s="1">
        <v>1153</v>
      </c>
      <c r="B1154" s="1" t="s">
        <v>1086</v>
      </c>
      <c r="C1154" s="2">
        <v>46056</v>
      </c>
      <c r="D1154" s="1" t="s">
        <v>53</v>
      </c>
      <c r="E1154" s="1" t="s">
        <v>54</v>
      </c>
      <c r="F1154" s="1" t="s">
        <v>23</v>
      </c>
      <c r="G1154" s="1" t="s">
        <v>24</v>
      </c>
      <c r="H1154" s="1">
        <v>1</v>
      </c>
      <c r="I1154" s="1" t="s">
        <v>928</v>
      </c>
      <c r="J1154" s="1"/>
      <c r="K1154" s="1">
        <v>6498276</v>
      </c>
      <c r="L1154" s="1">
        <v>0</v>
      </c>
      <c r="M1154" s="1">
        <v>0</v>
      </c>
      <c r="N1154" s="1">
        <v>0</v>
      </c>
      <c r="O1154" s="1">
        <v>0</v>
      </c>
      <c r="P1154" s="1">
        <v>0</v>
      </c>
      <c r="Q1154" s="1">
        <v>0</v>
      </c>
      <c r="R1154" s="1">
        <v>6498276</v>
      </c>
      <c r="S1154" s="1">
        <v>1409171.1351351</v>
      </c>
      <c r="T1154" s="1">
        <v>21.685307535955001</v>
      </c>
      <c r="U1154" t="str">
        <f t="shared" si="17"/>
        <v>Week 1</v>
      </c>
    </row>
    <row r="1155" spans="1:21" x14ac:dyDescent="0.25">
      <c r="A1155" s="1">
        <v>1154</v>
      </c>
      <c r="B1155" s="1" t="s">
        <v>1087</v>
      </c>
      <c r="C1155" s="2">
        <v>46056</v>
      </c>
      <c r="D1155" s="1" t="s">
        <v>202</v>
      </c>
      <c r="E1155" s="1" t="s">
        <v>203</v>
      </c>
      <c r="F1155" s="1" t="s">
        <v>30</v>
      </c>
      <c r="G1155" s="1" t="s">
        <v>24</v>
      </c>
      <c r="H1155" s="1">
        <v>1</v>
      </c>
      <c r="I1155" s="1" t="s">
        <v>2741</v>
      </c>
      <c r="J1155" s="1" t="s">
        <v>26</v>
      </c>
      <c r="K1155" s="1">
        <v>18002176</v>
      </c>
      <c r="L1155" s="1">
        <v>0</v>
      </c>
      <c r="M1155" s="1">
        <v>0</v>
      </c>
      <c r="N1155" s="1">
        <v>1980239.36</v>
      </c>
      <c r="O1155" s="1">
        <v>0</v>
      </c>
      <c r="P1155" s="1">
        <v>0</v>
      </c>
      <c r="Q1155" s="1">
        <v>0</v>
      </c>
      <c r="R1155" s="1">
        <v>19982415.359999999</v>
      </c>
      <c r="S1155" s="1">
        <v>3819291.22</v>
      </c>
      <c r="T1155" s="1">
        <v>21.215719810761001</v>
      </c>
      <c r="U1155" t="str">
        <f t="shared" ref="U1155:U1218" si="18">"Week "&amp;IF(DAY(C1155)&gt;=24,4,INT((DAY(C1155)-1)/7)+1)</f>
        <v>Week 1</v>
      </c>
    </row>
    <row r="1156" spans="1:21" x14ac:dyDescent="0.25">
      <c r="A1156" s="1">
        <v>1155</v>
      </c>
      <c r="B1156" s="1" t="s">
        <v>1088</v>
      </c>
      <c r="C1156" s="2">
        <v>46056</v>
      </c>
      <c r="D1156" s="1" t="s">
        <v>53</v>
      </c>
      <c r="E1156" s="1" t="s">
        <v>54</v>
      </c>
      <c r="F1156" s="1" t="s">
        <v>23</v>
      </c>
      <c r="G1156" s="1" t="s">
        <v>24</v>
      </c>
      <c r="H1156" s="1">
        <v>1</v>
      </c>
      <c r="I1156" s="1" t="s">
        <v>1089</v>
      </c>
      <c r="J1156" s="1"/>
      <c r="K1156" s="1">
        <v>1708428.5714286</v>
      </c>
      <c r="L1156" s="1">
        <v>0</v>
      </c>
      <c r="M1156" s="1">
        <v>0</v>
      </c>
      <c r="N1156" s="1">
        <v>0</v>
      </c>
      <c r="O1156" s="1">
        <v>0</v>
      </c>
      <c r="P1156" s="1">
        <v>0</v>
      </c>
      <c r="Q1156" s="1">
        <v>0</v>
      </c>
      <c r="R1156" s="1">
        <v>1708428.5714286</v>
      </c>
      <c r="S1156" s="1">
        <v>929373.07350145001</v>
      </c>
      <c r="T1156" s="1">
        <v>54.399293540515004</v>
      </c>
      <c r="U1156" t="str">
        <f t="shared" si="18"/>
        <v>Week 1</v>
      </c>
    </row>
    <row r="1157" spans="1:21" x14ac:dyDescent="0.25">
      <c r="A1157" s="1">
        <v>1156</v>
      </c>
      <c r="B1157" s="1" t="s">
        <v>1090</v>
      </c>
      <c r="C1157" s="2">
        <v>46056</v>
      </c>
      <c r="D1157" s="1" t="s">
        <v>421</v>
      </c>
      <c r="E1157" s="1" t="s">
        <v>203</v>
      </c>
      <c r="F1157" s="1" t="s">
        <v>30</v>
      </c>
      <c r="G1157" s="1" t="s">
        <v>24</v>
      </c>
      <c r="H1157" s="1">
        <v>1</v>
      </c>
      <c r="I1157" s="1" t="s">
        <v>1091</v>
      </c>
      <c r="J1157" s="1" t="s">
        <v>26</v>
      </c>
      <c r="K1157" s="1">
        <v>70000</v>
      </c>
      <c r="L1157" s="1">
        <v>0</v>
      </c>
      <c r="M1157" s="1">
        <v>0</v>
      </c>
      <c r="N1157" s="1">
        <v>7700</v>
      </c>
      <c r="O1157" s="1">
        <v>0</v>
      </c>
      <c r="P1157" s="1">
        <v>0</v>
      </c>
      <c r="Q1157" s="1">
        <v>0</v>
      </c>
      <c r="R1157" s="1">
        <v>77700</v>
      </c>
      <c r="S1157" s="1">
        <v>14800</v>
      </c>
      <c r="T1157" s="1">
        <v>21.142857142857</v>
      </c>
      <c r="U1157" t="str">
        <f t="shared" si="18"/>
        <v>Week 1</v>
      </c>
    </row>
    <row r="1158" spans="1:21" x14ac:dyDescent="0.25">
      <c r="A1158" s="1">
        <v>1157</v>
      </c>
      <c r="B1158" s="1" t="s">
        <v>1092</v>
      </c>
      <c r="C1158" s="2">
        <v>46056</v>
      </c>
      <c r="D1158" s="1" t="s">
        <v>21</v>
      </c>
      <c r="E1158" s="1" t="s">
        <v>22</v>
      </c>
      <c r="F1158" s="1" t="s">
        <v>30</v>
      </c>
      <c r="G1158" s="1" t="s">
        <v>24</v>
      </c>
      <c r="H1158" s="1">
        <v>1</v>
      </c>
      <c r="I1158" s="1" t="s">
        <v>1093</v>
      </c>
      <c r="J1158" s="1" t="s">
        <v>26</v>
      </c>
      <c r="K1158" s="1">
        <v>56150500</v>
      </c>
      <c r="L1158" s="1">
        <v>0</v>
      </c>
      <c r="M1158" s="1">
        <v>0</v>
      </c>
      <c r="N1158" s="1">
        <v>0</v>
      </c>
      <c r="O1158" s="1">
        <v>0</v>
      </c>
      <c r="P1158" s="1">
        <v>0</v>
      </c>
      <c r="Q1158" s="1">
        <v>0</v>
      </c>
      <c r="R1158" s="1">
        <v>56150500</v>
      </c>
      <c r="S1158" s="1">
        <v>1681170</v>
      </c>
      <c r="T1158" s="1">
        <v>2.9940427957007998</v>
      </c>
      <c r="U1158" t="str">
        <f t="shared" si="18"/>
        <v>Week 1</v>
      </c>
    </row>
    <row r="1159" spans="1:21" x14ac:dyDescent="0.25">
      <c r="A1159" s="1">
        <v>1158</v>
      </c>
      <c r="B1159" s="1" t="s">
        <v>1094</v>
      </c>
      <c r="C1159" s="2">
        <v>46056</v>
      </c>
      <c r="D1159" s="1" t="s">
        <v>33</v>
      </c>
      <c r="E1159" s="1" t="s">
        <v>38</v>
      </c>
      <c r="F1159" s="1" t="s">
        <v>30</v>
      </c>
      <c r="G1159" s="1" t="s">
        <v>24</v>
      </c>
      <c r="H1159" s="1">
        <v>1</v>
      </c>
      <c r="I1159" s="1" t="s">
        <v>1095</v>
      </c>
      <c r="J1159" s="1"/>
      <c r="K1159" s="1">
        <v>14513800</v>
      </c>
      <c r="L1159" s="1">
        <v>0</v>
      </c>
      <c r="M1159" s="1">
        <v>0</v>
      </c>
      <c r="N1159" s="1">
        <v>1596518</v>
      </c>
      <c r="O1159" s="1">
        <v>0</v>
      </c>
      <c r="P1159" s="1">
        <v>0</v>
      </c>
      <c r="Q1159" s="1">
        <v>0</v>
      </c>
      <c r="R1159" s="1">
        <v>16110318</v>
      </c>
      <c r="S1159" s="1">
        <v>2663800</v>
      </c>
      <c r="T1159" s="1">
        <v>18.353566950074999</v>
      </c>
      <c r="U1159" t="str">
        <f t="shared" si="18"/>
        <v>Week 1</v>
      </c>
    </row>
    <row r="1160" spans="1:21" x14ac:dyDescent="0.25">
      <c r="A1160" s="1">
        <v>1159</v>
      </c>
      <c r="B1160" s="1" t="s">
        <v>1098</v>
      </c>
      <c r="C1160" s="2">
        <v>46056</v>
      </c>
      <c r="D1160" s="1" t="s">
        <v>248</v>
      </c>
      <c r="E1160" s="1" t="s">
        <v>116</v>
      </c>
      <c r="F1160" s="1" t="s">
        <v>23</v>
      </c>
      <c r="G1160" s="1" t="s">
        <v>24</v>
      </c>
      <c r="H1160" s="1">
        <v>1</v>
      </c>
      <c r="I1160" s="1" t="s">
        <v>1099</v>
      </c>
      <c r="J1160" s="1" t="s">
        <v>26</v>
      </c>
      <c r="K1160" s="1">
        <v>4295000</v>
      </c>
      <c r="L1160" s="1">
        <v>0</v>
      </c>
      <c r="M1160" s="1">
        <v>0</v>
      </c>
      <c r="N1160" s="1">
        <v>0</v>
      </c>
      <c r="O1160" s="1">
        <v>0</v>
      </c>
      <c r="P1160" s="1">
        <v>0</v>
      </c>
      <c r="Q1160" s="1">
        <v>0</v>
      </c>
      <c r="R1160" s="1">
        <v>4295000</v>
      </c>
      <c r="S1160" s="1">
        <v>1145000</v>
      </c>
      <c r="T1160" s="1">
        <v>26.658905704306999</v>
      </c>
      <c r="U1160" t="str">
        <f t="shared" si="18"/>
        <v>Week 1</v>
      </c>
    </row>
    <row r="1161" spans="1:21" x14ac:dyDescent="0.25">
      <c r="A1161" s="1">
        <v>1160</v>
      </c>
      <c r="B1161" s="1" t="s">
        <v>1100</v>
      </c>
      <c r="C1161" s="2">
        <v>46056</v>
      </c>
      <c r="D1161" s="1" t="s">
        <v>248</v>
      </c>
      <c r="E1161" s="1" t="s">
        <v>116</v>
      </c>
      <c r="F1161" s="1" t="s">
        <v>23</v>
      </c>
      <c r="G1161" s="1" t="s">
        <v>24</v>
      </c>
      <c r="H1161" s="1">
        <v>1</v>
      </c>
      <c r="I1161" s="1" t="s">
        <v>1099</v>
      </c>
      <c r="J1161" s="1" t="s">
        <v>26</v>
      </c>
      <c r="K1161" s="1">
        <v>66935880</v>
      </c>
      <c r="L1161" s="1">
        <v>0</v>
      </c>
      <c r="M1161" s="1">
        <v>0</v>
      </c>
      <c r="N1161" s="1">
        <v>0</v>
      </c>
      <c r="O1161" s="1">
        <v>0</v>
      </c>
      <c r="P1161" s="1">
        <v>0</v>
      </c>
      <c r="Q1161" s="1">
        <v>0</v>
      </c>
      <c r="R1161" s="1">
        <v>66935880</v>
      </c>
      <c r="S1161" s="1">
        <v>13792880</v>
      </c>
      <c r="T1161" s="1">
        <v>20.606108413007</v>
      </c>
      <c r="U1161" t="str">
        <f t="shared" si="18"/>
        <v>Week 1</v>
      </c>
    </row>
    <row r="1162" spans="1:21" x14ac:dyDescent="0.25">
      <c r="A1162" s="1">
        <v>1161</v>
      </c>
      <c r="B1162" s="1" t="s">
        <v>2245</v>
      </c>
      <c r="C1162" s="2">
        <v>46055</v>
      </c>
      <c r="D1162" s="1" t="s">
        <v>2210</v>
      </c>
      <c r="E1162" s="1" t="s">
        <v>192</v>
      </c>
      <c r="F1162" s="1" t="s">
        <v>23</v>
      </c>
      <c r="G1162" s="1" t="s">
        <v>24</v>
      </c>
      <c r="H1162" s="1">
        <v>1</v>
      </c>
      <c r="I1162" s="1" t="s">
        <v>2246</v>
      </c>
      <c r="J1162" s="1" t="s">
        <v>56</v>
      </c>
      <c r="K1162" s="1">
        <v>7228912</v>
      </c>
      <c r="L1162" s="1">
        <v>0</v>
      </c>
      <c r="M1162" s="1">
        <v>0</v>
      </c>
      <c r="N1162" s="1">
        <v>795180.32</v>
      </c>
      <c r="O1162" s="1">
        <v>0</v>
      </c>
      <c r="P1162" s="1">
        <v>0</v>
      </c>
      <c r="Q1162" s="1">
        <v>0</v>
      </c>
      <c r="R1162" s="1">
        <v>8024092.3200000003</v>
      </c>
      <c r="S1162" s="1">
        <v>568912</v>
      </c>
      <c r="T1162" s="1">
        <v>7.8699533207763004</v>
      </c>
      <c r="U1162" t="str">
        <f t="shared" si="18"/>
        <v>Week 1</v>
      </c>
    </row>
    <row r="1163" spans="1:21" x14ac:dyDescent="0.25">
      <c r="A1163" s="1">
        <v>1162</v>
      </c>
      <c r="B1163" s="1" t="s">
        <v>2247</v>
      </c>
      <c r="C1163" s="2">
        <v>46055</v>
      </c>
      <c r="D1163" s="1" t="s">
        <v>2210</v>
      </c>
      <c r="E1163" s="1" t="s">
        <v>192</v>
      </c>
      <c r="F1163" s="1" t="s">
        <v>23</v>
      </c>
      <c r="G1163" s="1" t="s">
        <v>24</v>
      </c>
      <c r="H1163" s="1">
        <v>1</v>
      </c>
      <c r="I1163" s="1" t="s">
        <v>2248</v>
      </c>
      <c r="J1163" s="1" t="s">
        <v>56</v>
      </c>
      <c r="K1163" s="1">
        <v>7228912</v>
      </c>
      <c r="L1163" s="1">
        <v>0</v>
      </c>
      <c r="M1163" s="1">
        <v>0</v>
      </c>
      <c r="N1163" s="1">
        <v>795180.32</v>
      </c>
      <c r="O1163" s="1">
        <v>0</v>
      </c>
      <c r="P1163" s="1">
        <v>0</v>
      </c>
      <c r="Q1163" s="1">
        <v>0</v>
      </c>
      <c r="R1163" s="1">
        <v>8024092.3200000003</v>
      </c>
      <c r="S1163" s="1">
        <v>568912</v>
      </c>
      <c r="T1163" s="1">
        <v>7.8699533207763004</v>
      </c>
      <c r="U1163" t="str">
        <f t="shared" si="18"/>
        <v>Week 1</v>
      </c>
    </row>
    <row r="1164" spans="1:21" x14ac:dyDescent="0.25">
      <c r="A1164" s="1">
        <v>1163</v>
      </c>
      <c r="B1164" s="1" t="s">
        <v>2249</v>
      </c>
      <c r="C1164" s="2">
        <v>46055</v>
      </c>
      <c r="D1164" s="1" t="s">
        <v>2210</v>
      </c>
      <c r="E1164" s="1" t="s">
        <v>192</v>
      </c>
      <c r="F1164" s="1" t="s">
        <v>23</v>
      </c>
      <c r="G1164" s="1" t="s">
        <v>24</v>
      </c>
      <c r="H1164" s="1">
        <v>1</v>
      </c>
      <c r="I1164" s="1" t="s">
        <v>2250</v>
      </c>
      <c r="J1164" s="1" t="s">
        <v>56</v>
      </c>
      <c r="K1164" s="1">
        <v>7228912</v>
      </c>
      <c r="L1164" s="1">
        <v>0</v>
      </c>
      <c r="M1164" s="1">
        <v>0</v>
      </c>
      <c r="N1164" s="1">
        <v>795180.32</v>
      </c>
      <c r="O1164" s="1">
        <v>0</v>
      </c>
      <c r="P1164" s="1">
        <v>0</v>
      </c>
      <c r="Q1164" s="1">
        <v>0</v>
      </c>
      <c r="R1164" s="1">
        <v>8024092.3200000003</v>
      </c>
      <c r="S1164" s="1">
        <v>568912</v>
      </c>
      <c r="T1164" s="1">
        <v>7.8699533207763004</v>
      </c>
      <c r="U1164" t="str">
        <f t="shared" si="18"/>
        <v>Week 1</v>
      </c>
    </row>
    <row r="1165" spans="1:21" x14ac:dyDescent="0.25">
      <c r="A1165" s="1">
        <v>1164</v>
      </c>
      <c r="B1165" s="1" t="s">
        <v>1101</v>
      </c>
      <c r="C1165" s="2">
        <v>46055</v>
      </c>
      <c r="D1165" s="1" t="s">
        <v>53</v>
      </c>
      <c r="E1165" s="1" t="s">
        <v>54</v>
      </c>
      <c r="F1165" s="1" t="s">
        <v>23</v>
      </c>
      <c r="G1165" s="1" t="s">
        <v>24</v>
      </c>
      <c r="H1165" s="1">
        <v>1</v>
      </c>
      <c r="I1165" s="1" t="s">
        <v>1102</v>
      </c>
      <c r="J1165" s="1"/>
      <c r="K1165" s="1">
        <v>4650000</v>
      </c>
      <c r="L1165" s="1">
        <v>0</v>
      </c>
      <c r="M1165" s="1">
        <v>0</v>
      </c>
      <c r="N1165" s="1">
        <v>0</v>
      </c>
      <c r="O1165" s="1">
        <v>0</v>
      </c>
      <c r="P1165" s="1">
        <v>0</v>
      </c>
      <c r="Q1165" s="1">
        <v>0</v>
      </c>
      <c r="R1165" s="1">
        <v>4650000</v>
      </c>
      <c r="S1165" s="1">
        <v>1100000</v>
      </c>
      <c r="T1165" s="1">
        <v>23.655913978495001</v>
      </c>
      <c r="U1165" t="str">
        <f t="shared" si="18"/>
        <v>Week 1</v>
      </c>
    </row>
    <row r="1166" spans="1:21" x14ac:dyDescent="0.25">
      <c r="A1166" s="1">
        <v>1165</v>
      </c>
      <c r="B1166" s="1" t="s">
        <v>1103</v>
      </c>
      <c r="C1166" s="2">
        <v>46055</v>
      </c>
      <c r="D1166" s="1" t="s">
        <v>511</v>
      </c>
      <c r="E1166" s="1" t="s">
        <v>38</v>
      </c>
      <c r="F1166" s="1" t="s">
        <v>23</v>
      </c>
      <c r="G1166" s="1" t="s">
        <v>24</v>
      </c>
      <c r="H1166" s="1">
        <v>1</v>
      </c>
      <c r="I1166" s="1" t="s">
        <v>807</v>
      </c>
      <c r="J1166" s="1" t="s">
        <v>26</v>
      </c>
      <c r="K1166" s="1">
        <v>70790394.75</v>
      </c>
      <c r="L1166" s="1">
        <v>0</v>
      </c>
      <c r="M1166" s="1">
        <v>0</v>
      </c>
      <c r="N1166" s="1">
        <v>7786943.4225000003</v>
      </c>
      <c r="O1166" s="1">
        <v>0</v>
      </c>
      <c r="P1166" s="1">
        <v>0</v>
      </c>
      <c r="Q1166" s="1">
        <v>0</v>
      </c>
      <c r="R1166" s="1">
        <v>78577338.172499999</v>
      </c>
      <c r="S1166" s="1">
        <v>9830989.75</v>
      </c>
      <c r="T1166" s="1">
        <v>13.887462818534001</v>
      </c>
      <c r="U1166" t="str">
        <f t="shared" si="18"/>
        <v>Week 1</v>
      </c>
    </row>
    <row r="1167" spans="1:21" x14ac:dyDescent="0.25">
      <c r="A1167" s="1">
        <v>1166</v>
      </c>
      <c r="B1167" s="1" t="s">
        <v>1104</v>
      </c>
      <c r="C1167" s="2">
        <v>46055</v>
      </c>
      <c r="D1167" s="1" t="s">
        <v>248</v>
      </c>
      <c r="E1167" s="1" t="s">
        <v>116</v>
      </c>
      <c r="F1167" s="1" t="s">
        <v>23</v>
      </c>
      <c r="G1167" s="1" t="s">
        <v>24</v>
      </c>
      <c r="H1167" s="1">
        <v>1</v>
      </c>
      <c r="I1167" s="1" t="s">
        <v>1105</v>
      </c>
      <c r="J1167" s="1" t="s">
        <v>26</v>
      </c>
      <c r="K1167" s="1">
        <v>3700000</v>
      </c>
      <c r="L1167" s="1">
        <v>0</v>
      </c>
      <c r="M1167" s="1">
        <v>0</v>
      </c>
      <c r="N1167" s="1">
        <v>0</v>
      </c>
      <c r="O1167" s="1">
        <v>0</v>
      </c>
      <c r="P1167" s="1">
        <v>0</v>
      </c>
      <c r="Q1167" s="1">
        <v>0</v>
      </c>
      <c r="R1167" s="1">
        <v>3700000</v>
      </c>
      <c r="S1167" s="1">
        <v>828500</v>
      </c>
      <c r="T1167" s="1">
        <v>22.391891891892001</v>
      </c>
      <c r="U1167" t="str">
        <f t="shared" si="18"/>
        <v>Week 1</v>
      </c>
    </row>
    <row r="1168" spans="1:21" x14ac:dyDescent="0.25">
      <c r="A1168" s="1">
        <v>1167</v>
      </c>
      <c r="B1168" s="1" t="s">
        <v>2251</v>
      </c>
      <c r="C1168" s="2">
        <v>46055</v>
      </c>
      <c r="D1168" s="1" t="s">
        <v>2210</v>
      </c>
      <c r="E1168" s="1" t="s">
        <v>192</v>
      </c>
      <c r="F1168" s="1" t="s">
        <v>23</v>
      </c>
      <c r="G1168" s="1" t="s">
        <v>24</v>
      </c>
      <c r="H1168" s="1">
        <v>1</v>
      </c>
      <c r="I1168" s="1" t="s">
        <v>2252</v>
      </c>
      <c r="J1168" s="1" t="s">
        <v>56</v>
      </c>
      <c r="K1168" s="1">
        <v>7228912</v>
      </c>
      <c r="L1168" s="1">
        <v>0</v>
      </c>
      <c r="M1168" s="1">
        <v>0</v>
      </c>
      <c r="N1168" s="1">
        <v>795180.32</v>
      </c>
      <c r="O1168" s="1">
        <v>0</v>
      </c>
      <c r="P1168" s="1">
        <v>0</v>
      </c>
      <c r="Q1168" s="1">
        <v>0</v>
      </c>
      <c r="R1168" s="1">
        <v>8024092.3200000003</v>
      </c>
      <c r="S1168" s="1">
        <v>568912</v>
      </c>
      <c r="T1168" s="1">
        <v>7.8699533207763004</v>
      </c>
      <c r="U1168" t="str">
        <f t="shared" si="18"/>
        <v>Week 1</v>
      </c>
    </row>
    <row r="1169" spans="1:21" x14ac:dyDescent="0.25">
      <c r="A1169" s="1">
        <v>1168</v>
      </c>
      <c r="B1169" s="1" t="s">
        <v>2253</v>
      </c>
      <c r="C1169" s="2">
        <v>46055</v>
      </c>
      <c r="D1169" s="1" t="s">
        <v>2210</v>
      </c>
      <c r="E1169" s="1" t="s">
        <v>192</v>
      </c>
      <c r="F1169" s="1" t="s">
        <v>30</v>
      </c>
      <c r="G1169" s="1" t="s">
        <v>24</v>
      </c>
      <c r="H1169" s="1">
        <v>1</v>
      </c>
      <c r="I1169" s="1" t="s">
        <v>2254</v>
      </c>
      <c r="J1169" s="1" t="s">
        <v>56</v>
      </c>
      <c r="K1169" s="1">
        <v>289156480</v>
      </c>
      <c r="L1169" s="1">
        <v>0</v>
      </c>
      <c r="M1169" s="1">
        <v>0</v>
      </c>
      <c r="N1169" s="1">
        <v>31807212.800000001</v>
      </c>
      <c r="O1169" s="1">
        <v>0</v>
      </c>
      <c r="P1169" s="1">
        <v>0</v>
      </c>
      <c r="Q1169" s="1">
        <v>0</v>
      </c>
      <c r="R1169" s="1">
        <v>320963692.80000001</v>
      </c>
      <c r="S1169" s="1">
        <v>22756480</v>
      </c>
      <c r="T1169" s="1">
        <v>7.8699533207763004</v>
      </c>
      <c r="U1169" t="str">
        <f t="shared" si="18"/>
        <v>Week 1</v>
      </c>
    </row>
    <row r="1170" spans="1:21" x14ac:dyDescent="0.25">
      <c r="A1170" s="1">
        <v>1169</v>
      </c>
      <c r="B1170" s="1" t="s">
        <v>1106</v>
      </c>
      <c r="C1170" s="2">
        <v>46055</v>
      </c>
      <c r="D1170" s="1" t="s">
        <v>53</v>
      </c>
      <c r="E1170" s="1" t="s">
        <v>54</v>
      </c>
      <c r="F1170" s="1" t="s">
        <v>30</v>
      </c>
      <c r="G1170" s="1" t="s">
        <v>24</v>
      </c>
      <c r="H1170" s="1">
        <v>1</v>
      </c>
      <c r="I1170" s="1" t="s">
        <v>1107</v>
      </c>
      <c r="J1170" s="1"/>
      <c r="K1170" s="1">
        <v>21564900</v>
      </c>
      <c r="L1170" s="1">
        <v>0</v>
      </c>
      <c r="M1170" s="1">
        <v>0</v>
      </c>
      <c r="N1170" s="1">
        <v>0</v>
      </c>
      <c r="O1170" s="1">
        <v>0</v>
      </c>
      <c r="P1170" s="1">
        <v>0</v>
      </c>
      <c r="Q1170" s="1">
        <v>0</v>
      </c>
      <c r="R1170" s="1">
        <v>21564900</v>
      </c>
      <c r="S1170" s="1">
        <v>3794900</v>
      </c>
      <c r="T1170" s="1">
        <v>17.597577544991999</v>
      </c>
      <c r="U1170" t="str">
        <f t="shared" si="18"/>
        <v>Week 1</v>
      </c>
    </row>
    <row r="1171" spans="1:21" x14ac:dyDescent="0.25">
      <c r="A1171" s="1">
        <v>1170</v>
      </c>
      <c r="B1171" s="1" t="s">
        <v>1108</v>
      </c>
      <c r="C1171" s="2">
        <v>46055</v>
      </c>
      <c r="D1171" s="1" t="s">
        <v>248</v>
      </c>
      <c r="E1171" s="1" t="s">
        <v>116</v>
      </c>
      <c r="F1171" s="1" t="s">
        <v>23</v>
      </c>
      <c r="G1171" s="1" t="s">
        <v>24</v>
      </c>
      <c r="H1171" s="1">
        <v>1</v>
      </c>
      <c r="I1171" s="1" t="s">
        <v>1105</v>
      </c>
      <c r="J1171" s="1" t="s">
        <v>26</v>
      </c>
      <c r="K1171" s="1">
        <v>15622200</v>
      </c>
      <c r="L1171" s="1">
        <v>0</v>
      </c>
      <c r="M1171" s="1">
        <v>0</v>
      </c>
      <c r="N1171" s="1">
        <v>1718442</v>
      </c>
      <c r="O1171" s="1">
        <v>0</v>
      </c>
      <c r="P1171" s="1">
        <v>0</v>
      </c>
      <c r="Q1171" s="1">
        <v>0</v>
      </c>
      <c r="R1171" s="1">
        <v>17340642</v>
      </c>
      <c r="S1171" s="1">
        <v>2995000</v>
      </c>
      <c r="T1171" s="1">
        <v>19.171435521245002</v>
      </c>
      <c r="U1171" t="str">
        <f t="shared" si="18"/>
        <v>Week 1</v>
      </c>
    </row>
    <row r="1172" spans="1:21" x14ac:dyDescent="0.25">
      <c r="A1172" s="1">
        <v>1171</v>
      </c>
      <c r="B1172" s="1" t="s">
        <v>1109</v>
      </c>
      <c r="C1172" s="2">
        <v>46055</v>
      </c>
      <c r="D1172" s="1" t="s">
        <v>21</v>
      </c>
      <c r="E1172" s="1" t="s">
        <v>54</v>
      </c>
      <c r="F1172" s="1" t="s">
        <v>30</v>
      </c>
      <c r="G1172" s="1" t="s">
        <v>24</v>
      </c>
      <c r="H1172" s="1">
        <v>1</v>
      </c>
      <c r="I1172" s="1" t="s">
        <v>1110</v>
      </c>
      <c r="J1172" s="1"/>
      <c r="K1172" s="1">
        <v>21564900</v>
      </c>
      <c r="L1172" s="1">
        <v>0</v>
      </c>
      <c r="M1172" s="1">
        <v>0</v>
      </c>
      <c r="N1172" s="1">
        <v>2372139</v>
      </c>
      <c r="O1172" s="1">
        <v>0</v>
      </c>
      <c r="P1172" s="1">
        <v>0</v>
      </c>
      <c r="Q1172" s="1">
        <v>0</v>
      </c>
      <c r="R1172" s="1">
        <v>23937039</v>
      </c>
      <c r="S1172" s="1">
        <v>3794900</v>
      </c>
      <c r="T1172" s="1">
        <v>17.597577544991999</v>
      </c>
      <c r="U1172" t="str">
        <f t="shared" si="18"/>
        <v>Week 1</v>
      </c>
    </row>
    <row r="1173" spans="1:21" x14ac:dyDescent="0.25">
      <c r="A1173" s="1">
        <v>1172</v>
      </c>
      <c r="B1173" s="1" t="s">
        <v>1111</v>
      </c>
      <c r="C1173" s="2">
        <v>46055</v>
      </c>
      <c r="D1173" s="1" t="s">
        <v>37</v>
      </c>
      <c r="E1173" s="1" t="s">
        <v>38</v>
      </c>
      <c r="F1173" s="1" t="s">
        <v>30</v>
      </c>
      <c r="G1173" s="1" t="s">
        <v>24</v>
      </c>
      <c r="H1173" s="1">
        <v>1</v>
      </c>
      <c r="I1173" s="1" t="s">
        <v>762</v>
      </c>
      <c r="J1173" s="1"/>
      <c r="K1173" s="1">
        <v>206170</v>
      </c>
      <c r="L1173" s="1">
        <v>0</v>
      </c>
      <c r="M1173" s="1">
        <v>0</v>
      </c>
      <c r="N1173" s="1">
        <v>22678.7</v>
      </c>
      <c r="O1173" s="1">
        <v>0</v>
      </c>
      <c r="P1173" s="1">
        <v>0</v>
      </c>
      <c r="Q1173" s="1">
        <v>0</v>
      </c>
      <c r="R1173" s="1">
        <v>228848.7</v>
      </c>
      <c r="S1173" s="1">
        <v>70359.189189190001</v>
      </c>
      <c r="T1173" s="1">
        <v>34.126783328898</v>
      </c>
      <c r="U1173" t="str">
        <f t="shared" si="18"/>
        <v>Week 1</v>
      </c>
    </row>
    <row r="1174" spans="1:21" x14ac:dyDescent="0.25">
      <c r="A1174" s="1">
        <v>1173</v>
      </c>
      <c r="B1174" s="1" t="s">
        <v>1112</v>
      </c>
      <c r="C1174" s="2">
        <v>46055</v>
      </c>
      <c r="D1174" s="1" t="s">
        <v>33</v>
      </c>
      <c r="E1174" s="1" t="s">
        <v>38</v>
      </c>
      <c r="F1174" s="1" t="s">
        <v>30</v>
      </c>
      <c r="G1174" s="1" t="s">
        <v>24</v>
      </c>
      <c r="H1174" s="1">
        <v>1</v>
      </c>
      <c r="I1174" s="1" t="s">
        <v>1074</v>
      </c>
      <c r="J1174" s="1"/>
      <c r="K1174" s="1">
        <v>1960000</v>
      </c>
      <c r="L1174" s="1">
        <v>0</v>
      </c>
      <c r="M1174" s="1">
        <v>0</v>
      </c>
      <c r="N1174" s="1">
        <v>215600</v>
      </c>
      <c r="O1174" s="1">
        <v>0</v>
      </c>
      <c r="P1174" s="1">
        <v>0</v>
      </c>
      <c r="Q1174" s="1">
        <v>0</v>
      </c>
      <c r="R1174" s="1">
        <v>2175600</v>
      </c>
      <c r="S1174" s="1">
        <v>387927.93</v>
      </c>
      <c r="T1174" s="1">
        <v>19.792241326530998</v>
      </c>
      <c r="U1174" t="str">
        <f t="shared" si="18"/>
        <v>Week 1</v>
      </c>
    </row>
    <row r="1175" spans="1:21" x14ac:dyDescent="0.25">
      <c r="A1175" s="1">
        <v>1174</v>
      </c>
      <c r="B1175" s="1" t="s">
        <v>1113</v>
      </c>
      <c r="C1175" s="2">
        <v>46055</v>
      </c>
      <c r="D1175" s="1" t="s">
        <v>396</v>
      </c>
      <c r="E1175" s="1" t="s">
        <v>22</v>
      </c>
      <c r="F1175" s="1" t="s">
        <v>23</v>
      </c>
      <c r="G1175" s="1" t="s">
        <v>24</v>
      </c>
      <c r="H1175" s="1">
        <v>1</v>
      </c>
      <c r="I1175" s="1" t="s">
        <v>1114</v>
      </c>
      <c r="J1175" s="1" t="s">
        <v>26</v>
      </c>
      <c r="K1175" s="1">
        <v>1900000</v>
      </c>
      <c r="L1175" s="1">
        <v>0</v>
      </c>
      <c r="M1175" s="1">
        <v>0</v>
      </c>
      <c r="N1175" s="1">
        <v>209000</v>
      </c>
      <c r="O1175" s="1">
        <v>0</v>
      </c>
      <c r="P1175" s="1">
        <v>0</v>
      </c>
      <c r="Q1175" s="1">
        <v>0</v>
      </c>
      <c r="R1175" s="1">
        <v>2109000</v>
      </c>
      <c r="S1175" s="1">
        <v>510000</v>
      </c>
      <c r="T1175" s="1">
        <v>26.842105263158</v>
      </c>
      <c r="U1175" t="str">
        <f t="shared" si="18"/>
        <v>Week 1</v>
      </c>
    </row>
    <row r="1176" spans="1:21" x14ac:dyDescent="0.25">
      <c r="A1176" s="1">
        <v>1175</v>
      </c>
      <c r="B1176" s="1" t="s">
        <v>1116</v>
      </c>
      <c r="C1176" s="2">
        <v>46055</v>
      </c>
      <c r="D1176" s="1" t="s">
        <v>112</v>
      </c>
      <c r="E1176" s="1" t="s">
        <v>38</v>
      </c>
      <c r="F1176" s="1" t="s">
        <v>30</v>
      </c>
      <c r="G1176" s="1" t="s">
        <v>24</v>
      </c>
      <c r="H1176" s="1">
        <v>1</v>
      </c>
      <c r="I1176" s="1" t="s">
        <v>1117</v>
      </c>
      <c r="J1176" s="1"/>
      <c r="K1176" s="1">
        <v>39565616.439999998</v>
      </c>
      <c r="L1176" s="1">
        <v>0</v>
      </c>
      <c r="M1176" s="1">
        <v>0</v>
      </c>
      <c r="N1176" s="1">
        <v>4352217.8084000004</v>
      </c>
      <c r="O1176" s="1">
        <v>0</v>
      </c>
      <c r="P1176" s="1">
        <v>0</v>
      </c>
      <c r="Q1176" s="1">
        <v>0</v>
      </c>
      <c r="R1176" s="1">
        <v>43917834.248400003</v>
      </c>
      <c r="S1176" s="1">
        <v>10765129.439999999</v>
      </c>
      <c r="T1176" s="1">
        <v>27.208294495613</v>
      </c>
      <c r="U1176" t="str">
        <f t="shared" si="18"/>
        <v>Week 1</v>
      </c>
    </row>
    <row r="1177" spans="1:21" x14ac:dyDescent="0.25">
      <c r="A1177" s="1">
        <v>1176</v>
      </c>
      <c r="B1177" s="1" t="s">
        <v>1118</v>
      </c>
      <c r="C1177" s="2">
        <v>46055</v>
      </c>
      <c r="D1177" s="1" t="s">
        <v>1119</v>
      </c>
      <c r="E1177" s="1" t="s">
        <v>192</v>
      </c>
      <c r="F1177" s="1" t="s">
        <v>23</v>
      </c>
      <c r="G1177" s="1" t="s">
        <v>24</v>
      </c>
      <c r="H1177" s="1">
        <v>1</v>
      </c>
      <c r="I1177" s="1" t="s">
        <v>1120</v>
      </c>
      <c r="J1177" s="1" t="s">
        <v>56</v>
      </c>
      <c r="K1177" s="1">
        <v>265491460</v>
      </c>
      <c r="L1177" s="1">
        <v>0</v>
      </c>
      <c r="M1177" s="1">
        <v>0</v>
      </c>
      <c r="N1177" s="1">
        <v>29204060.600000001</v>
      </c>
      <c r="O1177" s="1">
        <v>0</v>
      </c>
      <c r="P1177" s="1">
        <v>0</v>
      </c>
      <c r="Q1177" s="1">
        <v>0</v>
      </c>
      <c r="R1177" s="1">
        <v>294695520.60000002</v>
      </c>
      <c r="S1177" s="1">
        <v>115525541.11206999</v>
      </c>
      <c r="T1177" s="1">
        <v>43.513844517663003</v>
      </c>
      <c r="U1177" t="str">
        <f t="shared" si="18"/>
        <v>Week 1</v>
      </c>
    </row>
    <row r="1178" spans="1:21" x14ac:dyDescent="0.25">
      <c r="A1178" s="1">
        <v>1177</v>
      </c>
      <c r="B1178" s="1" t="s">
        <v>1121</v>
      </c>
      <c r="C1178" s="2">
        <v>46055</v>
      </c>
      <c r="D1178" s="1" t="s">
        <v>21</v>
      </c>
      <c r="E1178" s="1" t="s">
        <v>22</v>
      </c>
      <c r="F1178" s="1" t="s">
        <v>23</v>
      </c>
      <c r="G1178" s="1" t="s">
        <v>24</v>
      </c>
      <c r="H1178" s="1">
        <v>1</v>
      </c>
      <c r="I1178" s="1" t="s">
        <v>1122</v>
      </c>
      <c r="J1178" s="1" t="s">
        <v>26</v>
      </c>
      <c r="K1178" s="1">
        <v>6126549</v>
      </c>
      <c r="L1178" s="1">
        <v>0</v>
      </c>
      <c r="M1178" s="1">
        <v>0</v>
      </c>
      <c r="N1178" s="1">
        <v>673920.39</v>
      </c>
      <c r="O1178" s="1">
        <v>0</v>
      </c>
      <c r="P1178" s="1">
        <v>0</v>
      </c>
      <c r="Q1178" s="1">
        <v>0</v>
      </c>
      <c r="R1178" s="1">
        <v>6800469.3899999997</v>
      </c>
      <c r="S1178" s="1">
        <v>1747550.6594597001</v>
      </c>
      <c r="T1178" s="1">
        <v>28.524225619671</v>
      </c>
      <c r="U1178" t="str">
        <f t="shared" si="18"/>
        <v>Week 1</v>
      </c>
    </row>
    <row r="1179" spans="1:21" x14ac:dyDescent="0.25">
      <c r="A1179" s="1">
        <v>1178</v>
      </c>
      <c r="B1179" s="1" t="s">
        <v>1123</v>
      </c>
      <c r="C1179" s="2">
        <v>46055</v>
      </c>
      <c r="D1179" s="1" t="s">
        <v>37</v>
      </c>
      <c r="E1179" s="1" t="s">
        <v>38</v>
      </c>
      <c r="F1179" s="1" t="s">
        <v>23</v>
      </c>
      <c r="G1179" s="1" t="s">
        <v>24</v>
      </c>
      <c r="H1179" s="1">
        <v>1</v>
      </c>
      <c r="I1179" s="1" t="s">
        <v>1124</v>
      </c>
      <c r="J1179" s="1"/>
      <c r="K1179" s="1">
        <v>3852200</v>
      </c>
      <c r="L1179" s="1">
        <v>0</v>
      </c>
      <c r="M1179" s="1">
        <v>0</v>
      </c>
      <c r="N1179" s="1">
        <v>423742</v>
      </c>
      <c r="O1179" s="1">
        <v>0</v>
      </c>
      <c r="P1179" s="1">
        <v>0</v>
      </c>
      <c r="Q1179" s="1">
        <v>0</v>
      </c>
      <c r="R1179" s="1">
        <v>4275942</v>
      </c>
      <c r="S1179" s="1">
        <v>1342290</v>
      </c>
      <c r="T1179" s="1">
        <v>34.844764030942997</v>
      </c>
      <c r="U1179" t="str">
        <f t="shared" si="18"/>
        <v>Week 1</v>
      </c>
    </row>
    <row r="1180" spans="1:21" x14ac:dyDescent="0.25">
      <c r="A1180" s="1">
        <v>1179</v>
      </c>
      <c r="B1180" s="1" t="s">
        <v>1125</v>
      </c>
      <c r="C1180" s="2">
        <v>46055</v>
      </c>
      <c r="D1180" s="1" t="s">
        <v>511</v>
      </c>
      <c r="E1180" s="1" t="s">
        <v>38</v>
      </c>
      <c r="F1180" s="1" t="s">
        <v>23</v>
      </c>
      <c r="G1180" s="1" t="s">
        <v>24</v>
      </c>
      <c r="H1180" s="1">
        <v>1</v>
      </c>
      <c r="I1180" s="1" t="s">
        <v>807</v>
      </c>
      <c r="J1180" s="1"/>
      <c r="K1180" s="1">
        <v>150000</v>
      </c>
      <c r="L1180" s="1">
        <v>0</v>
      </c>
      <c r="M1180" s="1">
        <v>0</v>
      </c>
      <c r="N1180" s="1">
        <v>16500</v>
      </c>
      <c r="O1180" s="1">
        <v>0</v>
      </c>
      <c r="P1180" s="1">
        <v>0</v>
      </c>
      <c r="Q1180" s="1">
        <v>0</v>
      </c>
      <c r="R1180" s="1">
        <v>166500</v>
      </c>
      <c r="S1180" s="1">
        <v>91441.4</v>
      </c>
      <c r="T1180" s="1">
        <v>60.960933333333003</v>
      </c>
      <c r="U1180" t="str">
        <f t="shared" si="18"/>
        <v>Week 1</v>
      </c>
    </row>
    <row r="1181" spans="1:21" x14ac:dyDescent="0.25">
      <c r="A1181" s="1">
        <v>1180</v>
      </c>
      <c r="B1181" s="1" t="s">
        <v>1126</v>
      </c>
      <c r="C1181" s="2">
        <v>46055</v>
      </c>
      <c r="D1181" s="1" t="s">
        <v>37</v>
      </c>
      <c r="E1181" s="1" t="s">
        <v>38</v>
      </c>
      <c r="F1181" s="1" t="s">
        <v>23</v>
      </c>
      <c r="G1181" s="1" t="s">
        <v>24</v>
      </c>
      <c r="H1181" s="1">
        <v>1</v>
      </c>
      <c r="I1181" s="1" t="s">
        <v>1124</v>
      </c>
      <c r="J1181" s="1"/>
      <c r="K1181" s="1">
        <v>635000</v>
      </c>
      <c r="L1181" s="1">
        <v>0</v>
      </c>
      <c r="M1181" s="1">
        <v>0</v>
      </c>
      <c r="N1181" s="1">
        <v>69850</v>
      </c>
      <c r="O1181" s="1">
        <v>0</v>
      </c>
      <c r="P1181" s="1">
        <v>0</v>
      </c>
      <c r="Q1181" s="1">
        <v>0</v>
      </c>
      <c r="R1181" s="1">
        <v>704850</v>
      </c>
      <c r="S1181" s="1">
        <v>162400</v>
      </c>
      <c r="T1181" s="1">
        <v>25.574803149606002</v>
      </c>
      <c r="U1181" t="str">
        <f t="shared" si="18"/>
        <v>Week 1</v>
      </c>
    </row>
    <row r="1182" spans="1:21" x14ac:dyDescent="0.25">
      <c r="A1182" s="1">
        <v>1181</v>
      </c>
      <c r="B1182" s="1" t="s">
        <v>1127</v>
      </c>
      <c r="C1182" s="2">
        <v>46055</v>
      </c>
      <c r="D1182" s="1" t="s">
        <v>527</v>
      </c>
      <c r="E1182" s="1" t="s">
        <v>22</v>
      </c>
      <c r="F1182" s="1" t="s">
        <v>23</v>
      </c>
      <c r="G1182" s="1" t="s">
        <v>24</v>
      </c>
      <c r="H1182" s="1">
        <v>1</v>
      </c>
      <c r="I1182" s="1" t="s">
        <v>1128</v>
      </c>
      <c r="J1182" s="1" t="s">
        <v>26</v>
      </c>
      <c r="K1182" s="1">
        <v>2250000</v>
      </c>
      <c r="L1182" s="1">
        <v>0</v>
      </c>
      <c r="M1182" s="1">
        <v>0</v>
      </c>
      <c r="N1182" s="1">
        <v>247500</v>
      </c>
      <c r="O1182" s="1">
        <v>0</v>
      </c>
      <c r="P1182" s="1">
        <v>0</v>
      </c>
      <c r="Q1182" s="1">
        <v>0</v>
      </c>
      <c r="R1182" s="1">
        <v>2497500</v>
      </c>
      <c r="S1182" s="1">
        <v>450000</v>
      </c>
      <c r="T1182" s="1">
        <v>20</v>
      </c>
      <c r="U1182" t="str">
        <f t="shared" si="18"/>
        <v>Week 1</v>
      </c>
    </row>
    <row r="1183" spans="1:21" x14ac:dyDescent="0.25">
      <c r="A1183" s="1">
        <v>1182</v>
      </c>
      <c r="B1183" s="1" t="s">
        <v>1129</v>
      </c>
      <c r="C1183" s="2">
        <v>46055</v>
      </c>
      <c r="D1183" s="1" t="s">
        <v>33</v>
      </c>
      <c r="E1183" s="1" t="s">
        <v>38</v>
      </c>
      <c r="F1183" s="1" t="s">
        <v>30</v>
      </c>
      <c r="G1183" s="1" t="s">
        <v>24</v>
      </c>
      <c r="H1183" s="1">
        <v>1</v>
      </c>
      <c r="I1183" s="1" t="s">
        <v>1130</v>
      </c>
      <c r="J1183" s="1"/>
      <c r="K1183" s="1">
        <v>4183375</v>
      </c>
      <c r="L1183" s="1">
        <v>0</v>
      </c>
      <c r="M1183" s="1">
        <v>0</v>
      </c>
      <c r="N1183" s="1">
        <v>460171.25</v>
      </c>
      <c r="O1183" s="1">
        <v>0</v>
      </c>
      <c r="P1183" s="1">
        <v>0</v>
      </c>
      <c r="Q1183" s="1">
        <v>0</v>
      </c>
      <c r="R1183" s="1">
        <v>4643546.25</v>
      </c>
      <c r="S1183" s="1">
        <v>1269523.6499999999</v>
      </c>
      <c r="T1183" s="1">
        <v>30.346876624735</v>
      </c>
      <c r="U1183" t="str">
        <f t="shared" si="18"/>
        <v>Week 1</v>
      </c>
    </row>
    <row r="1184" spans="1:21" x14ac:dyDescent="0.25">
      <c r="A1184" s="1">
        <v>1183</v>
      </c>
      <c r="B1184" s="1" t="s">
        <v>2255</v>
      </c>
      <c r="C1184" s="2">
        <v>46055</v>
      </c>
      <c r="D1184" s="1" t="s">
        <v>2210</v>
      </c>
      <c r="E1184" s="1" t="s">
        <v>192</v>
      </c>
      <c r="F1184" s="1" t="s">
        <v>39</v>
      </c>
      <c r="G1184" s="1" t="s">
        <v>24</v>
      </c>
      <c r="H1184" s="1">
        <v>1</v>
      </c>
      <c r="I1184" s="1" t="s">
        <v>2256</v>
      </c>
      <c r="J1184" s="1" t="s">
        <v>56</v>
      </c>
      <c r="K1184" s="1">
        <v>3815000</v>
      </c>
      <c r="L1184" s="1">
        <v>0</v>
      </c>
      <c r="M1184" s="1">
        <v>0</v>
      </c>
      <c r="N1184" s="1">
        <v>419650</v>
      </c>
      <c r="O1184" s="1">
        <v>0</v>
      </c>
      <c r="P1184" s="1">
        <v>0</v>
      </c>
      <c r="Q1184" s="1">
        <v>0</v>
      </c>
      <c r="R1184" s="1">
        <v>4234650</v>
      </c>
      <c r="S1184" s="1">
        <v>385000</v>
      </c>
      <c r="T1184" s="1">
        <v>10.091743119266001</v>
      </c>
      <c r="U1184" t="str">
        <f t="shared" si="18"/>
        <v>Week 1</v>
      </c>
    </row>
    <row r="1185" spans="1:21" x14ac:dyDescent="0.25">
      <c r="A1185" s="1">
        <v>1184</v>
      </c>
      <c r="B1185" s="1" t="s">
        <v>1131</v>
      </c>
      <c r="C1185" s="2">
        <v>46053</v>
      </c>
      <c r="D1185" s="1" t="s">
        <v>98</v>
      </c>
      <c r="E1185" s="1" t="s">
        <v>116</v>
      </c>
      <c r="F1185" s="1" t="s">
        <v>30</v>
      </c>
      <c r="G1185" s="1" t="s">
        <v>24</v>
      </c>
      <c r="H1185" s="1">
        <v>1</v>
      </c>
      <c r="I1185" s="1" t="s">
        <v>1132</v>
      </c>
      <c r="J1185" s="1"/>
      <c r="K1185" s="1">
        <v>5583115</v>
      </c>
      <c r="L1185" s="1">
        <v>0</v>
      </c>
      <c r="M1185" s="1">
        <v>0</v>
      </c>
      <c r="N1185" s="1">
        <v>614142.65</v>
      </c>
      <c r="O1185" s="1">
        <v>0</v>
      </c>
      <c r="P1185" s="1">
        <v>0</v>
      </c>
      <c r="Q1185" s="1">
        <v>0</v>
      </c>
      <c r="R1185" s="1">
        <v>6197257.6500000004</v>
      </c>
      <c r="S1185" s="1">
        <v>-8559085</v>
      </c>
      <c r="T1185" s="1">
        <v>-153.30303961140001</v>
      </c>
      <c r="U1185" t="str">
        <f t="shared" si="18"/>
        <v>Week 4</v>
      </c>
    </row>
    <row r="1186" spans="1:21" x14ac:dyDescent="0.25">
      <c r="A1186" s="1">
        <v>1185</v>
      </c>
      <c r="B1186" s="1" t="s">
        <v>1133</v>
      </c>
      <c r="C1186" s="2">
        <v>46053</v>
      </c>
      <c r="D1186" s="1" t="s">
        <v>21</v>
      </c>
      <c r="E1186" s="1" t="s">
        <v>22</v>
      </c>
      <c r="F1186" s="1" t="s">
        <v>30</v>
      </c>
      <c r="G1186" s="1" t="s">
        <v>24</v>
      </c>
      <c r="H1186" s="1">
        <v>1</v>
      </c>
      <c r="I1186" s="1" t="s">
        <v>2918</v>
      </c>
      <c r="J1186" s="1" t="s">
        <v>26</v>
      </c>
      <c r="K1186" s="1">
        <v>14778400</v>
      </c>
      <c r="L1186" s="1">
        <v>0</v>
      </c>
      <c r="M1186" s="1">
        <v>0</v>
      </c>
      <c r="N1186" s="1">
        <v>1625624</v>
      </c>
      <c r="O1186" s="1">
        <v>0</v>
      </c>
      <c r="P1186" s="1">
        <v>0</v>
      </c>
      <c r="Q1186" s="1">
        <v>0</v>
      </c>
      <c r="R1186" s="1">
        <v>16404024</v>
      </c>
      <c r="S1186" s="1">
        <v>3183300.9</v>
      </c>
      <c r="T1186" s="1">
        <v>21.540226952849999</v>
      </c>
      <c r="U1186" t="str">
        <f t="shared" si="18"/>
        <v>Week 4</v>
      </c>
    </row>
    <row r="1187" spans="1:21" x14ac:dyDescent="0.25">
      <c r="A1187" s="1">
        <v>1186</v>
      </c>
      <c r="B1187" s="1" t="s">
        <v>2257</v>
      </c>
      <c r="C1187" s="2">
        <v>46053</v>
      </c>
      <c r="D1187" s="1" t="s">
        <v>2210</v>
      </c>
      <c r="E1187" s="1" t="s">
        <v>192</v>
      </c>
      <c r="F1187" s="1" t="s">
        <v>23</v>
      </c>
      <c r="G1187" s="1" t="s">
        <v>24</v>
      </c>
      <c r="H1187" s="1">
        <v>1</v>
      </c>
      <c r="I1187" s="1" t="s">
        <v>2258</v>
      </c>
      <c r="J1187" s="1"/>
      <c r="K1187" s="1">
        <v>55965000</v>
      </c>
      <c r="L1187" s="1">
        <v>0</v>
      </c>
      <c r="M1187" s="1">
        <v>0</v>
      </c>
      <c r="N1187" s="1">
        <v>6156150</v>
      </c>
      <c r="O1187" s="1">
        <v>0</v>
      </c>
      <c r="P1187" s="1">
        <v>0</v>
      </c>
      <c r="Q1187" s="1">
        <v>0</v>
      </c>
      <c r="R1187" s="1">
        <v>62121150</v>
      </c>
      <c r="S1187" s="1">
        <v>-1066000</v>
      </c>
      <c r="T1187" s="1">
        <v>-1.9047619047619</v>
      </c>
      <c r="U1187" t="str">
        <f t="shared" si="18"/>
        <v>Week 4</v>
      </c>
    </row>
    <row r="1188" spans="1:21" x14ac:dyDescent="0.25">
      <c r="A1188" s="1">
        <v>1187</v>
      </c>
      <c r="B1188" s="1" t="s">
        <v>1135</v>
      </c>
      <c r="C1188" s="2">
        <v>46053</v>
      </c>
      <c r="D1188" s="1" t="s">
        <v>53</v>
      </c>
      <c r="E1188" s="1" t="s">
        <v>54</v>
      </c>
      <c r="F1188" s="1" t="s">
        <v>30</v>
      </c>
      <c r="G1188" s="1" t="s">
        <v>24</v>
      </c>
      <c r="H1188" s="1">
        <v>1</v>
      </c>
      <c r="I1188" s="1" t="s">
        <v>1136</v>
      </c>
      <c r="J1188" s="1"/>
      <c r="K1188" s="1">
        <v>3932000</v>
      </c>
      <c r="L1188" s="1">
        <v>0</v>
      </c>
      <c r="M1188" s="1">
        <v>0</v>
      </c>
      <c r="N1188" s="1">
        <v>0</v>
      </c>
      <c r="O1188" s="1">
        <v>0</v>
      </c>
      <c r="P1188" s="1">
        <v>0</v>
      </c>
      <c r="Q1188" s="1">
        <v>0</v>
      </c>
      <c r="R1188" s="1">
        <v>3932000</v>
      </c>
      <c r="S1188" s="1">
        <v>512180.18018016999</v>
      </c>
      <c r="T1188" s="1">
        <v>13.025945579352999</v>
      </c>
      <c r="U1188" t="str">
        <f t="shared" si="18"/>
        <v>Week 4</v>
      </c>
    </row>
    <row r="1189" spans="1:21" x14ac:dyDescent="0.25">
      <c r="A1189" s="1">
        <v>1188</v>
      </c>
      <c r="B1189" s="1" t="s">
        <v>1137</v>
      </c>
      <c r="C1189" s="2">
        <v>46053</v>
      </c>
      <c r="D1189" s="1" t="s">
        <v>98</v>
      </c>
      <c r="E1189" s="1" t="s">
        <v>116</v>
      </c>
      <c r="F1189" s="1" t="s">
        <v>30</v>
      </c>
      <c r="G1189" s="1" t="s">
        <v>24</v>
      </c>
      <c r="H1189" s="1">
        <v>1</v>
      </c>
      <c r="I1189" s="1" t="s">
        <v>1138</v>
      </c>
      <c r="J1189" s="1" t="s">
        <v>26</v>
      </c>
      <c r="K1189" s="1">
        <v>2163000</v>
      </c>
      <c r="L1189" s="1">
        <v>0</v>
      </c>
      <c r="M1189" s="1">
        <v>0</v>
      </c>
      <c r="N1189" s="1">
        <v>237930</v>
      </c>
      <c r="O1189" s="1">
        <v>0</v>
      </c>
      <c r="P1189" s="1">
        <v>0</v>
      </c>
      <c r="Q1189" s="1">
        <v>0</v>
      </c>
      <c r="R1189" s="1">
        <v>2400930</v>
      </c>
      <c r="S1189" s="1">
        <v>13000</v>
      </c>
      <c r="T1189" s="1">
        <v>0.60101710587146995</v>
      </c>
      <c r="U1189" t="str">
        <f t="shared" si="18"/>
        <v>Week 4</v>
      </c>
    </row>
    <row r="1190" spans="1:21" x14ac:dyDescent="0.25">
      <c r="A1190" s="1">
        <v>1189</v>
      </c>
      <c r="B1190" s="1" t="s">
        <v>1139</v>
      </c>
      <c r="C1190" s="2">
        <v>46053</v>
      </c>
      <c r="D1190" s="1" t="s">
        <v>98</v>
      </c>
      <c r="E1190" s="1" t="s">
        <v>116</v>
      </c>
      <c r="F1190" s="1" t="s">
        <v>30</v>
      </c>
      <c r="G1190" s="1" t="s">
        <v>24</v>
      </c>
      <c r="H1190" s="1">
        <v>1</v>
      </c>
      <c r="I1190" s="1" t="s">
        <v>1140</v>
      </c>
      <c r="J1190" s="1"/>
      <c r="K1190" s="1">
        <v>75705000</v>
      </c>
      <c r="L1190" s="1">
        <v>0</v>
      </c>
      <c r="M1190" s="1">
        <v>0</v>
      </c>
      <c r="N1190" s="1">
        <v>8327550</v>
      </c>
      <c r="O1190" s="1">
        <v>0</v>
      </c>
      <c r="P1190" s="1">
        <v>0</v>
      </c>
      <c r="Q1190" s="1">
        <v>0</v>
      </c>
      <c r="R1190" s="1">
        <v>84032550</v>
      </c>
      <c r="S1190" s="1">
        <v>2205000</v>
      </c>
      <c r="T1190" s="1">
        <v>2.9126213592233001</v>
      </c>
      <c r="U1190" t="str">
        <f t="shared" si="18"/>
        <v>Week 4</v>
      </c>
    </row>
    <row r="1191" spans="1:21" x14ac:dyDescent="0.25">
      <c r="A1191" s="1">
        <v>1190</v>
      </c>
      <c r="B1191" s="1" t="s">
        <v>1141</v>
      </c>
      <c r="C1191" s="2">
        <v>46053</v>
      </c>
      <c r="D1191" s="1" t="s">
        <v>53</v>
      </c>
      <c r="E1191" s="1" t="s">
        <v>54</v>
      </c>
      <c r="F1191" s="1" t="s">
        <v>30</v>
      </c>
      <c r="G1191" s="1" t="s">
        <v>24</v>
      </c>
      <c r="H1191" s="1">
        <v>1</v>
      </c>
      <c r="I1191" s="1" t="s">
        <v>1142</v>
      </c>
      <c r="J1191" s="1"/>
      <c r="K1191" s="1">
        <v>9829988</v>
      </c>
      <c r="L1191" s="1">
        <v>0</v>
      </c>
      <c r="M1191" s="1">
        <v>0</v>
      </c>
      <c r="N1191" s="1">
        <v>1081298.68</v>
      </c>
      <c r="O1191" s="1">
        <v>0</v>
      </c>
      <c r="P1191" s="1">
        <v>0</v>
      </c>
      <c r="Q1191" s="1">
        <v>0</v>
      </c>
      <c r="R1191" s="1">
        <v>10911286.68</v>
      </c>
      <c r="S1191" s="1">
        <v>1280438.4504503999</v>
      </c>
      <c r="T1191" s="1">
        <v>13.025839405403</v>
      </c>
      <c r="U1191" t="str">
        <f t="shared" si="18"/>
        <v>Week 4</v>
      </c>
    </row>
    <row r="1192" spans="1:21" x14ac:dyDescent="0.25">
      <c r="A1192" s="1">
        <v>1191</v>
      </c>
      <c r="B1192" s="1" t="s">
        <v>1143</v>
      </c>
      <c r="C1192" s="2">
        <v>46053</v>
      </c>
      <c r="D1192" s="1" t="s">
        <v>98</v>
      </c>
      <c r="E1192" s="1" t="s">
        <v>116</v>
      </c>
      <c r="F1192" s="1" t="s">
        <v>30</v>
      </c>
      <c r="G1192" s="1" t="s">
        <v>24</v>
      </c>
      <c r="H1192" s="1">
        <v>1</v>
      </c>
      <c r="I1192" s="1" t="s">
        <v>1138</v>
      </c>
      <c r="J1192" s="1" t="s">
        <v>26</v>
      </c>
      <c r="K1192" s="1">
        <v>8371840</v>
      </c>
      <c r="L1192" s="1">
        <v>0</v>
      </c>
      <c r="M1192" s="1">
        <v>0</v>
      </c>
      <c r="N1192" s="1">
        <v>920902.4</v>
      </c>
      <c r="O1192" s="1">
        <v>0</v>
      </c>
      <c r="P1192" s="1">
        <v>0</v>
      </c>
      <c r="Q1192" s="1">
        <v>0</v>
      </c>
      <c r="R1192" s="1">
        <v>9292742.4000000004</v>
      </c>
      <c r="S1192" s="1">
        <v>1549840</v>
      </c>
      <c r="T1192" s="1">
        <v>18.512537267793</v>
      </c>
      <c r="U1192" t="str">
        <f t="shared" si="18"/>
        <v>Week 4</v>
      </c>
    </row>
    <row r="1193" spans="1:21" x14ac:dyDescent="0.25">
      <c r="A1193" s="1">
        <v>1192</v>
      </c>
      <c r="B1193" s="1" t="s">
        <v>1144</v>
      </c>
      <c r="C1193" s="2">
        <v>46053</v>
      </c>
      <c r="D1193" s="1" t="s">
        <v>53</v>
      </c>
      <c r="E1193" s="1" t="s">
        <v>54</v>
      </c>
      <c r="F1193" s="1" t="s">
        <v>30</v>
      </c>
      <c r="G1193" s="1" t="s">
        <v>24</v>
      </c>
      <c r="H1193" s="1">
        <v>1</v>
      </c>
      <c r="I1193" s="1" t="s">
        <v>1145</v>
      </c>
      <c r="J1193" s="1"/>
      <c r="K1193" s="1">
        <v>45269240</v>
      </c>
      <c r="L1193" s="1">
        <v>0</v>
      </c>
      <c r="M1193" s="1">
        <v>0</v>
      </c>
      <c r="N1193" s="1">
        <v>4979616.4000000004</v>
      </c>
      <c r="O1193" s="1">
        <v>0</v>
      </c>
      <c r="P1193" s="1">
        <v>0</v>
      </c>
      <c r="Q1193" s="1">
        <v>0</v>
      </c>
      <c r="R1193" s="1">
        <v>50248856.399999999</v>
      </c>
      <c r="S1193" s="1">
        <v>5899870.6306352001</v>
      </c>
      <c r="T1193" s="1">
        <v>13.032846654009001</v>
      </c>
      <c r="U1193" t="str">
        <f t="shared" si="18"/>
        <v>Week 4</v>
      </c>
    </row>
    <row r="1194" spans="1:21" x14ac:dyDescent="0.25">
      <c r="A1194" s="1">
        <v>1193</v>
      </c>
      <c r="B1194" s="1" t="s">
        <v>1149</v>
      </c>
      <c r="C1194" s="2">
        <v>46053</v>
      </c>
      <c r="D1194" s="1" t="s">
        <v>349</v>
      </c>
      <c r="E1194" s="1" t="s">
        <v>203</v>
      </c>
      <c r="F1194" s="1" t="s">
        <v>30</v>
      </c>
      <c r="G1194" s="1" t="s">
        <v>24</v>
      </c>
      <c r="H1194" s="1">
        <v>1</v>
      </c>
      <c r="I1194" s="1" t="s">
        <v>1150</v>
      </c>
      <c r="J1194" s="1" t="s">
        <v>26</v>
      </c>
      <c r="K1194" s="1">
        <v>5321400</v>
      </c>
      <c r="L1194" s="1">
        <v>0</v>
      </c>
      <c r="M1194" s="1">
        <v>0</v>
      </c>
      <c r="N1194" s="1">
        <v>585354</v>
      </c>
      <c r="O1194" s="1">
        <v>0</v>
      </c>
      <c r="P1194" s="1">
        <v>0</v>
      </c>
      <c r="Q1194" s="1">
        <v>0</v>
      </c>
      <c r="R1194" s="1">
        <v>5906754</v>
      </c>
      <c r="S1194" s="1">
        <v>1362611.4234233999</v>
      </c>
      <c r="T1194" s="1">
        <v>25.606258191894</v>
      </c>
      <c r="U1194" t="str">
        <f t="shared" si="18"/>
        <v>Week 4</v>
      </c>
    </row>
    <row r="1195" spans="1:21" x14ac:dyDescent="0.25">
      <c r="A1195" s="1">
        <v>1194</v>
      </c>
      <c r="B1195" s="1" t="s">
        <v>1151</v>
      </c>
      <c r="C1195" s="2">
        <v>46053</v>
      </c>
      <c r="D1195" s="1" t="s">
        <v>98</v>
      </c>
      <c r="E1195" s="1" t="s">
        <v>116</v>
      </c>
      <c r="F1195" s="1" t="s">
        <v>30</v>
      </c>
      <c r="G1195" s="1" t="s">
        <v>24</v>
      </c>
      <c r="H1195" s="1">
        <v>1</v>
      </c>
      <c r="I1195" s="1" t="s">
        <v>1152</v>
      </c>
      <c r="J1195" s="1"/>
      <c r="K1195" s="1">
        <v>3157160</v>
      </c>
      <c r="L1195" s="1">
        <v>0</v>
      </c>
      <c r="M1195" s="1">
        <v>0</v>
      </c>
      <c r="N1195" s="1">
        <v>347287.6</v>
      </c>
      <c r="O1195" s="1">
        <v>0</v>
      </c>
      <c r="P1195" s="1">
        <v>0</v>
      </c>
      <c r="Q1195" s="1">
        <v>0</v>
      </c>
      <c r="R1195" s="1">
        <v>3504447.6</v>
      </c>
      <c r="S1195" s="1">
        <v>357160</v>
      </c>
      <c r="T1195" s="1">
        <v>11.312698754576999</v>
      </c>
      <c r="U1195" t="str">
        <f t="shared" si="18"/>
        <v>Week 4</v>
      </c>
    </row>
    <row r="1196" spans="1:21" x14ac:dyDescent="0.25">
      <c r="A1196" s="1">
        <v>1195</v>
      </c>
      <c r="B1196" s="1" t="s">
        <v>1153</v>
      </c>
      <c r="C1196" s="2">
        <v>46053</v>
      </c>
      <c r="D1196" s="1" t="s">
        <v>53</v>
      </c>
      <c r="E1196" s="1" t="s">
        <v>54</v>
      </c>
      <c r="F1196" s="1" t="s">
        <v>30</v>
      </c>
      <c r="G1196" s="1" t="s">
        <v>24</v>
      </c>
      <c r="H1196" s="1">
        <v>1</v>
      </c>
      <c r="I1196" s="1" t="s">
        <v>1154</v>
      </c>
      <c r="J1196" s="1"/>
      <c r="K1196" s="1">
        <v>18783268</v>
      </c>
      <c r="L1196" s="1">
        <v>0</v>
      </c>
      <c r="M1196" s="1">
        <v>0</v>
      </c>
      <c r="N1196" s="1">
        <v>2066159.48</v>
      </c>
      <c r="O1196" s="1">
        <v>0</v>
      </c>
      <c r="P1196" s="1">
        <v>0</v>
      </c>
      <c r="Q1196" s="1">
        <v>0</v>
      </c>
      <c r="R1196" s="1">
        <v>20849427.48</v>
      </c>
      <c r="S1196" s="1">
        <v>5663144.3423423003</v>
      </c>
      <c r="T1196" s="1">
        <v>30.149941652018999</v>
      </c>
      <c r="U1196" t="str">
        <f t="shared" si="18"/>
        <v>Week 4</v>
      </c>
    </row>
    <row r="1197" spans="1:21" x14ac:dyDescent="0.25">
      <c r="A1197" s="1">
        <v>1196</v>
      </c>
      <c r="B1197" s="1" t="s">
        <v>1155</v>
      </c>
      <c r="C1197" s="2">
        <v>46053</v>
      </c>
      <c r="D1197" s="1" t="s">
        <v>98</v>
      </c>
      <c r="E1197" s="1" t="s">
        <v>116</v>
      </c>
      <c r="F1197" s="1" t="s">
        <v>30</v>
      </c>
      <c r="G1197" s="1" t="s">
        <v>24</v>
      </c>
      <c r="H1197" s="1">
        <v>1</v>
      </c>
      <c r="I1197" s="1" t="s">
        <v>1156</v>
      </c>
      <c r="J1197" s="1" t="s">
        <v>26</v>
      </c>
      <c r="K1197" s="1">
        <v>1798380</v>
      </c>
      <c r="L1197" s="1">
        <v>0</v>
      </c>
      <c r="M1197" s="1">
        <v>0</v>
      </c>
      <c r="N1197" s="1">
        <v>197821.8</v>
      </c>
      <c r="O1197" s="1">
        <v>0</v>
      </c>
      <c r="P1197" s="1">
        <v>0</v>
      </c>
      <c r="Q1197" s="1">
        <v>0</v>
      </c>
      <c r="R1197" s="1">
        <v>1996201.8</v>
      </c>
      <c r="S1197" s="1">
        <v>1548380</v>
      </c>
      <c r="T1197" s="1">
        <v>86.098599850976996</v>
      </c>
      <c r="U1197" t="str">
        <f t="shared" si="18"/>
        <v>Week 4</v>
      </c>
    </row>
    <row r="1198" spans="1:21" x14ac:dyDescent="0.25">
      <c r="A1198" s="1">
        <v>1197</v>
      </c>
      <c r="B1198" s="1" t="s">
        <v>1157</v>
      </c>
      <c r="C1198" s="2">
        <v>46053</v>
      </c>
      <c r="D1198" s="1" t="s">
        <v>33</v>
      </c>
      <c r="E1198" s="1" t="s">
        <v>38</v>
      </c>
      <c r="F1198" s="1" t="s">
        <v>23</v>
      </c>
      <c r="G1198" s="1" t="s">
        <v>24</v>
      </c>
      <c r="H1198" s="1">
        <v>1</v>
      </c>
      <c r="I1198" s="1" t="s">
        <v>1158</v>
      </c>
      <c r="J1198" s="1"/>
      <c r="K1198" s="1">
        <v>14252511.261260999</v>
      </c>
      <c r="L1198" s="1">
        <v>0</v>
      </c>
      <c r="M1198" s="1">
        <v>0</v>
      </c>
      <c r="N1198" s="1">
        <v>1567776.2387387</v>
      </c>
      <c r="O1198" s="1">
        <v>0</v>
      </c>
      <c r="P1198" s="1">
        <v>0</v>
      </c>
      <c r="Q1198" s="1">
        <v>0</v>
      </c>
      <c r="R1198" s="1">
        <v>15820287.5</v>
      </c>
      <c r="S1198" s="1">
        <v>4078796.2522522002</v>
      </c>
      <c r="T1198" s="1">
        <v>28.61808826167</v>
      </c>
      <c r="U1198" t="str">
        <f t="shared" si="18"/>
        <v>Week 4</v>
      </c>
    </row>
    <row r="1199" spans="1:21" x14ac:dyDescent="0.25">
      <c r="A1199" s="1">
        <v>1198</v>
      </c>
      <c r="B1199" s="1" t="s">
        <v>1159</v>
      </c>
      <c r="C1199" s="2">
        <v>46053</v>
      </c>
      <c r="D1199" s="1" t="s">
        <v>98</v>
      </c>
      <c r="E1199" s="1" t="s">
        <v>116</v>
      </c>
      <c r="F1199" s="1" t="s">
        <v>30</v>
      </c>
      <c r="G1199" s="1" t="s">
        <v>24</v>
      </c>
      <c r="H1199" s="1">
        <v>1</v>
      </c>
      <c r="I1199" s="1" t="s">
        <v>1160</v>
      </c>
      <c r="J1199" s="1" t="s">
        <v>26</v>
      </c>
      <c r="K1199" s="1">
        <v>8092620</v>
      </c>
      <c r="L1199" s="1">
        <v>0</v>
      </c>
      <c r="M1199" s="1">
        <v>0</v>
      </c>
      <c r="N1199" s="1">
        <v>890188.2</v>
      </c>
      <c r="O1199" s="1">
        <v>0</v>
      </c>
      <c r="P1199" s="1">
        <v>0</v>
      </c>
      <c r="Q1199" s="1">
        <v>0</v>
      </c>
      <c r="R1199" s="1">
        <v>8982808.1999999993</v>
      </c>
      <c r="S1199" s="1">
        <v>567620</v>
      </c>
      <c r="T1199" s="1">
        <v>7.0140448952255001</v>
      </c>
      <c r="U1199" t="str">
        <f t="shared" si="18"/>
        <v>Week 4</v>
      </c>
    </row>
    <row r="1200" spans="1:21" x14ac:dyDescent="0.25">
      <c r="A1200" s="1">
        <v>1199</v>
      </c>
      <c r="B1200" s="1" t="s">
        <v>1161</v>
      </c>
      <c r="C1200" s="2">
        <v>46053</v>
      </c>
      <c r="D1200" s="1" t="s">
        <v>98</v>
      </c>
      <c r="E1200" s="1" t="s">
        <v>116</v>
      </c>
      <c r="F1200" s="1" t="s">
        <v>30</v>
      </c>
      <c r="G1200" s="1" t="s">
        <v>24</v>
      </c>
      <c r="H1200" s="1">
        <v>1</v>
      </c>
      <c r="I1200" s="1" t="s">
        <v>1162</v>
      </c>
      <c r="J1200" s="1"/>
      <c r="K1200" s="1">
        <v>2545708</v>
      </c>
      <c r="L1200" s="1">
        <v>0</v>
      </c>
      <c r="M1200" s="1">
        <v>0</v>
      </c>
      <c r="N1200" s="1">
        <v>280027.88</v>
      </c>
      <c r="O1200" s="1">
        <v>0</v>
      </c>
      <c r="P1200" s="1">
        <v>0</v>
      </c>
      <c r="Q1200" s="1">
        <v>0</v>
      </c>
      <c r="R1200" s="1">
        <v>2825735.88</v>
      </c>
      <c r="S1200" s="1">
        <v>-2292</v>
      </c>
      <c r="T1200" s="1">
        <v>-9.0033892339576996E-2</v>
      </c>
      <c r="U1200" t="str">
        <f t="shared" si="18"/>
        <v>Week 4</v>
      </c>
    </row>
    <row r="1201" spans="1:21" x14ac:dyDescent="0.25">
      <c r="A1201" s="1">
        <v>1200</v>
      </c>
      <c r="B1201" s="1" t="s">
        <v>1164</v>
      </c>
      <c r="C1201" s="2">
        <v>46053</v>
      </c>
      <c r="D1201" s="1" t="s">
        <v>169</v>
      </c>
      <c r="E1201" s="1" t="s">
        <v>99</v>
      </c>
      <c r="F1201" s="1" t="s">
        <v>30</v>
      </c>
      <c r="G1201" s="1" t="s">
        <v>24</v>
      </c>
      <c r="H1201" s="1">
        <v>1</v>
      </c>
      <c r="I1201" s="1" t="s">
        <v>1528</v>
      </c>
      <c r="J1201" s="1"/>
      <c r="K1201" s="1">
        <v>6494000</v>
      </c>
      <c r="L1201" s="1">
        <v>0</v>
      </c>
      <c r="M1201" s="1">
        <v>0</v>
      </c>
      <c r="N1201" s="1">
        <v>714340</v>
      </c>
      <c r="O1201" s="1">
        <v>0</v>
      </c>
      <c r="P1201" s="1">
        <v>0</v>
      </c>
      <c r="Q1201" s="1">
        <v>0</v>
      </c>
      <c r="R1201" s="1">
        <v>7208340</v>
      </c>
      <c r="S1201" s="1">
        <v>-6000</v>
      </c>
      <c r="T1201" s="1">
        <v>-9.2392978133661999E-2</v>
      </c>
      <c r="U1201" t="str">
        <f t="shared" si="18"/>
        <v>Week 4</v>
      </c>
    </row>
    <row r="1202" spans="1:21" x14ac:dyDescent="0.25">
      <c r="A1202" s="1">
        <v>1201</v>
      </c>
      <c r="B1202" s="1" t="s">
        <v>1165</v>
      </c>
      <c r="C1202" s="2">
        <v>46053</v>
      </c>
      <c r="D1202" s="1" t="s">
        <v>37</v>
      </c>
      <c r="E1202" s="1" t="s">
        <v>38</v>
      </c>
      <c r="F1202" s="1" t="s">
        <v>30</v>
      </c>
      <c r="G1202" s="1" t="s">
        <v>24</v>
      </c>
      <c r="H1202" s="1">
        <v>1</v>
      </c>
      <c r="I1202" s="1" t="s">
        <v>762</v>
      </c>
      <c r="J1202" s="1"/>
      <c r="K1202" s="1">
        <v>4602460</v>
      </c>
      <c r="L1202" s="1">
        <v>0</v>
      </c>
      <c r="M1202" s="1">
        <v>0</v>
      </c>
      <c r="N1202" s="1">
        <v>506270.6</v>
      </c>
      <c r="O1202" s="1">
        <v>0</v>
      </c>
      <c r="P1202" s="1">
        <v>0</v>
      </c>
      <c r="Q1202" s="1">
        <v>0</v>
      </c>
      <c r="R1202" s="1">
        <v>5108730.5999999996</v>
      </c>
      <c r="S1202" s="1">
        <v>1969162.7027026999</v>
      </c>
      <c r="T1202" s="1">
        <v>42.785004165223</v>
      </c>
      <c r="U1202" t="str">
        <f t="shared" si="18"/>
        <v>Week 4</v>
      </c>
    </row>
    <row r="1203" spans="1:21" x14ac:dyDescent="0.25">
      <c r="A1203" s="1">
        <v>1202</v>
      </c>
      <c r="B1203" s="1" t="s">
        <v>1166</v>
      </c>
      <c r="C1203" s="2">
        <v>46053</v>
      </c>
      <c r="D1203" s="1" t="s">
        <v>316</v>
      </c>
      <c r="E1203" s="1" t="s">
        <v>38</v>
      </c>
      <c r="F1203" s="1" t="s">
        <v>23</v>
      </c>
      <c r="G1203" s="1" t="s">
        <v>24</v>
      </c>
      <c r="H1203" s="1">
        <v>1</v>
      </c>
      <c r="I1203" s="1" t="s">
        <v>1167</v>
      </c>
      <c r="J1203" s="1"/>
      <c r="K1203" s="1">
        <v>3000000</v>
      </c>
      <c r="L1203" s="1">
        <v>0</v>
      </c>
      <c r="M1203" s="1">
        <v>0</v>
      </c>
      <c r="N1203" s="1">
        <v>330000</v>
      </c>
      <c r="O1203" s="1">
        <v>0</v>
      </c>
      <c r="P1203" s="1">
        <v>0</v>
      </c>
      <c r="Q1203" s="1">
        <v>0</v>
      </c>
      <c r="R1203" s="1">
        <v>3330000</v>
      </c>
      <c r="S1203" s="1">
        <v>500000</v>
      </c>
      <c r="T1203" s="1">
        <v>16.666666666666998</v>
      </c>
      <c r="U1203" t="str">
        <f t="shared" si="18"/>
        <v>Week 4</v>
      </c>
    </row>
    <row r="1204" spans="1:21" x14ac:dyDescent="0.25">
      <c r="A1204" s="1">
        <v>1203</v>
      </c>
      <c r="B1204" s="1" t="s">
        <v>1168</v>
      </c>
      <c r="C1204" s="2">
        <v>46053</v>
      </c>
      <c r="D1204" s="1" t="s">
        <v>28</v>
      </c>
      <c r="E1204" s="1" t="s">
        <v>34</v>
      </c>
      <c r="F1204" s="1" t="s">
        <v>23</v>
      </c>
      <c r="G1204" s="1" t="s">
        <v>24</v>
      </c>
      <c r="H1204" s="1">
        <v>1</v>
      </c>
      <c r="I1204" s="1" t="s">
        <v>1169</v>
      </c>
      <c r="J1204" s="1"/>
      <c r="K1204" s="1">
        <v>176040</v>
      </c>
      <c r="L1204" s="1">
        <v>0</v>
      </c>
      <c r="M1204" s="1">
        <v>0</v>
      </c>
      <c r="N1204" s="1">
        <v>19364.400000000001</v>
      </c>
      <c r="O1204" s="1">
        <v>0</v>
      </c>
      <c r="P1204" s="1">
        <v>0</v>
      </c>
      <c r="Q1204" s="1">
        <v>0</v>
      </c>
      <c r="R1204" s="1">
        <v>195404.4</v>
      </c>
      <c r="S1204" s="1">
        <v>5281.2</v>
      </c>
      <c r="T1204" s="1">
        <v>3</v>
      </c>
      <c r="U1204" t="str">
        <f t="shared" si="18"/>
        <v>Week 4</v>
      </c>
    </row>
    <row r="1205" spans="1:21" x14ac:dyDescent="0.25">
      <c r="A1205" s="1">
        <v>1204</v>
      </c>
      <c r="B1205" s="1" t="s">
        <v>1170</v>
      </c>
      <c r="C1205" s="2">
        <v>46053</v>
      </c>
      <c r="D1205" s="1" t="s">
        <v>28</v>
      </c>
      <c r="E1205" s="1" t="s">
        <v>34</v>
      </c>
      <c r="F1205" s="1" t="s">
        <v>30</v>
      </c>
      <c r="G1205" s="1" t="s">
        <v>24</v>
      </c>
      <c r="H1205" s="1">
        <v>1</v>
      </c>
      <c r="I1205" s="1" t="s">
        <v>198</v>
      </c>
      <c r="J1205" s="1"/>
      <c r="K1205" s="1">
        <v>176040</v>
      </c>
      <c r="L1205" s="1">
        <v>0</v>
      </c>
      <c r="M1205" s="1">
        <v>0</v>
      </c>
      <c r="N1205" s="1">
        <v>19364.400000000001</v>
      </c>
      <c r="O1205" s="1">
        <v>0</v>
      </c>
      <c r="P1205" s="1">
        <v>0</v>
      </c>
      <c r="Q1205" s="1">
        <v>0</v>
      </c>
      <c r="R1205" s="1">
        <v>195404.4</v>
      </c>
      <c r="S1205" s="1">
        <v>5281.2</v>
      </c>
      <c r="T1205" s="1">
        <v>3</v>
      </c>
      <c r="U1205" t="str">
        <f t="shared" si="18"/>
        <v>Week 4</v>
      </c>
    </row>
    <row r="1206" spans="1:21" x14ac:dyDescent="0.25">
      <c r="A1206" s="1">
        <v>1205</v>
      </c>
      <c r="B1206" s="1" t="s">
        <v>1171</v>
      </c>
      <c r="C1206" s="2">
        <v>46053</v>
      </c>
      <c r="D1206" s="1" t="s">
        <v>21</v>
      </c>
      <c r="E1206" s="1" t="s">
        <v>22</v>
      </c>
      <c r="F1206" s="1" t="s">
        <v>30</v>
      </c>
      <c r="G1206" s="1" t="s">
        <v>24</v>
      </c>
      <c r="H1206" s="1">
        <v>1</v>
      </c>
      <c r="I1206" s="1" t="s">
        <v>1172</v>
      </c>
      <c r="J1206" s="1" t="s">
        <v>26</v>
      </c>
      <c r="K1206" s="1">
        <v>3231354</v>
      </c>
      <c r="L1206" s="1">
        <v>0</v>
      </c>
      <c r="M1206" s="1">
        <v>0</v>
      </c>
      <c r="N1206" s="1">
        <v>355448.94</v>
      </c>
      <c r="O1206" s="1">
        <v>0</v>
      </c>
      <c r="P1206" s="1">
        <v>0</v>
      </c>
      <c r="Q1206" s="1">
        <v>0</v>
      </c>
      <c r="R1206" s="1">
        <v>3586802.94</v>
      </c>
      <c r="S1206" s="1">
        <v>2212435.23</v>
      </c>
      <c r="T1206" s="1">
        <v>68.467745409509007</v>
      </c>
      <c r="U1206" t="str">
        <f t="shared" si="18"/>
        <v>Week 4</v>
      </c>
    </row>
    <row r="1207" spans="1:21" x14ac:dyDescent="0.25">
      <c r="A1207" s="1">
        <v>1206</v>
      </c>
      <c r="B1207" s="1" t="s">
        <v>1173</v>
      </c>
      <c r="C1207" s="2">
        <v>46053</v>
      </c>
      <c r="D1207" s="1" t="s">
        <v>53</v>
      </c>
      <c r="E1207" s="1" t="s">
        <v>54</v>
      </c>
      <c r="F1207" s="1" t="s">
        <v>30</v>
      </c>
      <c r="G1207" s="1" t="s">
        <v>24</v>
      </c>
      <c r="H1207" s="1">
        <v>1</v>
      </c>
      <c r="I1207" s="1" t="s">
        <v>1174</v>
      </c>
      <c r="J1207" s="1"/>
      <c r="K1207" s="1">
        <v>5468597.96</v>
      </c>
      <c r="L1207" s="1">
        <v>0</v>
      </c>
      <c r="M1207" s="1">
        <v>0</v>
      </c>
      <c r="N1207" s="1">
        <v>601545.77560000005</v>
      </c>
      <c r="O1207" s="1">
        <v>0</v>
      </c>
      <c r="P1207" s="1">
        <v>0</v>
      </c>
      <c r="Q1207" s="1">
        <v>0</v>
      </c>
      <c r="R1207" s="1">
        <v>6070143.7356000002</v>
      </c>
      <c r="S1207" s="1">
        <v>1119797.96</v>
      </c>
      <c r="T1207" s="1">
        <v>20.476874844169</v>
      </c>
      <c r="U1207" t="str">
        <f t="shared" si="18"/>
        <v>Week 4</v>
      </c>
    </row>
    <row r="1208" spans="1:21" x14ac:dyDescent="0.25">
      <c r="A1208" s="1">
        <v>1207</v>
      </c>
      <c r="B1208" s="1" t="s">
        <v>1175</v>
      </c>
      <c r="C1208" s="2">
        <v>46052</v>
      </c>
      <c r="D1208" s="1" t="s">
        <v>98</v>
      </c>
      <c r="E1208" s="1" t="s">
        <v>116</v>
      </c>
      <c r="F1208" s="1" t="s">
        <v>30</v>
      </c>
      <c r="G1208" s="1" t="s">
        <v>24</v>
      </c>
      <c r="H1208" s="1">
        <v>1</v>
      </c>
      <c r="I1208" s="1" t="s">
        <v>1176</v>
      </c>
      <c r="J1208" s="1" t="s">
        <v>26</v>
      </c>
      <c r="K1208" s="1">
        <v>12780486</v>
      </c>
      <c r="L1208" s="1">
        <v>0</v>
      </c>
      <c r="M1208" s="1">
        <v>0</v>
      </c>
      <c r="N1208" s="1">
        <v>1405853.46</v>
      </c>
      <c r="O1208" s="1">
        <v>0</v>
      </c>
      <c r="P1208" s="1">
        <v>0</v>
      </c>
      <c r="Q1208" s="1">
        <v>0</v>
      </c>
      <c r="R1208" s="1">
        <v>14186339.460000001</v>
      </c>
      <c r="S1208" s="1">
        <v>-26338</v>
      </c>
      <c r="T1208" s="1">
        <v>-0.20607980009523999</v>
      </c>
      <c r="U1208" t="str">
        <f t="shared" si="18"/>
        <v>Week 4</v>
      </c>
    </row>
    <row r="1209" spans="1:21" x14ac:dyDescent="0.25">
      <c r="A1209" s="1">
        <v>1208</v>
      </c>
      <c r="B1209" s="1" t="s">
        <v>1177</v>
      </c>
      <c r="C1209" s="2">
        <v>46052</v>
      </c>
      <c r="D1209" s="1" t="s">
        <v>316</v>
      </c>
      <c r="E1209" s="1" t="s">
        <v>38</v>
      </c>
      <c r="F1209" s="1" t="s">
        <v>23</v>
      </c>
      <c r="G1209" s="1" t="s">
        <v>24</v>
      </c>
      <c r="H1209" s="1">
        <v>1</v>
      </c>
      <c r="I1209" s="1" t="s">
        <v>1178</v>
      </c>
      <c r="J1209" s="1"/>
      <c r="K1209" s="1">
        <v>8961384</v>
      </c>
      <c r="L1209" s="1">
        <v>0</v>
      </c>
      <c r="M1209" s="1">
        <v>0</v>
      </c>
      <c r="N1209" s="1">
        <v>985752.24</v>
      </c>
      <c r="O1209" s="1">
        <v>0</v>
      </c>
      <c r="P1209" s="1">
        <v>0</v>
      </c>
      <c r="Q1209" s="1">
        <v>0</v>
      </c>
      <c r="R1209" s="1">
        <v>9947136.2400000002</v>
      </c>
      <c r="S1209" s="1">
        <v>1671384</v>
      </c>
      <c r="T1209" s="1">
        <v>18.650958378750001</v>
      </c>
      <c r="U1209" t="str">
        <f t="shared" si="18"/>
        <v>Week 4</v>
      </c>
    </row>
    <row r="1210" spans="1:21" x14ac:dyDescent="0.25">
      <c r="A1210" s="1">
        <v>1209</v>
      </c>
      <c r="B1210" s="1" t="s">
        <v>1179</v>
      </c>
      <c r="C1210" s="2">
        <v>46052</v>
      </c>
      <c r="D1210" s="1" t="s">
        <v>184</v>
      </c>
      <c r="E1210" s="1" t="s">
        <v>116</v>
      </c>
      <c r="F1210" s="1" t="s">
        <v>23</v>
      </c>
      <c r="G1210" s="1" t="s">
        <v>24</v>
      </c>
      <c r="H1210" s="1">
        <v>1</v>
      </c>
      <c r="I1210" s="1" t="s">
        <v>1180</v>
      </c>
      <c r="J1210" s="1" t="s">
        <v>26</v>
      </c>
      <c r="K1210" s="1">
        <v>19200000</v>
      </c>
      <c r="L1210" s="1">
        <v>0</v>
      </c>
      <c r="M1210" s="1">
        <v>0</v>
      </c>
      <c r="N1210" s="1">
        <v>2112000</v>
      </c>
      <c r="O1210" s="1">
        <v>0</v>
      </c>
      <c r="P1210" s="1">
        <v>0</v>
      </c>
      <c r="Q1210" s="1">
        <v>0</v>
      </c>
      <c r="R1210" s="1">
        <v>21312000</v>
      </c>
      <c r="S1210" s="1">
        <v>3488890</v>
      </c>
      <c r="T1210" s="1">
        <v>18.171302083333</v>
      </c>
      <c r="U1210" t="str">
        <f t="shared" si="18"/>
        <v>Week 4</v>
      </c>
    </row>
    <row r="1211" spans="1:21" x14ac:dyDescent="0.25">
      <c r="A1211" s="1">
        <v>1210</v>
      </c>
      <c r="B1211" s="1" t="s">
        <v>1181</v>
      </c>
      <c r="C1211" s="2">
        <v>46052</v>
      </c>
      <c r="D1211" s="1" t="s">
        <v>306</v>
      </c>
      <c r="E1211" s="1" t="s">
        <v>116</v>
      </c>
      <c r="F1211" s="1" t="s">
        <v>23</v>
      </c>
      <c r="G1211" s="1" t="s">
        <v>24</v>
      </c>
      <c r="H1211" s="1">
        <v>1</v>
      </c>
      <c r="I1211" s="1" t="s">
        <v>1182</v>
      </c>
      <c r="J1211" s="1" t="s">
        <v>26</v>
      </c>
      <c r="K1211" s="1">
        <v>1655500</v>
      </c>
      <c r="L1211" s="1">
        <v>0</v>
      </c>
      <c r="M1211" s="1">
        <v>0</v>
      </c>
      <c r="N1211" s="1">
        <v>182105</v>
      </c>
      <c r="O1211" s="1">
        <v>0</v>
      </c>
      <c r="P1211" s="1">
        <v>0</v>
      </c>
      <c r="Q1211" s="1">
        <v>0</v>
      </c>
      <c r="R1211" s="1">
        <v>1837605</v>
      </c>
      <c r="S1211" s="1">
        <v>609300</v>
      </c>
      <c r="T1211" s="1">
        <v>36.804590758079001</v>
      </c>
      <c r="U1211" t="str">
        <f t="shared" si="18"/>
        <v>Week 4</v>
      </c>
    </row>
    <row r="1212" spans="1:21" x14ac:dyDescent="0.25">
      <c r="A1212" s="1">
        <v>1211</v>
      </c>
      <c r="B1212" s="1" t="s">
        <v>1183</v>
      </c>
      <c r="C1212" s="2">
        <v>46052</v>
      </c>
      <c r="D1212" s="1" t="s">
        <v>53</v>
      </c>
      <c r="E1212" s="1" t="s">
        <v>54</v>
      </c>
      <c r="F1212" s="1" t="s">
        <v>23</v>
      </c>
      <c r="G1212" s="1" t="s">
        <v>24</v>
      </c>
      <c r="H1212" s="1">
        <v>1</v>
      </c>
      <c r="I1212" s="1" t="s">
        <v>1184</v>
      </c>
      <c r="J1212" s="1"/>
      <c r="K1212" s="1">
        <v>558770</v>
      </c>
      <c r="L1212" s="1">
        <v>0</v>
      </c>
      <c r="M1212" s="1">
        <v>0</v>
      </c>
      <c r="N1212" s="1">
        <v>61464.7</v>
      </c>
      <c r="O1212" s="1">
        <v>0</v>
      </c>
      <c r="P1212" s="1">
        <v>0</v>
      </c>
      <c r="Q1212" s="1">
        <v>0</v>
      </c>
      <c r="R1212" s="1">
        <v>620234.69999999995</v>
      </c>
      <c r="S1212" s="1">
        <v>551370</v>
      </c>
      <c r="T1212" s="1">
        <v>98.675662616102997</v>
      </c>
      <c r="U1212" t="str">
        <f t="shared" si="18"/>
        <v>Week 4</v>
      </c>
    </row>
    <row r="1213" spans="1:21" x14ac:dyDescent="0.25">
      <c r="A1213" s="1">
        <v>1212</v>
      </c>
      <c r="B1213" s="1" t="s">
        <v>1185</v>
      </c>
      <c r="C1213" s="2">
        <v>46052</v>
      </c>
      <c r="D1213" s="1" t="s">
        <v>37</v>
      </c>
      <c r="E1213" s="1" t="s">
        <v>38</v>
      </c>
      <c r="F1213" s="1" t="s">
        <v>23</v>
      </c>
      <c r="G1213" s="1" t="s">
        <v>24</v>
      </c>
      <c r="H1213" s="1">
        <v>1</v>
      </c>
      <c r="I1213" s="1" t="s">
        <v>1124</v>
      </c>
      <c r="J1213" s="1"/>
      <c r="K1213" s="1">
        <v>34800000</v>
      </c>
      <c r="L1213" s="1">
        <v>0</v>
      </c>
      <c r="M1213" s="1">
        <v>0</v>
      </c>
      <c r="N1213" s="1">
        <v>3828000</v>
      </c>
      <c r="O1213" s="1">
        <v>0</v>
      </c>
      <c r="P1213" s="1">
        <v>0</v>
      </c>
      <c r="Q1213" s="1">
        <v>0</v>
      </c>
      <c r="R1213" s="1">
        <v>38628000</v>
      </c>
      <c r="S1213" s="1">
        <v>6690000</v>
      </c>
      <c r="T1213" s="1">
        <v>19.224137931034001</v>
      </c>
      <c r="U1213" t="str">
        <f t="shared" si="18"/>
        <v>Week 4</v>
      </c>
    </row>
    <row r="1214" spans="1:21" x14ac:dyDescent="0.25">
      <c r="A1214" s="1">
        <v>1213</v>
      </c>
      <c r="B1214" s="1" t="s">
        <v>1186</v>
      </c>
      <c r="C1214" s="2">
        <v>46052</v>
      </c>
      <c r="D1214" s="1" t="s">
        <v>33</v>
      </c>
      <c r="E1214" s="1" t="s">
        <v>34</v>
      </c>
      <c r="F1214" s="1" t="s">
        <v>30</v>
      </c>
      <c r="G1214" s="1" t="s">
        <v>24</v>
      </c>
      <c r="H1214" s="1">
        <v>1</v>
      </c>
      <c r="I1214" s="1" t="s">
        <v>1187</v>
      </c>
      <c r="J1214" s="1"/>
      <c r="K1214" s="1">
        <v>1581050</v>
      </c>
      <c r="L1214" s="1">
        <v>0</v>
      </c>
      <c r="M1214" s="1">
        <v>0</v>
      </c>
      <c r="N1214" s="1">
        <v>173915.5</v>
      </c>
      <c r="O1214" s="1">
        <v>0</v>
      </c>
      <c r="P1214" s="1">
        <v>0</v>
      </c>
      <c r="Q1214" s="1">
        <v>0</v>
      </c>
      <c r="R1214" s="1">
        <v>1754965.5</v>
      </c>
      <c r="S1214" s="1">
        <v>117368.5</v>
      </c>
      <c r="T1214" s="1">
        <v>7.4234527687296001</v>
      </c>
      <c r="U1214" t="str">
        <f t="shared" si="18"/>
        <v>Week 4</v>
      </c>
    </row>
    <row r="1215" spans="1:21" x14ac:dyDescent="0.25">
      <c r="A1215" s="1">
        <v>1214</v>
      </c>
      <c r="B1215" s="1" t="s">
        <v>1188</v>
      </c>
      <c r="C1215" s="2">
        <v>46052</v>
      </c>
      <c r="D1215" s="1" t="s">
        <v>21</v>
      </c>
      <c r="E1215" s="1" t="s">
        <v>22</v>
      </c>
      <c r="F1215" s="1" t="s">
        <v>30</v>
      </c>
      <c r="G1215" s="1" t="s">
        <v>24</v>
      </c>
      <c r="H1215" s="1">
        <v>1</v>
      </c>
      <c r="I1215" s="1" t="s">
        <v>1189</v>
      </c>
      <c r="J1215" s="1" t="s">
        <v>26</v>
      </c>
      <c r="K1215" s="1">
        <v>1343000</v>
      </c>
      <c r="L1215" s="1">
        <v>0</v>
      </c>
      <c r="M1215" s="1">
        <v>0</v>
      </c>
      <c r="N1215" s="1">
        <v>147730</v>
      </c>
      <c r="O1215" s="1">
        <v>0</v>
      </c>
      <c r="P1215" s="1">
        <v>0</v>
      </c>
      <c r="Q1215" s="1">
        <v>0</v>
      </c>
      <c r="R1215" s="1">
        <v>1490730</v>
      </c>
      <c r="S1215" s="1">
        <v>193000</v>
      </c>
      <c r="T1215" s="1">
        <v>14.370811615786</v>
      </c>
      <c r="U1215" t="str">
        <f t="shared" si="18"/>
        <v>Week 4</v>
      </c>
    </row>
    <row r="1216" spans="1:21" x14ac:dyDescent="0.25">
      <c r="A1216" s="1">
        <v>1215</v>
      </c>
      <c r="B1216" s="1" t="s">
        <v>1190</v>
      </c>
      <c r="C1216" s="2">
        <v>46052</v>
      </c>
      <c r="D1216" s="1" t="s">
        <v>53</v>
      </c>
      <c r="E1216" s="1" t="s">
        <v>54</v>
      </c>
      <c r="F1216" s="1" t="s">
        <v>30</v>
      </c>
      <c r="G1216" s="1" t="s">
        <v>24</v>
      </c>
      <c r="H1216" s="1">
        <v>1</v>
      </c>
      <c r="I1216" s="1" t="s">
        <v>1191</v>
      </c>
      <c r="J1216" s="1"/>
      <c r="K1216" s="1">
        <v>17600000</v>
      </c>
      <c r="L1216" s="1">
        <v>0</v>
      </c>
      <c r="M1216" s="1">
        <v>0</v>
      </c>
      <c r="N1216" s="1">
        <v>1936000</v>
      </c>
      <c r="O1216" s="1">
        <v>0</v>
      </c>
      <c r="P1216" s="1">
        <v>0</v>
      </c>
      <c r="Q1216" s="1">
        <v>0</v>
      </c>
      <c r="R1216" s="1">
        <v>19536000</v>
      </c>
      <c r="S1216" s="1">
        <v>2284684.69</v>
      </c>
      <c r="T1216" s="1">
        <v>12.981163011364</v>
      </c>
      <c r="U1216" t="str">
        <f t="shared" si="18"/>
        <v>Week 4</v>
      </c>
    </row>
    <row r="1217" spans="1:21" x14ac:dyDescent="0.25">
      <c r="A1217" s="1">
        <v>1216</v>
      </c>
      <c r="B1217" s="1" t="s">
        <v>1192</v>
      </c>
      <c r="C1217" s="2">
        <v>46052</v>
      </c>
      <c r="D1217" s="1" t="s">
        <v>33</v>
      </c>
      <c r="E1217" s="1" t="s">
        <v>38</v>
      </c>
      <c r="F1217" s="1" t="s">
        <v>30</v>
      </c>
      <c r="G1217" s="1" t="s">
        <v>24</v>
      </c>
      <c r="H1217" s="1">
        <v>1</v>
      </c>
      <c r="I1217" s="1" t="s">
        <v>1193</v>
      </c>
      <c r="J1217" s="1"/>
      <c r="K1217" s="1">
        <v>14545960</v>
      </c>
      <c r="L1217" s="1">
        <v>0</v>
      </c>
      <c r="M1217" s="1">
        <v>0</v>
      </c>
      <c r="N1217" s="1">
        <v>1600055.6</v>
      </c>
      <c r="O1217" s="1">
        <v>0</v>
      </c>
      <c r="P1217" s="1">
        <v>0</v>
      </c>
      <c r="Q1217" s="1">
        <v>0</v>
      </c>
      <c r="R1217" s="1">
        <v>16146015.6</v>
      </c>
      <c r="S1217" s="1">
        <v>3994680.7207207</v>
      </c>
      <c r="T1217" s="1">
        <v>27.462475633926999</v>
      </c>
      <c r="U1217" t="str">
        <f t="shared" si="18"/>
        <v>Week 4</v>
      </c>
    </row>
    <row r="1218" spans="1:21" x14ac:dyDescent="0.25">
      <c r="A1218" s="1">
        <v>1217</v>
      </c>
      <c r="B1218" s="1" t="s">
        <v>1194</v>
      </c>
      <c r="C1218" s="2">
        <v>46052</v>
      </c>
      <c r="D1218" s="1" t="s">
        <v>21</v>
      </c>
      <c r="E1218" s="1" t="s">
        <v>22</v>
      </c>
      <c r="F1218" s="1" t="s">
        <v>30</v>
      </c>
      <c r="G1218" s="1" t="s">
        <v>24</v>
      </c>
      <c r="H1218" s="1">
        <v>1</v>
      </c>
      <c r="I1218" s="1" t="s">
        <v>1195</v>
      </c>
      <c r="J1218" s="1" t="s">
        <v>26</v>
      </c>
      <c r="K1218" s="1">
        <v>1914000</v>
      </c>
      <c r="L1218" s="1">
        <v>0</v>
      </c>
      <c r="M1218" s="1">
        <v>0</v>
      </c>
      <c r="N1218" s="1">
        <v>210540</v>
      </c>
      <c r="O1218" s="1">
        <v>0</v>
      </c>
      <c r="P1218" s="1">
        <v>0</v>
      </c>
      <c r="Q1218" s="1">
        <v>0</v>
      </c>
      <c r="R1218" s="1">
        <v>2124540</v>
      </c>
      <c r="S1218" s="1">
        <v>195756.75675756999</v>
      </c>
      <c r="T1218" s="1">
        <v>10.227625744909</v>
      </c>
      <c r="U1218" t="str">
        <f t="shared" si="18"/>
        <v>Week 4</v>
      </c>
    </row>
    <row r="1219" spans="1:21" x14ac:dyDescent="0.25">
      <c r="A1219" s="1">
        <v>1218</v>
      </c>
      <c r="B1219" s="1" t="s">
        <v>1196</v>
      </c>
      <c r="C1219" s="2">
        <v>46052</v>
      </c>
      <c r="D1219" s="1" t="s">
        <v>33</v>
      </c>
      <c r="E1219" s="1" t="s">
        <v>34</v>
      </c>
      <c r="F1219" s="1" t="s">
        <v>23</v>
      </c>
      <c r="G1219" s="1" t="s">
        <v>24</v>
      </c>
      <c r="H1219" s="1">
        <v>1</v>
      </c>
      <c r="I1219" s="1" t="s">
        <v>1197</v>
      </c>
      <c r="J1219" s="1"/>
      <c r="K1219" s="1">
        <v>29000000</v>
      </c>
      <c r="L1219" s="1">
        <v>0</v>
      </c>
      <c r="M1219" s="1">
        <v>0</v>
      </c>
      <c r="N1219" s="1">
        <v>3190000</v>
      </c>
      <c r="O1219" s="1">
        <v>0</v>
      </c>
      <c r="P1219" s="1">
        <v>0</v>
      </c>
      <c r="Q1219" s="1">
        <v>0</v>
      </c>
      <c r="R1219" s="1">
        <v>32190000</v>
      </c>
      <c r="S1219" s="1">
        <v>6250000</v>
      </c>
      <c r="T1219" s="1">
        <v>21.551724137931</v>
      </c>
      <c r="U1219" t="str">
        <f t="shared" ref="U1219:U1282" si="19">"Week "&amp;IF(DAY(C1219)&gt;=24,4,INT((DAY(C1219)-1)/7)+1)</f>
        <v>Week 4</v>
      </c>
    </row>
    <row r="1220" spans="1:21" x14ac:dyDescent="0.25">
      <c r="A1220" s="1">
        <v>1219</v>
      </c>
      <c r="B1220" s="1" t="s">
        <v>1198</v>
      </c>
      <c r="C1220" s="2">
        <v>46052</v>
      </c>
      <c r="D1220" s="1" t="s">
        <v>37</v>
      </c>
      <c r="E1220" s="1" t="s">
        <v>38</v>
      </c>
      <c r="F1220" s="1" t="s">
        <v>30</v>
      </c>
      <c r="G1220" s="1" t="s">
        <v>24</v>
      </c>
      <c r="H1220" s="1">
        <v>1</v>
      </c>
      <c r="I1220" s="1" t="s">
        <v>762</v>
      </c>
      <c r="J1220" s="1"/>
      <c r="K1220" s="1">
        <v>4292465</v>
      </c>
      <c r="L1220" s="1">
        <v>0</v>
      </c>
      <c r="M1220" s="1">
        <v>0</v>
      </c>
      <c r="N1220" s="1">
        <v>472171.15</v>
      </c>
      <c r="O1220" s="1">
        <v>0</v>
      </c>
      <c r="P1220" s="1">
        <v>0</v>
      </c>
      <c r="Q1220" s="1">
        <v>0</v>
      </c>
      <c r="R1220" s="1">
        <v>4764636.1500000004</v>
      </c>
      <c r="S1220" s="1">
        <v>1871984.2493699</v>
      </c>
      <c r="T1220" s="1">
        <v>43.610937989474998</v>
      </c>
      <c r="U1220" t="str">
        <f t="shared" si="19"/>
        <v>Week 4</v>
      </c>
    </row>
    <row r="1221" spans="1:21" x14ac:dyDescent="0.25">
      <c r="A1221" s="1">
        <v>1220</v>
      </c>
      <c r="B1221" s="1" t="s">
        <v>1199</v>
      </c>
      <c r="C1221" s="2">
        <v>46052</v>
      </c>
      <c r="D1221" s="1" t="s">
        <v>21</v>
      </c>
      <c r="E1221" s="1" t="s">
        <v>22</v>
      </c>
      <c r="F1221" s="1" t="s">
        <v>30</v>
      </c>
      <c r="G1221" s="1" t="s">
        <v>24</v>
      </c>
      <c r="H1221" s="1">
        <v>1</v>
      </c>
      <c r="I1221" s="1" t="s">
        <v>1200</v>
      </c>
      <c r="J1221" s="1" t="s">
        <v>26</v>
      </c>
      <c r="K1221" s="1">
        <v>484235.64</v>
      </c>
      <c r="L1221" s="1">
        <v>0</v>
      </c>
      <c r="M1221" s="1">
        <v>0</v>
      </c>
      <c r="N1221" s="1">
        <v>53265.920400000003</v>
      </c>
      <c r="O1221" s="1">
        <v>0</v>
      </c>
      <c r="P1221" s="1">
        <v>0</v>
      </c>
      <c r="Q1221" s="1">
        <v>0</v>
      </c>
      <c r="R1221" s="1">
        <v>537501.56039999996</v>
      </c>
      <c r="S1221" s="1">
        <v>64235.64</v>
      </c>
      <c r="T1221" s="1">
        <v>13.265368075757999</v>
      </c>
      <c r="U1221" t="str">
        <f t="shared" si="19"/>
        <v>Week 4</v>
      </c>
    </row>
    <row r="1222" spans="1:21" x14ac:dyDescent="0.25">
      <c r="A1222" s="1">
        <v>1221</v>
      </c>
      <c r="B1222" s="1" t="s">
        <v>1201</v>
      </c>
      <c r="C1222" s="2">
        <v>46052</v>
      </c>
      <c r="D1222" s="1" t="s">
        <v>33</v>
      </c>
      <c r="E1222" s="1" t="s">
        <v>38</v>
      </c>
      <c r="F1222" s="1" t="s">
        <v>30</v>
      </c>
      <c r="G1222" s="1" t="s">
        <v>24</v>
      </c>
      <c r="H1222" s="1">
        <v>1</v>
      </c>
      <c r="I1222" s="1" t="s">
        <v>1074</v>
      </c>
      <c r="J1222" s="1"/>
      <c r="K1222" s="1">
        <v>10396012.800000001</v>
      </c>
      <c r="L1222" s="1">
        <v>0</v>
      </c>
      <c r="M1222" s="1">
        <v>0</v>
      </c>
      <c r="N1222" s="1">
        <v>1143561.4080000001</v>
      </c>
      <c r="O1222" s="1">
        <v>0</v>
      </c>
      <c r="P1222" s="1">
        <v>0</v>
      </c>
      <c r="Q1222" s="1">
        <v>0</v>
      </c>
      <c r="R1222" s="1">
        <v>11539574.208000001</v>
      </c>
      <c r="S1222" s="1">
        <v>3827190.3225225001</v>
      </c>
      <c r="T1222" s="1">
        <v>36.814020876565998</v>
      </c>
      <c r="U1222" t="str">
        <f t="shared" si="19"/>
        <v>Week 4</v>
      </c>
    </row>
    <row r="1223" spans="1:21" x14ac:dyDescent="0.25">
      <c r="A1223" s="1">
        <v>1222</v>
      </c>
      <c r="B1223" s="1" t="s">
        <v>1202</v>
      </c>
      <c r="C1223" s="2">
        <v>46052</v>
      </c>
      <c r="D1223" s="1" t="s">
        <v>53</v>
      </c>
      <c r="E1223" s="1" t="s">
        <v>54</v>
      </c>
      <c r="F1223" s="1" t="s">
        <v>30</v>
      </c>
      <c r="G1223" s="1" t="s">
        <v>24</v>
      </c>
      <c r="H1223" s="1">
        <v>1</v>
      </c>
      <c r="I1223" s="1" t="s">
        <v>1203</v>
      </c>
      <c r="J1223" s="1"/>
      <c r="K1223" s="1">
        <v>1465691.92</v>
      </c>
      <c r="L1223" s="1">
        <v>0</v>
      </c>
      <c r="M1223" s="1">
        <v>0</v>
      </c>
      <c r="N1223" s="1">
        <v>161226.11120000001</v>
      </c>
      <c r="O1223" s="1">
        <v>0</v>
      </c>
      <c r="P1223" s="1">
        <v>0</v>
      </c>
      <c r="Q1223" s="1">
        <v>0</v>
      </c>
      <c r="R1223" s="1">
        <v>1626918.0312000001</v>
      </c>
      <c r="S1223" s="1">
        <v>715691.92</v>
      </c>
      <c r="T1223" s="1">
        <v>48.829628534761</v>
      </c>
      <c r="U1223" t="str">
        <f t="shared" si="19"/>
        <v>Week 4</v>
      </c>
    </row>
    <row r="1224" spans="1:21" x14ac:dyDescent="0.25">
      <c r="A1224" s="1">
        <v>1223</v>
      </c>
      <c r="B1224" s="1" t="s">
        <v>1204</v>
      </c>
      <c r="C1224" s="2">
        <v>46052</v>
      </c>
      <c r="D1224" s="1" t="s">
        <v>33</v>
      </c>
      <c r="E1224" s="1" t="s">
        <v>34</v>
      </c>
      <c r="F1224" s="1" t="s">
        <v>30</v>
      </c>
      <c r="G1224" s="1" t="s">
        <v>24</v>
      </c>
      <c r="H1224" s="1">
        <v>1</v>
      </c>
      <c r="I1224" s="1" t="s">
        <v>1205</v>
      </c>
      <c r="J1224" s="1"/>
      <c r="K1224" s="1">
        <v>31000000</v>
      </c>
      <c r="L1224" s="1">
        <v>0</v>
      </c>
      <c r="M1224" s="1">
        <v>0</v>
      </c>
      <c r="N1224" s="1">
        <v>3410000</v>
      </c>
      <c r="O1224" s="1">
        <v>0</v>
      </c>
      <c r="P1224" s="1">
        <v>0</v>
      </c>
      <c r="Q1224" s="1">
        <v>0</v>
      </c>
      <c r="R1224" s="1">
        <v>34410000</v>
      </c>
      <c r="S1224" s="1">
        <v>8000000</v>
      </c>
      <c r="T1224" s="1">
        <v>25.806451612903</v>
      </c>
      <c r="U1224" t="str">
        <f t="shared" si="19"/>
        <v>Week 4</v>
      </c>
    </row>
    <row r="1225" spans="1:21" x14ac:dyDescent="0.25">
      <c r="A1225" s="1">
        <v>1224</v>
      </c>
      <c r="B1225" s="1" t="s">
        <v>1206</v>
      </c>
      <c r="C1225" s="2">
        <v>46052</v>
      </c>
      <c r="D1225" s="1" t="s">
        <v>202</v>
      </c>
      <c r="E1225" s="1" t="s">
        <v>203</v>
      </c>
      <c r="F1225" s="1" t="s">
        <v>260</v>
      </c>
      <c r="G1225" s="1" t="s">
        <v>24</v>
      </c>
      <c r="H1225" s="1">
        <v>1</v>
      </c>
      <c r="I1225" s="1" t="s">
        <v>1207</v>
      </c>
      <c r="J1225" s="1" t="s">
        <v>26</v>
      </c>
      <c r="K1225" s="1">
        <v>37360622</v>
      </c>
      <c r="L1225" s="1">
        <v>0</v>
      </c>
      <c r="M1225" s="1">
        <v>0</v>
      </c>
      <c r="N1225" s="1">
        <v>4109668.42</v>
      </c>
      <c r="O1225" s="1">
        <v>0</v>
      </c>
      <c r="P1225" s="1">
        <v>0</v>
      </c>
      <c r="Q1225" s="1">
        <v>0</v>
      </c>
      <c r="R1225" s="1">
        <v>41470290.420000002</v>
      </c>
      <c r="S1225" s="1">
        <v>6815073.5304504</v>
      </c>
      <c r="T1225" s="1">
        <v>18.241327808864</v>
      </c>
      <c r="U1225" t="str">
        <f t="shared" si="19"/>
        <v>Week 4</v>
      </c>
    </row>
    <row r="1226" spans="1:21" x14ac:dyDescent="0.25">
      <c r="A1226" s="1">
        <v>1225</v>
      </c>
      <c r="B1226" s="1" t="s">
        <v>1208</v>
      </c>
      <c r="C1226" s="2">
        <v>46052</v>
      </c>
      <c r="D1226" s="1" t="s">
        <v>21</v>
      </c>
      <c r="E1226" s="1" t="s">
        <v>22</v>
      </c>
      <c r="F1226" s="1" t="s">
        <v>30</v>
      </c>
      <c r="G1226" s="1" t="s">
        <v>24</v>
      </c>
      <c r="H1226" s="1">
        <v>1</v>
      </c>
      <c r="I1226" s="1" t="s">
        <v>1209</v>
      </c>
      <c r="J1226" s="1" t="s">
        <v>26</v>
      </c>
      <c r="K1226" s="1">
        <v>7739001.4400000004</v>
      </c>
      <c r="L1226" s="1">
        <v>0</v>
      </c>
      <c r="M1226" s="1">
        <v>0</v>
      </c>
      <c r="N1226" s="1">
        <v>851290.15839999996</v>
      </c>
      <c r="O1226" s="1">
        <v>0</v>
      </c>
      <c r="P1226" s="1">
        <v>0</v>
      </c>
      <c r="Q1226" s="1">
        <v>0</v>
      </c>
      <c r="R1226" s="1">
        <v>8590291.5984000005</v>
      </c>
      <c r="S1226" s="1">
        <v>3733450.44</v>
      </c>
      <c r="T1226" s="1">
        <v>48.242017642006999</v>
      </c>
      <c r="U1226" t="str">
        <f t="shared" si="19"/>
        <v>Week 4</v>
      </c>
    </row>
    <row r="1227" spans="1:21" x14ac:dyDescent="0.25">
      <c r="A1227" s="1">
        <v>1226</v>
      </c>
      <c r="B1227" s="1" t="s">
        <v>1210</v>
      </c>
      <c r="C1227" s="2">
        <v>46052</v>
      </c>
      <c r="D1227" s="1" t="s">
        <v>21</v>
      </c>
      <c r="E1227" s="1" t="s">
        <v>22</v>
      </c>
      <c r="F1227" s="1" t="s">
        <v>23</v>
      </c>
      <c r="G1227" s="1" t="s">
        <v>24</v>
      </c>
      <c r="H1227" s="1">
        <v>1</v>
      </c>
      <c r="I1227" s="1" t="s">
        <v>1211</v>
      </c>
      <c r="J1227" s="1" t="s">
        <v>56</v>
      </c>
      <c r="K1227" s="1">
        <v>54917500</v>
      </c>
      <c r="L1227" s="1">
        <v>0</v>
      </c>
      <c r="M1227" s="1">
        <v>0</v>
      </c>
      <c r="N1227" s="1">
        <v>6040925</v>
      </c>
      <c r="O1227" s="1">
        <v>0</v>
      </c>
      <c r="P1227" s="1">
        <v>0</v>
      </c>
      <c r="Q1227" s="1">
        <v>0</v>
      </c>
      <c r="R1227" s="1">
        <v>60958425</v>
      </c>
      <c r="S1227" s="1">
        <v>11187500</v>
      </c>
      <c r="T1227" s="1">
        <v>20.371466290345001</v>
      </c>
      <c r="U1227" t="str">
        <f t="shared" si="19"/>
        <v>Week 4</v>
      </c>
    </row>
    <row r="1228" spans="1:21" x14ac:dyDescent="0.25">
      <c r="A1228" s="1">
        <v>1227</v>
      </c>
      <c r="B1228" s="1" t="s">
        <v>1212</v>
      </c>
      <c r="C1228" s="2">
        <v>46051</v>
      </c>
      <c r="D1228" s="1" t="s">
        <v>21</v>
      </c>
      <c r="E1228" s="1" t="s">
        <v>22</v>
      </c>
      <c r="F1228" s="1" t="s">
        <v>30</v>
      </c>
      <c r="G1228" s="1" t="s">
        <v>24</v>
      </c>
      <c r="H1228" s="1">
        <v>1</v>
      </c>
      <c r="I1228" s="1" t="s">
        <v>1213</v>
      </c>
      <c r="J1228" s="1" t="s">
        <v>26</v>
      </c>
      <c r="K1228" s="1">
        <v>13330741.060000001</v>
      </c>
      <c r="L1228" s="1">
        <v>0</v>
      </c>
      <c r="M1228" s="1">
        <v>0</v>
      </c>
      <c r="N1228" s="1">
        <v>1466381.5166</v>
      </c>
      <c r="O1228" s="1">
        <v>0</v>
      </c>
      <c r="P1228" s="1">
        <v>0</v>
      </c>
      <c r="Q1228" s="1">
        <v>0</v>
      </c>
      <c r="R1228" s="1">
        <v>14797122.5766</v>
      </c>
      <c r="S1228" s="1">
        <v>5669169.6072973004</v>
      </c>
      <c r="T1228" s="1">
        <v>42.527040183145999</v>
      </c>
      <c r="U1228" t="str">
        <f t="shared" si="19"/>
        <v>Week 4</v>
      </c>
    </row>
    <row r="1229" spans="1:21" x14ac:dyDescent="0.25">
      <c r="A1229" s="1">
        <v>1228</v>
      </c>
      <c r="B1229" s="1" t="s">
        <v>1214</v>
      </c>
      <c r="C1229" s="2">
        <v>46051</v>
      </c>
      <c r="D1229" s="1" t="s">
        <v>53</v>
      </c>
      <c r="E1229" s="1" t="s">
        <v>54</v>
      </c>
      <c r="F1229" s="1" t="s">
        <v>23</v>
      </c>
      <c r="G1229" s="1" t="s">
        <v>24</v>
      </c>
      <c r="H1229" s="1">
        <v>1</v>
      </c>
      <c r="I1229" s="1" t="s">
        <v>1102</v>
      </c>
      <c r="J1229" s="1"/>
      <c r="K1229" s="1">
        <v>4551350</v>
      </c>
      <c r="L1229" s="1">
        <v>0</v>
      </c>
      <c r="M1229" s="1">
        <v>0</v>
      </c>
      <c r="N1229" s="1">
        <v>500648.5</v>
      </c>
      <c r="O1229" s="1">
        <v>0</v>
      </c>
      <c r="P1229" s="1">
        <v>0</v>
      </c>
      <c r="Q1229" s="1">
        <v>0</v>
      </c>
      <c r="R1229" s="1">
        <v>5051998.5</v>
      </c>
      <c r="S1229" s="1">
        <v>901350</v>
      </c>
      <c r="T1229" s="1">
        <v>19.804014193591001</v>
      </c>
      <c r="U1229" t="str">
        <f t="shared" si="19"/>
        <v>Week 4</v>
      </c>
    </row>
    <row r="1230" spans="1:21" x14ac:dyDescent="0.25">
      <c r="A1230" s="1">
        <v>1229</v>
      </c>
      <c r="B1230" s="1" t="s">
        <v>1215</v>
      </c>
      <c r="C1230" s="2">
        <v>46051</v>
      </c>
      <c r="D1230" s="1" t="s">
        <v>37</v>
      </c>
      <c r="E1230" s="1" t="s">
        <v>38</v>
      </c>
      <c r="F1230" s="1" t="s">
        <v>30</v>
      </c>
      <c r="G1230" s="1" t="s">
        <v>24</v>
      </c>
      <c r="H1230" s="1">
        <v>1</v>
      </c>
      <c r="I1230" s="1" t="s">
        <v>1216</v>
      </c>
      <c r="J1230" s="1"/>
      <c r="K1230" s="1">
        <v>22443000</v>
      </c>
      <c r="L1230" s="1">
        <v>0</v>
      </c>
      <c r="M1230" s="1">
        <v>0</v>
      </c>
      <c r="N1230" s="1">
        <v>2468730</v>
      </c>
      <c r="O1230" s="1">
        <v>0</v>
      </c>
      <c r="P1230" s="1">
        <v>0</v>
      </c>
      <c r="Q1230" s="1">
        <v>0</v>
      </c>
      <c r="R1230" s="1">
        <v>24911730</v>
      </c>
      <c r="S1230" s="1">
        <v>-4637000</v>
      </c>
      <c r="T1230" s="1">
        <v>-20.661230673260999</v>
      </c>
      <c r="U1230" t="str">
        <f t="shared" si="19"/>
        <v>Week 4</v>
      </c>
    </row>
    <row r="1231" spans="1:21" x14ac:dyDescent="0.25">
      <c r="A1231" s="1">
        <v>1230</v>
      </c>
      <c r="B1231" s="1" t="s">
        <v>1217</v>
      </c>
      <c r="C1231" s="2">
        <v>46051</v>
      </c>
      <c r="D1231" s="1" t="s">
        <v>21</v>
      </c>
      <c r="E1231" s="1" t="s">
        <v>22</v>
      </c>
      <c r="F1231" s="1" t="s">
        <v>30</v>
      </c>
      <c r="G1231" s="1" t="s">
        <v>24</v>
      </c>
      <c r="H1231" s="1">
        <v>1</v>
      </c>
      <c r="I1231" s="1" t="s">
        <v>1218</v>
      </c>
      <c r="J1231" s="1" t="s">
        <v>26</v>
      </c>
      <c r="K1231" s="1">
        <v>23486657.460000001</v>
      </c>
      <c r="L1231" s="1">
        <v>0</v>
      </c>
      <c r="M1231" s="1">
        <v>0</v>
      </c>
      <c r="N1231" s="1">
        <v>2583532.3206000002</v>
      </c>
      <c r="O1231" s="1">
        <v>0</v>
      </c>
      <c r="P1231" s="1">
        <v>0</v>
      </c>
      <c r="Q1231" s="1">
        <v>0</v>
      </c>
      <c r="R1231" s="1">
        <v>26070189.7806</v>
      </c>
      <c r="S1231" s="1">
        <v>7900315.9313514</v>
      </c>
      <c r="T1231" s="1">
        <v>33.637463929493997</v>
      </c>
      <c r="U1231" t="str">
        <f t="shared" si="19"/>
        <v>Week 4</v>
      </c>
    </row>
    <row r="1232" spans="1:21" x14ac:dyDescent="0.25">
      <c r="A1232" s="1">
        <v>1231</v>
      </c>
      <c r="B1232" s="1" t="s">
        <v>2259</v>
      </c>
      <c r="C1232" s="2">
        <v>46051</v>
      </c>
      <c r="D1232" s="1" t="s">
        <v>2210</v>
      </c>
      <c r="E1232" s="1" t="s">
        <v>192</v>
      </c>
      <c r="F1232" s="1" t="s">
        <v>260</v>
      </c>
      <c r="G1232" s="1" t="s">
        <v>24</v>
      </c>
      <c r="H1232" s="1">
        <v>1</v>
      </c>
      <c r="I1232" s="1" t="s">
        <v>2260</v>
      </c>
      <c r="J1232" s="1" t="s">
        <v>56</v>
      </c>
      <c r="K1232" s="1">
        <v>137686080</v>
      </c>
      <c r="L1232" s="1">
        <v>0</v>
      </c>
      <c r="M1232" s="1">
        <v>0</v>
      </c>
      <c r="N1232" s="1">
        <v>15145468.800000001</v>
      </c>
      <c r="O1232" s="1">
        <v>0</v>
      </c>
      <c r="P1232" s="1">
        <v>0</v>
      </c>
      <c r="Q1232" s="1">
        <v>0</v>
      </c>
      <c r="R1232" s="1">
        <v>152831548.80000001</v>
      </c>
      <c r="S1232" s="1">
        <v>26216720</v>
      </c>
      <c r="T1232" s="1">
        <v>19.040937181158998</v>
      </c>
      <c r="U1232" t="str">
        <f t="shared" si="19"/>
        <v>Week 4</v>
      </c>
    </row>
    <row r="1233" spans="1:21" x14ac:dyDescent="0.25">
      <c r="A1233" s="1">
        <v>1232</v>
      </c>
      <c r="B1233" s="1" t="s">
        <v>1219</v>
      </c>
      <c r="C1233" s="2">
        <v>46051</v>
      </c>
      <c r="D1233" s="1" t="s">
        <v>33</v>
      </c>
      <c r="E1233" s="1" t="s">
        <v>34</v>
      </c>
      <c r="F1233" s="1" t="s">
        <v>30</v>
      </c>
      <c r="G1233" s="1" t="s">
        <v>24</v>
      </c>
      <c r="H1233" s="1">
        <v>1</v>
      </c>
      <c r="I1233" s="1" t="s">
        <v>1220</v>
      </c>
      <c r="J1233" s="1"/>
      <c r="K1233" s="1">
        <v>3587490</v>
      </c>
      <c r="L1233" s="1">
        <v>0</v>
      </c>
      <c r="M1233" s="1">
        <v>0</v>
      </c>
      <c r="N1233" s="1">
        <v>394623.9</v>
      </c>
      <c r="O1233" s="1">
        <v>0</v>
      </c>
      <c r="P1233" s="1">
        <v>0</v>
      </c>
      <c r="Q1233" s="1">
        <v>0</v>
      </c>
      <c r="R1233" s="1">
        <v>3982113.9</v>
      </c>
      <c r="S1233" s="1">
        <v>104490</v>
      </c>
      <c r="T1233" s="1">
        <v>2.9126213592233001</v>
      </c>
      <c r="U1233" t="str">
        <f t="shared" si="19"/>
        <v>Week 4</v>
      </c>
    </row>
    <row r="1234" spans="1:21" x14ac:dyDescent="0.25">
      <c r="A1234" s="1">
        <v>1233</v>
      </c>
      <c r="B1234" s="1" t="s">
        <v>1221</v>
      </c>
      <c r="C1234" s="2">
        <v>46051</v>
      </c>
      <c r="D1234" s="1" t="s">
        <v>33</v>
      </c>
      <c r="E1234" s="1" t="s">
        <v>34</v>
      </c>
      <c r="F1234" s="1" t="s">
        <v>30</v>
      </c>
      <c r="G1234" s="1" t="s">
        <v>24</v>
      </c>
      <c r="H1234" s="1">
        <v>1</v>
      </c>
      <c r="I1234" s="1" t="s">
        <v>1222</v>
      </c>
      <c r="J1234" s="1"/>
      <c r="K1234" s="1">
        <v>219520</v>
      </c>
      <c r="L1234" s="1">
        <v>0</v>
      </c>
      <c r="M1234" s="1">
        <v>0</v>
      </c>
      <c r="N1234" s="1">
        <v>24147.200000000001</v>
      </c>
      <c r="O1234" s="1">
        <v>0</v>
      </c>
      <c r="P1234" s="1">
        <v>0</v>
      </c>
      <c r="Q1234" s="1">
        <v>0</v>
      </c>
      <c r="R1234" s="1">
        <v>243667.20000000001</v>
      </c>
      <c r="S1234" s="1">
        <v>64320</v>
      </c>
      <c r="T1234" s="1">
        <v>29.300291545189999</v>
      </c>
      <c r="U1234" t="str">
        <f t="shared" si="19"/>
        <v>Week 4</v>
      </c>
    </row>
    <row r="1235" spans="1:21" x14ac:dyDescent="0.25">
      <c r="A1235" s="1">
        <v>1234</v>
      </c>
      <c r="B1235" s="1" t="s">
        <v>1223</v>
      </c>
      <c r="C1235" s="2">
        <v>46051</v>
      </c>
      <c r="D1235" s="1" t="s">
        <v>98</v>
      </c>
      <c r="E1235" s="1" t="s">
        <v>116</v>
      </c>
      <c r="F1235" s="1" t="s">
        <v>23</v>
      </c>
      <c r="G1235" s="1" t="s">
        <v>24</v>
      </c>
      <c r="H1235" s="1">
        <v>1</v>
      </c>
      <c r="I1235" s="1" t="s">
        <v>1224</v>
      </c>
      <c r="J1235" s="1"/>
      <c r="K1235" s="1">
        <v>4567600</v>
      </c>
      <c r="L1235" s="1">
        <v>0</v>
      </c>
      <c r="M1235" s="1">
        <v>0</v>
      </c>
      <c r="N1235" s="1">
        <v>502436</v>
      </c>
      <c r="O1235" s="1">
        <v>0</v>
      </c>
      <c r="P1235" s="1">
        <v>0</v>
      </c>
      <c r="Q1235" s="1">
        <v>0</v>
      </c>
      <c r="R1235" s="1">
        <v>5070036</v>
      </c>
      <c r="S1235" s="1">
        <v>1932582.3423423001</v>
      </c>
      <c r="T1235" s="1">
        <v>42.310673928153001</v>
      </c>
      <c r="U1235" t="str">
        <f t="shared" si="19"/>
        <v>Week 4</v>
      </c>
    </row>
    <row r="1236" spans="1:21" x14ac:dyDescent="0.25">
      <c r="A1236" s="1">
        <v>1235</v>
      </c>
      <c r="B1236" s="1" t="s">
        <v>1225</v>
      </c>
      <c r="C1236" s="2">
        <v>46051</v>
      </c>
      <c r="D1236" s="1" t="s">
        <v>98</v>
      </c>
      <c r="E1236" s="1" t="s">
        <v>116</v>
      </c>
      <c r="F1236" s="1" t="s">
        <v>23</v>
      </c>
      <c r="G1236" s="1" t="s">
        <v>24</v>
      </c>
      <c r="H1236" s="1">
        <v>1</v>
      </c>
      <c r="I1236" s="1" t="s">
        <v>1226</v>
      </c>
      <c r="J1236" s="1" t="s">
        <v>26</v>
      </c>
      <c r="K1236" s="1">
        <v>7568550</v>
      </c>
      <c r="L1236" s="1">
        <v>0</v>
      </c>
      <c r="M1236" s="1">
        <v>0</v>
      </c>
      <c r="N1236" s="1">
        <v>832540.5</v>
      </c>
      <c r="O1236" s="1">
        <v>0</v>
      </c>
      <c r="P1236" s="1">
        <v>0</v>
      </c>
      <c r="Q1236" s="1">
        <v>0</v>
      </c>
      <c r="R1236" s="1">
        <v>8401090.5</v>
      </c>
      <c r="S1236" s="1">
        <v>4073813.46</v>
      </c>
      <c r="T1236" s="1">
        <v>53.825547297699003</v>
      </c>
      <c r="U1236" t="str">
        <f t="shared" si="19"/>
        <v>Week 4</v>
      </c>
    </row>
    <row r="1237" spans="1:21" x14ac:dyDescent="0.25">
      <c r="A1237" s="1">
        <v>1236</v>
      </c>
      <c r="B1237" s="1" t="s">
        <v>1227</v>
      </c>
      <c r="C1237" s="2">
        <v>46051</v>
      </c>
      <c r="D1237" s="1" t="s">
        <v>112</v>
      </c>
      <c r="E1237" s="1" t="s">
        <v>34</v>
      </c>
      <c r="F1237" s="1" t="s">
        <v>30</v>
      </c>
      <c r="G1237" s="1" t="s">
        <v>24</v>
      </c>
      <c r="H1237" s="1">
        <v>1</v>
      </c>
      <c r="I1237" s="1" t="s">
        <v>1228</v>
      </c>
      <c r="J1237" s="1"/>
      <c r="K1237" s="1">
        <v>4990356</v>
      </c>
      <c r="L1237" s="1">
        <v>0</v>
      </c>
      <c r="M1237" s="1">
        <v>0</v>
      </c>
      <c r="N1237" s="1">
        <v>548939.16</v>
      </c>
      <c r="O1237" s="1">
        <v>0</v>
      </c>
      <c r="P1237" s="1">
        <v>0</v>
      </c>
      <c r="Q1237" s="1">
        <v>0</v>
      </c>
      <c r="R1237" s="1">
        <v>5539295.1600000001</v>
      </c>
      <c r="S1237" s="1">
        <v>-109644</v>
      </c>
      <c r="T1237" s="1">
        <v>-2.1971178008141998</v>
      </c>
      <c r="U1237" t="str">
        <f t="shared" si="19"/>
        <v>Week 4</v>
      </c>
    </row>
    <row r="1238" spans="1:21" x14ac:dyDescent="0.25">
      <c r="A1238" s="1">
        <v>1237</v>
      </c>
      <c r="B1238" s="1" t="s">
        <v>1229</v>
      </c>
      <c r="C1238" s="2">
        <v>46051</v>
      </c>
      <c r="D1238" s="1" t="s">
        <v>21</v>
      </c>
      <c r="E1238" s="1" t="s">
        <v>22</v>
      </c>
      <c r="F1238" s="1" t="s">
        <v>30</v>
      </c>
      <c r="G1238" s="1" t="s">
        <v>24</v>
      </c>
      <c r="H1238" s="1">
        <v>1</v>
      </c>
      <c r="I1238" s="1" t="s">
        <v>1230</v>
      </c>
      <c r="J1238" s="1" t="s">
        <v>26</v>
      </c>
      <c r="K1238" s="1">
        <v>37419049.200000003</v>
      </c>
      <c r="L1238" s="1">
        <v>0</v>
      </c>
      <c r="M1238" s="1">
        <v>0</v>
      </c>
      <c r="N1238" s="1">
        <v>4116095.412</v>
      </c>
      <c r="O1238" s="1">
        <v>0</v>
      </c>
      <c r="P1238" s="1">
        <v>0</v>
      </c>
      <c r="Q1238" s="1">
        <v>0</v>
      </c>
      <c r="R1238" s="1">
        <v>41535144.612000003</v>
      </c>
      <c r="S1238" s="1">
        <v>11390336.082919</v>
      </c>
      <c r="T1238" s="1">
        <v>30.439939887405998</v>
      </c>
      <c r="U1238" t="str">
        <f t="shared" si="19"/>
        <v>Week 4</v>
      </c>
    </row>
    <row r="1239" spans="1:21" x14ac:dyDescent="0.25">
      <c r="A1239" s="1">
        <v>1238</v>
      </c>
      <c r="B1239" s="1" t="s">
        <v>1231</v>
      </c>
      <c r="C1239" s="2">
        <v>46051</v>
      </c>
      <c r="D1239" s="1" t="s">
        <v>37</v>
      </c>
      <c r="E1239" s="1" t="s">
        <v>38</v>
      </c>
      <c r="F1239" s="1" t="s">
        <v>23</v>
      </c>
      <c r="G1239" s="1" t="s">
        <v>24</v>
      </c>
      <c r="H1239" s="1">
        <v>1</v>
      </c>
      <c r="I1239" s="1" t="s">
        <v>1232</v>
      </c>
      <c r="J1239" s="1"/>
      <c r="K1239" s="1">
        <v>15069949.98</v>
      </c>
      <c r="L1239" s="1">
        <v>0</v>
      </c>
      <c r="M1239" s="1">
        <v>0</v>
      </c>
      <c r="N1239" s="1">
        <v>1657694.4978</v>
      </c>
      <c r="O1239" s="1">
        <v>0</v>
      </c>
      <c r="P1239" s="1">
        <v>0</v>
      </c>
      <c r="Q1239" s="1">
        <v>0</v>
      </c>
      <c r="R1239" s="1">
        <v>16727644.4778</v>
      </c>
      <c r="S1239" s="1">
        <v>5466199.9800000004</v>
      </c>
      <c r="T1239" s="1">
        <v>36.272183963811997</v>
      </c>
      <c r="U1239" t="str">
        <f t="shared" si="19"/>
        <v>Week 4</v>
      </c>
    </row>
    <row r="1240" spans="1:21" x14ac:dyDescent="0.25">
      <c r="A1240" s="1">
        <v>1239</v>
      </c>
      <c r="B1240" s="1" t="s">
        <v>1233</v>
      </c>
      <c r="C1240" s="2">
        <v>46051</v>
      </c>
      <c r="D1240" s="1" t="s">
        <v>21</v>
      </c>
      <c r="E1240" s="1" t="s">
        <v>54</v>
      </c>
      <c r="F1240" s="1" t="s">
        <v>30</v>
      </c>
      <c r="G1240" s="1" t="s">
        <v>24</v>
      </c>
      <c r="H1240" s="1">
        <v>1</v>
      </c>
      <c r="I1240" s="1" t="s">
        <v>1110</v>
      </c>
      <c r="J1240" s="1"/>
      <c r="K1240" s="1">
        <v>9065000</v>
      </c>
      <c r="L1240" s="1">
        <v>0</v>
      </c>
      <c r="M1240" s="1">
        <v>0</v>
      </c>
      <c r="N1240" s="1">
        <v>997150</v>
      </c>
      <c r="O1240" s="1">
        <v>0</v>
      </c>
      <c r="P1240" s="1">
        <v>0</v>
      </c>
      <c r="Q1240" s="1">
        <v>0</v>
      </c>
      <c r="R1240" s="1">
        <v>10062150</v>
      </c>
      <c r="S1240" s="1">
        <v>3065000</v>
      </c>
      <c r="T1240" s="1">
        <v>33.811362382791003</v>
      </c>
      <c r="U1240" t="str">
        <f t="shared" si="19"/>
        <v>Week 4</v>
      </c>
    </row>
    <row r="1241" spans="1:21" x14ac:dyDescent="0.25">
      <c r="A1241" s="1">
        <v>1240</v>
      </c>
      <c r="B1241" s="1" t="s">
        <v>1234</v>
      </c>
      <c r="C1241" s="2">
        <v>46051</v>
      </c>
      <c r="D1241" s="1" t="s">
        <v>53</v>
      </c>
      <c r="E1241" s="1" t="s">
        <v>54</v>
      </c>
      <c r="F1241" s="1" t="s">
        <v>30</v>
      </c>
      <c r="G1241" s="1" t="s">
        <v>24</v>
      </c>
      <c r="H1241" s="1">
        <v>1</v>
      </c>
      <c r="I1241" s="1" t="s">
        <v>1107</v>
      </c>
      <c r="J1241" s="1"/>
      <c r="K1241" s="1">
        <v>9065000</v>
      </c>
      <c r="L1241" s="1">
        <v>0</v>
      </c>
      <c r="M1241" s="1">
        <v>0</v>
      </c>
      <c r="N1241" s="1">
        <v>997150</v>
      </c>
      <c r="O1241" s="1">
        <v>0</v>
      </c>
      <c r="P1241" s="1">
        <v>0</v>
      </c>
      <c r="Q1241" s="1">
        <v>0</v>
      </c>
      <c r="R1241" s="1">
        <v>10062150</v>
      </c>
      <c r="S1241" s="1">
        <v>3065000</v>
      </c>
      <c r="T1241" s="1">
        <v>33.811362382791003</v>
      </c>
      <c r="U1241" t="str">
        <f t="shared" si="19"/>
        <v>Week 4</v>
      </c>
    </row>
    <row r="1242" spans="1:21" x14ac:dyDescent="0.25">
      <c r="A1242" s="1">
        <v>1241</v>
      </c>
      <c r="B1242" s="1" t="s">
        <v>1235</v>
      </c>
      <c r="C1242" s="2">
        <v>46051</v>
      </c>
      <c r="D1242" s="1" t="s">
        <v>33</v>
      </c>
      <c r="E1242" s="1" t="s">
        <v>38</v>
      </c>
      <c r="F1242" s="1" t="s">
        <v>30</v>
      </c>
      <c r="G1242" s="1" t="s">
        <v>24</v>
      </c>
      <c r="H1242" s="1">
        <v>1</v>
      </c>
      <c r="I1242" s="1" t="s">
        <v>1236</v>
      </c>
      <c r="J1242" s="1"/>
      <c r="K1242" s="1">
        <v>29997800</v>
      </c>
      <c r="L1242" s="1">
        <v>0</v>
      </c>
      <c r="M1242" s="1">
        <v>0</v>
      </c>
      <c r="N1242" s="1">
        <v>3299758</v>
      </c>
      <c r="O1242" s="1">
        <v>0</v>
      </c>
      <c r="P1242" s="1">
        <v>0</v>
      </c>
      <c r="Q1242" s="1">
        <v>0</v>
      </c>
      <c r="R1242" s="1">
        <v>33297558</v>
      </c>
      <c r="S1242" s="1">
        <v>5607800</v>
      </c>
      <c r="T1242" s="1">
        <v>18.694037562755</v>
      </c>
      <c r="U1242" t="str">
        <f t="shared" si="19"/>
        <v>Week 4</v>
      </c>
    </row>
    <row r="1243" spans="1:21" x14ac:dyDescent="0.25">
      <c r="A1243" s="1">
        <v>1242</v>
      </c>
      <c r="B1243" s="1" t="s">
        <v>1237</v>
      </c>
      <c r="C1243" s="2">
        <v>46051</v>
      </c>
      <c r="D1243" s="1" t="s">
        <v>112</v>
      </c>
      <c r="E1243" s="1" t="s">
        <v>38</v>
      </c>
      <c r="F1243" s="1" t="s">
        <v>30</v>
      </c>
      <c r="G1243" s="1" t="s">
        <v>24</v>
      </c>
      <c r="H1243" s="1">
        <v>1</v>
      </c>
      <c r="I1243" s="1" t="s">
        <v>1238</v>
      </c>
      <c r="J1243" s="1"/>
      <c r="K1243" s="1">
        <v>14347264</v>
      </c>
      <c r="L1243" s="1">
        <v>0</v>
      </c>
      <c r="M1243" s="1">
        <v>0</v>
      </c>
      <c r="N1243" s="1">
        <v>1578199.04</v>
      </c>
      <c r="O1243" s="1">
        <v>0</v>
      </c>
      <c r="P1243" s="1">
        <v>0</v>
      </c>
      <c r="Q1243" s="1">
        <v>0</v>
      </c>
      <c r="R1243" s="1">
        <v>15925463.039999999</v>
      </c>
      <c r="S1243" s="1">
        <v>840639</v>
      </c>
      <c r="T1243" s="1">
        <v>5.8592286306294996</v>
      </c>
      <c r="U1243" t="str">
        <f t="shared" si="19"/>
        <v>Week 4</v>
      </c>
    </row>
    <row r="1244" spans="1:21" x14ac:dyDescent="0.25">
      <c r="A1244" s="1">
        <v>1243</v>
      </c>
      <c r="B1244" s="1" t="s">
        <v>1239</v>
      </c>
      <c r="C1244" s="2">
        <v>46051</v>
      </c>
      <c r="D1244" s="1" t="s">
        <v>37</v>
      </c>
      <c r="E1244" s="1" t="s">
        <v>38</v>
      </c>
      <c r="F1244" s="1" t="s">
        <v>23</v>
      </c>
      <c r="G1244" s="1" t="s">
        <v>24</v>
      </c>
      <c r="H1244" s="1">
        <v>1</v>
      </c>
      <c r="I1244" s="1" t="s">
        <v>124</v>
      </c>
      <c r="J1244" s="1"/>
      <c r="K1244" s="1">
        <v>770600</v>
      </c>
      <c r="L1244" s="1">
        <v>0</v>
      </c>
      <c r="M1244" s="1">
        <v>0</v>
      </c>
      <c r="N1244" s="1">
        <v>84766</v>
      </c>
      <c r="O1244" s="1">
        <v>0</v>
      </c>
      <c r="P1244" s="1">
        <v>0</v>
      </c>
      <c r="Q1244" s="1">
        <v>0</v>
      </c>
      <c r="R1244" s="1">
        <v>855366</v>
      </c>
      <c r="S1244" s="1">
        <v>600600</v>
      </c>
      <c r="T1244" s="1">
        <v>77.939268102777007</v>
      </c>
      <c r="U1244" t="str">
        <f t="shared" si="19"/>
        <v>Week 4</v>
      </c>
    </row>
    <row r="1245" spans="1:21" x14ac:dyDescent="0.25">
      <c r="A1245" s="1">
        <v>1244</v>
      </c>
      <c r="B1245" s="1" t="s">
        <v>1240</v>
      </c>
      <c r="C1245" s="2">
        <v>46051</v>
      </c>
      <c r="D1245" s="1" t="s">
        <v>37</v>
      </c>
      <c r="E1245" s="1" t="s">
        <v>38</v>
      </c>
      <c r="F1245" s="1" t="s">
        <v>23</v>
      </c>
      <c r="G1245" s="1" t="s">
        <v>24</v>
      </c>
      <c r="H1245" s="1">
        <v>1</v>
      </c>
      <c r="I1245" s="1" t="s">
        <v>1058</v>
      </c>
      <c r="J1245" s="1"/>
      <c r="K1245" s="1">
        <v>3960000</v>
      </c>
      <c r="L1245" s="1">
        <v>0</v>
      </c>
      <c r="M1245" s="1">
        <v>0</v>
      </c>
      <c r="N1245" s="1">
        <v>435600</v>
      </c>
      <c r="O1245" s="1">
        <v>0</v>
      </c>
      <c r="P1245" s="1">
        <v>0</v>
      </c>
      <c r="Q1245" s="1">
        <v>0</v>
      </c>
      <c r="R1245" s="1">
        <v>4395600</v>
      </c>
      <c r="S1245" s="1">
        <v>1632000</v>
      </c>
      <c r="T1245" s="1">
        <v>41.212121212120998</v>
      </c>
      <c r="U1245" t="str">
        <f t="shared" si="19"/>
        <v>Week 4</v>
      </c>
    </row>
    <row r="1246" spans="1:21" x14ac:dyDescent="0.25">
      <c r="A1246" s="1">
        <v>1245</v>
      </c>
      <c r="B1246" s="1" t="s">
        <v>1241</v>
      </c>
      <c r="C1246" s="2">
        <v>46050</v>
      </c>
      <c r="D1246" s="1" t="s">
        <v>53</v>
      </c>
      <c r="E1246" s="1" t="s">
        <v>54</v>
      </c>
      <c r="F1246" s="1" t="s">
        <v>30</v>
      </c>
      <c r="G1246" s="1" t="s">
        <v>24</v>
      </c>
      <c r="H1246" s="1">
        <v>1</v>
      </c>
      <c r="I1246" s="1" t="s">
        <v>1242</v>
      </c>
      <c r="J1246" s="1"/>
      <c r="K1246" s="1">
        <v>6732600</v>
      </c>
      <c r="L1246" s="1">
        <v>0</v>
      </c>
      <c r="M1246" s="1">
        <v>0</v>
      </c>
      <c r="N1246" s="1">
        <v>740586</v>
      </c>
      <c r="O1246" s="1">
        <v>0</v>
      </c>
      <c r="P1246" s="1">
        <v>0</v>
      </c>
      <c r="Q1246" s="1">
        <v>0</v>
      </c>
      <c r="R1246" s="1">
        <v>7473186</v>
      </c>
      <c r="S1246" s="1">
        <v>2392509.6800000002</v>
      </c>
      <c r="T1246" s="1">
        <v>35.536192258562998</v>
      </c>
      <c r="U1246" t="str">
        <f t="shared" si="19"/>
        <v>Week 4</v>
      </c>
    </row>
    <row r="1247" spans="1:21" x14ac:dyDescent="0.25">
      <c r="A1247" s="1">
        <v>1246</v>
      </c>
      <c r="B1247" s="1" t="s">
        <v>1243</v>
      </c>
      <c r="C1247" s="2">
        <v>46050</v>
      </c>
      <c r="D1247" s="1" t="s">
        <v>248</v>
      </c>
      <c r="E1247" s="1" t="s">
        <v>116</v>
      </c>
      <c r="F1247" s="1" t="s">
        <v>260</v>
      </c>
      <c r="G1247" s="1" t="s">
        <v>24</v>
      </c>
      <c r="H1247" s="1">
        <v>1</v>
      </c>
      <c r="I1247" s="1" t="s">
        <v>1244</v>
      </c>
      <c r="J1247" s="1" t="s">
        <v>26</v>
      </c>
      <c r="K1247" s="1">
        <v>35545000</v>
      </c>
      <c r="L1247" s="1">
        <v>0</v>
      </c>
      <c r="M1247" s="1">
        <v>0</v>
      </c>
      <c r="N1247" s="1">
        <v>3909950</v>
      </c>
      <c r="O1247" s="1">
        <v>0</v>
      </c>
      <c r="P1247" s="1">
        <v>0</v>
      </c>
      <c r="Q1247" s="1">
        <v>0</v>
      </c>
      <c r="R1247" s="1">
        <v>39454950</v>
      </c>
      <c r="S1247" s="1">
        <v>10969032.252250001</v>
      </c>
      <c r="T1247" s="1">
        <v>30.859564642706001</v>
      </c>
      <c r="U1247" t="str">
        <f t="shared" si="19"/>
        <v>Week 4</v>
      </c>
    </row>
    <row r="1248" spans="1:21" x14ac:dyDescent="0.25">
      <c r="A1248" s="1">
        <v>1247</v>
      </c>
      <c r="B1248" s="1" t="s">
        <v>1246</v>
      </c>
      <c r="C1248" s="2">
        <v>46050</v>
      </c>
      <c r="D1248" s="1" t="s">
        <v>53</v>
      </c>
      <c r="E1248" s="1" t="s">
        <v>54</v>
      </c>
      <c r="F1248" s="1" t="s">
        <v>30</v>
      </c>
      <c r="G1248" s="1" t="s">
        <v>24</v>
      </c>
      <c r="H1248" s="1">
        <v>1</v>
      </c>
      <c r="I1248" s="1" t="s">
        <v>1247</v>
      </c>
      <c r="J1248" s="1"/>
      <c r="K1248" s="1">
        <v>45363046.539999999</v>
      </c>
      <c r="L1248" s="1">
        <v>0</v>
      </c>
      <c r="M1248" s="1">
        <v>0</v>
      </c>
      <c r="N1248" s="1">
        <v>4989935.1194000002</v>
      </c>
      <c r="O1248" s="1">
        <v>0</v>
      </c>
      <c r="P1248" s="1">
        <v>0</v>
      </c>
      <c r="Q1248" s="1">
        <v>0</v>
      </c>
      <c r="R1248" s="1">
        <v>50352981.659400001</v>
      </c>
      <c r="S1248" s="1">
        <v>5043046.54</v>
      </c>
      <c r="T1248" s="1">
        <v>11.117080806186999</v>
      </c>
      <c r="U1248" t="str">
        <f t="shared" si="19"/>
        <v>Week 4</v>
      </c>
    </row>
    <row r="1249" spans="1:21" x14ac:dyDescent="0.25">
      <c r="A1249" s="1">
        <v>1248</v>
      </c>
      <c r="B1249" s="1" t="s">
        <v>1248</v>
      </c>
      <c r="C1249" s="2">
        <v>46050</v>
      </c>
      <c r="D1249" s="1" t="s">
        <v>21</v>
      </c>
      <c r="E1249" s="1" t="s">
        <v>54</v>
      </c>
      <c r="F1249" s="1" t="s">
        <v>30</v>
      </c>
      <c r="G1249" s="1" t="s">
        <v>24</v>
      </c>
      <c r="H1249" s="1">
        <v>1</v>
      </c>
      <c r="I1249" s="1" t="s">
        <v>1249</v>
      </c>
      <c r="J1249" s="1"/>
      <c r="K1249" s="1">
        <v>7077560</v>
      </c>
      <c r="L1249" s="1">
        <v>0</v>
      </c>
      <c r="M1249" s="1">
        <v>0</v>
      </c>
      <c r="N1249" s="1">
        <v>778531.6</v>
      </c>
      <c r="O1249" s="1">
        <v>0</v>
      </c>
      <c r="P1249" s="1">
        <v>0</v>
      </c>
      <c r="Q1249" s="1">
        <v>0</v>
      </c>
      <c r="R1249" s="1">
        <v>7856091.5999999996</v>
      </c>
      <c r="S1249" s="1">
        <v>2601504.1081081</v>
      </c>
      <c r="T1249" s="1">
        <v>36.757075999469997</v>
      </c>
      <c r="U1249" t="str">
        <f t="shared" si="19"/>
        <v>Week 4</v>
      </c>
    </row>
    <row r="1250" spans="1:21" x14ac:dyDescent="0.25">
      <c r="A1250" s="1">
        <v>1249</v>
      </c>
      <c r="B1250" s="1" t="s">
        <v>1250</v>
      </c>
      <c r="C1250" s="2">
        <v>46050</v>
      </c>
      <c r="D1250" s="1" t="s">
        <v>53</v>
      </c>
      <c r="E1250" s="1" t="s">
        <v>54</v>
      </c>
      <c r="F1250" s="1" t="s">
        <v>30</v>
      </c>
      <c r="G1250" s="1" t="s">
        <v>24</v>
      </c>
      <c r="H1250" s="1">
        <v>1</v>
      </c>
      <c r="I1250" s="1" t="s">
        <v>1251</v>
      </c>
      <c r="J1250" s="1"/>
      <c r="K1250" s="1">
        <v>2276050</v>
      </c>
      <c r="L1250" s="1">
        <v>0</v>
      </c>
      <c r="M1250" s="1">
        <v>0</v>
      </c>
      <c r="N1250" s="1">
        <v>250365.5</v>
      </c>
      <c r="O1250" s="1">
        <v>0</v>
      </c>
      <c r="P1250" s="1">
        <v>0</v>
      </c>
      <c r="Q1250" s="1">
        <v>0</v>
      </c>
      <c r="R1250" s="1">
        <v>2526415.5</v>
      </c>
      <c r="S1250" s="1">
        <v>554368.29939940001</v>
      </c>
      <c r="T1250" s="1">
        <v>24.356595830469001</v>
      </c>
      <c r="U1250" t="str">
        <f t="shared" si="19"/>
        <v>Week 4</v>
      </c>
    </row>
    <row r="1251" spans="1:21" x14ac:dyDescent="0.25">
      <c r="A1251" s="1">
        <v>1250</v>
      </c>
      <c r="B1251" s="1" t="s">
        <v>1252</v>
      </c>
      <c r="C1251" s="2">
        <v>46050</v>
      </c>
      <c r="D1251" s="1" t="s">
        <v>53</v>
      </c>
      <c r="E1251" s="1" t="s">
        <v>54</v>
      </c>
      <c r="F1251" s="1" t="s">
        <v>30</v>
      </c>
      <c r="G1251" s="1" t="s">
        <v>24</v>
      </c>
      <c r="H1251" s="1">
        <v>1</v>
      </c>
      <c r="I1251" s="1" t="s">
        <v>1253</v>
      </c>
      <c r="J1251" s="1"/>
      <c r="K1251" s="1">
        <v>1008390.6</v>
      </c>
      <c r="L1251" s="1">
        <v>0</v>
      </c>
      <c r="M1251" s="1">
        <v>0</v>
      </c>
      <c r="N1251" s="1">
        <v>110922.966</v>
      </c>
      <c r="O1251" s="1">
        <v>0</v>
      </c>
      <c r="P1251" s="1">
        <v>0</v>
      </c>
      <c r="Q1251" s="1">
        <v>0</v>
      </c>
      <c r="R1251" s="1">
        <v>1119313.5660000001</v>
      </c>
      <c r="S1251" s="1">
        <v>668345.59999999998</v>
      </c>
      <c r="T1251" s="1">
        <v>66.278444087042999</v>
      </c>
      <c r="U1251" t="str">
        <f t="shared" si="19"/>
        <v>Week 4</v>
      </c>
    </row>
    <row r="1252" spans="1:21" x14ac:dyDescent="0.25">
      <c r="A1252" s="1">
        <v>1251</v>
      </c>
      <c r="B1252" s="1" t="s">
        <v>1254</v>
      </c>
      <c r="C1252" s="2">
        <v>46050</v>
      </c>
      <c r="D1252" s="1" t="s">
        <v>33</v>
      </c>
      <c r="E1252" s="1" t="s">
        <v>38</v>
      </c>
      <c r="F1252" s="1" t="s">
        <v>30</v>
      </c>
      <c r="G1252" s="1" t="s">
        <v>24</v>
      </c>
      <c r="H1252" s="1">
        <v>1</v>
      </c>
      <c r="I1252" s="1" t="s">
        <v>2742</v>
      </c>
      <c r="J1252" s="1"/>
      <c r="K1252" s="1">
        <v>61711090</v>
      </c>
      <c r="L1252" s="1">
        <v>0</v>
      </c>
      <c r="M1252" s="1">
        <v>0</v>
      </c>
      <c r="N1252" s="1">
        <v>6788219.9000000004</v>
      </c>
      <c r="O1252" s="1">
        <v>0</v>
      </c>
      <c r="P1252" s="1">
        <v>0</v>
      </c>
      <c r="Q1252" s="1">
        <v>0</v>
      </c>
      <c r="R1252" s="1">
        <v>68499309.900000006</v>
      </c>
      <c r="S1252" s="1">
        <v>9735690</v>
      </c>
      <c r="T1252" s="1">
        <v>15.776240542826001</v>
      </c>
      <c r="U1252" t="str">
        <f t="shared" si="19"/>
        <v>Week 4</v>
      </c>
    </row>
    <row r="1253" spans="1:21" x14ac:dyDescent="0.25">
      <c r="A1253" s="1">
        <v>1252</v>
      </c>
      <c r="B1253" s="1" t="s">
        <v>1255</v>
      </c>
      <c r="C1253" s="2">
        <v>46050</v>
      </c>
      <c r="D1253" s="1" t="s">
        <v>53</v>
      </c>
      <c r="E1253" s="1" t="s">
        <v>54</v>
      </c>
      <c r="F1253" s="1" t="s">
        <v>30</v>
      </c>
      <c r="G1253" s="1" t="s">
        <v>24</v>
      </c>
      <c r="H1253" s="1">
        <v>1</v>
      </c>
      <c r="I1253" s="1" t="s">
        <v>1174</v>
      </c>
      <c r="J1253" s="1"/>
      <c r="K1253" s="1">
        <v>2881200</v>
      </c>
      <c r="L1253" s="1">
        <v>0</v>
      </c>
      <c r="M1253" s="1">
        <v>0</v>
      </c>
      <c r="N1253" s="1">
        <v>316932</v>
      </c>
      <c r="O1253" s="1">
        <v>0</v>
      </c>
      <c r="P1253" s="1">
        <v>0</v>
      </c>
      <c r="Q1253" s="1">
        <v>0</v>
      </c>
      <c r="R1253" s="1">
        <v>3198132</v>
      </c>
      <c r="S1253" s="1">
        <v>989308.10810810002</v>
      </c>
      <c r="T1253" s="1">
        <v>34.336669030545998</v>
      </c>
      <c r="U1253" t="str">
        <f t="shared" si="19"/>
        <v>Week 4</v>
      </c>
    </row>
    <row r="1254" spans="1:21" x14ac:dyDescent="0.25">
      <c r="A1254" s="1">
        <v>1253</v>
      </c>
      <c r="B1254" s="1" t="s">
        <v>1256</v>
      </c>
      <c r="C1254" s="2">
        <v>46050</v>
      </c>
      <c r="D1254" s="1" t="s">
        <v>21</v>
      </c>
      <c r="E1254" s="1" t="s">
        <v>22</v>
      </c>
      <c r="F1254" s="1" t="s">
        <v>30</v>
      </c>
      <c r="G1254" s="1" t="s">
        <v>24</v>
      </c>
      <c r="H1254" s="1">
        <v>1</v>
      </c>
      <c r="I1254" s="1" t="s">
        <v>1257</v>
      </c>
      <c r="J1254" s="1" t="s">
        <v>26</v>
      </c>
      <c r="K1254" s="1">
        <v>2554370</v>
      </c>
      <c r="L1254" s="1">
        <v>0</v>
      </c>
      <c r="M1254" s="1">
        <v>0</v>
      </c>
      <c r="N1254" s="1">
        <v>280980.7</v>
      </c>
      <c r="O1254" s="1">
        <v>0</v>
      </c>
      <c r="P1254" s="1">
        <v>0</v>
      </c>
      <c r="Q1254" s="1">
        <v>0</v>
      </c>
      <c r="R1254" s="1">
        <v>2835350.7</v>
      </c>
      <c r="S1254" s="1">
        <v>329370</v>
      </c>
      <c r="T1254" s="1">
        <v>12.894373172250001</v>
      </c>
      <c r="U1254" t="str">
        <f t="shared" si="19"/>
        <v>Week 4</v>
      </c>
    </row>
    <row r="1255" spans="1:21" x14ac:dyDescent="0.25">
      <c r="A1255" s="1">
        <v>1254</v>
      </c>
      <c r="B1255" s="1" t="s">
        <v>1258</v>
      </c>
      <c r="C1255" s="2">
        <v>46050</v>
      </c>
      <c r="D1255" s="1" t="s">
        <v>21</v>
      </c>
      <c r="E1255" s="1" t="s">
        <v>54</v>
      </c>
      <c r="F1255" s="1" t="s">
        <v>30</v>
      </c>
      <c r="G1255" s="1" t="s">
        <v>24</v>
      </c>
      <c r="H1255" s="1">
        <v>1</v>
      </c>
      <c r="I1255" s="1" t="s">
        <v>1259</v>
      </c>
      <c r="J1255" s="1"/>
      <c r="K1255" s="1">
        <v>29046047.52</v>
      </c>
      <c r="L1255" s="1">
        <v>0</v>
      </c>
      <c r="M1255" s="1">
        <v>0</v>
      </c>
      <c r="N1255" s="1">
        <v>3195065.2272000001</v>
      </c>
      <c r="O1255" s="1">
        <v>0</v>
      </c>
      <c r="P1255" s="1">
        <v>0</v>
      </c>
      <c r="Q1255" s="1">
        <v>0</v>
      </c>
      <c r="R1255" s="1">
        <v>32241112.747200001</v>
      </c>
      <c r="S1255" s="1">
        <v>2046047.52</v>
      </c>
      <c r="T1255" s="1">
        <v>7.0441512518740002</v>
      </c>
      <c r="U1255" t="str">
        <f t="shared" si="19"/>
        <v>Week 4</v>
      </c>
    </row>
    <row r="1256" spans="1:21" x14ac:dyDescent="0.25">
      <c r="A1256" s="1">
        <v>1255</v>
      </c>
      <c r="B1256" s="1" t="s">
        <v>1260</v>
      </c>
      <c r="C1256" s="2">
        <v>46050</v>
      </c>
      <c r="D1256" s="1" t="s">
        <v>21</v>
      </c>
      <c r="E1256" s="1" t="s">
        <v>22</v>
      </c>
      <c r="F1256" s="1" t="s">
        <v>30</v>
      </c>
      <c r="G1256" s="1" t="s">
        <v>24</v>
      </c>
      <c r="H1256" s="1">
        <v>1</v>
      </c>
      <c r="I1256" s="1" t="s">
        <v>1261</v>
      </c>
      <c r="J1256" s="1" t="s">
        <v>26</v>
      </c>
      <c r="K1256" s="1">
        <v>67950905</v>
      </c>
      <c r="L1256" s="1">
        <v>0</v>
      </c>
      <c r="M1256" s="1">
        <v>0</v>
      </c>
      <c r="N1256" s="1">
        <v>7474599.5499999998</v>
      </c>
      <c r="O1256" s="1">
        <v>0</v>
      </c>
      <c r="P1256" s="1">
        <v>0</v>
      </c>
      <c r="Q1256" s="1">
        <v>0</v>
      </c>
      <c r="R1256" s="1">
        <v>75425504.549999997</v>
      </c>
      <c r="S1256" s="1">
        <v>-4659308.71</v>
      </c>
      <c r="T1256" s="1">
        <v>-6.8568751365415999</v>
      </c>
      <c r="U1256" t="str">
        <f t="shared" si="19"/>
        <v>Week 4</v>
      </c>
    </row>
    <row r="1257" spans="1:21" x14ac:dyDescent="0.25">
      <c r="A1257" s="1">
        <v>1256</v>
      </c>
      <c r="B1257" s="1" t="s">
        <v>1262</v>
      </c>
      <c r="C1257" s="2">
        <v>46050</v>
      </c>
      <c r="D1257" s="1" t="s">
        <v>53</v>
      </c>
      <c r="E1257" s="1" t="s">
        <v>54</v>
      </c>
      <c r="F1257" s="1" t="s">
        <v>30</v>
      </c>
      <c r="G1257" s="1" t="s">
        <v>24</v>
      </c>
      <c r="H1257" s="1">
        <v>1</v>
      </c>
      <c r="I1257" s="1" t="s">
        <v>1263</v>
      </c>
      <c r="J1257" s="1"/>
      <c r="K1257" s="1">
        <v>24681635.16</v>
      </c>
      <c r="L1257" s="1">
        <v>0</v>
      </c>
      <c r="M1257" s="1">
        <v>0</v>
      </c>
      <c r="N1257" s="1">
        <v>2714979.8676</v>
      </c>
      <c r="O1257" s="1">
        <v>0</v>
      </c>
      <c r="P1257" s="1">
        <v>0</v>
      </c>
      <c r="Q1257" s="1">
        <v>0</v>
      </c>
      <c r="R1257" s="1">
        <v>27396615.027600002</v>
      </c>
      <c r="S1257" s="1">
        <v>5207761.16</v>
      </c>
      <c r="T1257" s="1">
        <v>21.099741270140001</v>
      </c>
      <c r="U1257" t="str">
        <f t="shared" si="19"/>
        <v>Week 4</v>
      </c>
    </row>
    <row r="1258" spans="1:21" x14ac:dyDescent="0.25">
      <c r="A1258" s="1">
        <v>1257</v>
      </c>
      <c r="B1258" s="1" t="s">
        <v>1264</v>
      </c>
      <c r="C1258" s="2">
        <v>46050</v>
      </c>
      <c r="D1258" s="1" t="s">
        <v>33</v>
      </c>
      <c r="E1258" s="1" t="s">
        <v>38</v>
      </c>
      <c r="F1258" s="1" t="s">
        <v>30</v>
      </c>
      <c r="G1258" s="1" t="s">
        <v>24</v>
      </c>
      <c r="H1258" s="1">
        <v>1</v>
      </c>
      <c r="I1258" s="1" t="s">
        <v>1265</v>
      </c>
      <c r="J1258" s="1"/>
      <c r="K1258" s="1">
        <v>2941960</v>
      </c>
      <c r="L1258" s="1">
        <v>0</v>
      </c>
      <c r="M1258" s="1">
        <v>0</v>
      </c>
      <c r="N1258" s="1">
        <v>323615.59999999998</v>
      </c>
      <c r="O1258" s="1">
        <v>0</v>
      </c>
      <c r="P1258" s="1">
        <v>0</v>
      </c>
      <c r="Q1258" s="1">
        <v>0</v>
      </c>
      <c r="R1258" s="1">
        <v>3265575.6</v>
      </c>
      <c r="S1258" s="1">
        <v>823960</v>
      </c>
      <c r="T1258" s="1">
        <v>28.007178887544001</v>
      </c>
      <c r="U1258" t="str">
        <f t="shared" si="19"/>
        <v>Week 4</v>
      </c>
    </row>
    <row r="1259" spans="1:21" x14ac:dyDescent="0.25">
      <c r="A1259" s="1">
        <v>1258</v>
      </c>
      <c r="B1259" s="1" t="s">
        <v>1266</v>
      </c>
      <c r="C1259" s="2">
        <v>46050</v>
      </c>
      <c r="D1259" s="1" t="s">
        <v>53</v>
      </c>
      <c r="E1259" s="1" t="s">
        <v>54</v>
      </c>
      <c r="F1259" s="1" t="s">
        <v>30</v>
      </c>
      <c r="G1259" s="1" t="s">
        <v>24</v>
      </c>
      <c r="H1259" s="1">
        <v>1</v>
      </c>
      <c r="I1259" s="1" t="s">
        <v>1267</v>
      </c>
      <c r="J1259" s="1"/>
      <c r="K1259" s="1">
        <v>24681635.16</v>
      </c>
      <c r="L1259" s="1">
        <v>0</v>
      </c>
      <c r="M1259" s="1">
        <v>0</v>
      </c>
      <c r="N1259" s="1">
        <v>2714979.8676</v>
      </c>
      <c r="O1259" s="1">
        <v>0</v>
      </c>
      <c r="P1259" s="1">
        <v>0</v>
      </c>
      <c r="Q1259" s="1">
        <v>0</v>
      </c>
      <c r="R1259" s="1">
        <v>27396615.027600002</v>
      </c>
      <c r="S1259" s="1">
        <v>5207761.16</v>
      </c>
      <c r="T1259" s="1">
        <v>21.099741270140001</v>
      </c>
      <c r="U1259" t="str">
        <f t="shared" si="19"/>
        <v>Week 4</v>
      </c>
    </row>
    <row r="1260" spans="1:21" x14ac:dyDescent="0.25">
      <c r="A1260" s="1">
        <v>1259</v>
      </c>
      <c r="B1260" s="1" t="s">
        <v>1268</v>
      </c>
      <c r="C1260" s="2">
        <v>46050</v>
      </c>
      <c r="D1260" s="1" t="s">
        <v>421</v>
      </c>
      <c r="E1260" s="1" t="s">
        <v>203</v>
      </c>
      <c r="F1260" s="1" t="s">
        <v>23</v>
      </c>
      <c r="G1260" s="1" t="s">
        <v>24</v>
      </c>
      <c r="H1260" s="1">
        <v>1</v>
      </c>
      <c r="I1260" s="1" t="s">
        <v>1269</v>
      </c>
      <c r="J1260" s="1" t="s">
        <v>26</v>
      </c>
      <c r="K1260" s="1">
        <v>3471428.57</v>
      </c>
      <c r="L1260" s="1">
        <v>0</v>
      </c>
      <c r="M1260" s="1">
        <v>0</v>
      </c>
      <c r="N1260" s="1">
        <v>381857.14270000003</v>
      </c>
      <c r="O1260" s="1">
        <v>0</v>
      </c>
      <c r="P1260" s="1">
        <v>0</v>
      </c>
      <c r="Q1260" s="1">
        <v>0</v>
      </c>
      <c r="R1260" s="1">
        <v>3853285.7127</v>
      </c>
      <c r="S1260" s="1">
        <v>1041428.57</v>
      </c>
      <c r="T1260" s="1">
        <v>29.999999971192999</v>
      </c>
      <c r="U1260" t="str">
        <f t="shared" si="19"/>
        <v>Week 4</v>
      </c>
    </row>
    <row r="1261" spans="1:21" x14ac:dyDescent="0.25">
      <c r="A1261" s="1">
        <v>1260</v>
      </c>
      <c r="B1261" s="1" t="s">
        <v>1270</v>
      </c>
      <c r="C1261" s="2">
        <v>46050</v>
      </c>
      <c r="D1261" s="1" t="s">
        <v>37</v>
      </c>
      <c r="E1261" s="1" t="s">
        <v>38</v>
      </c>
      <c r="F1261" s="1" t="s">
        <v>23</v>
      </c>
      <c r="G1261" s="1" t="s">
        <v>24</v>
      </c>
      <c r="H1261" s="1">
        <v>1</v>
      </c>
      <c r="I1261" s="1" t="s">
        <v>1271</v>
      </c>
      <c r="J1261" s="1"/>
      <c r="K1261" s="1">
        <v>42300000</v>
      </c>
      <c r="L1261" s="1">
        <v>0</v>
      </c>
      <c r="M1261" s="1">
        <v>0</v>
      </c>
      <c r="N1261" s="1">
        <v>4653000</v>
      </c>
      <c r="O1261" s="1">
        <v>0</v>
      </c>
      <c r="P1261" s="1">
        <v>0</v>
      </c>
      <c r="Q1261" s="1">
        <v>0</v>
      </c>
      <c r="R1261" s="1">
        <v>46953000</v>
      </c>
      <c r="S1261" s="1">
        <v>8328000</v>
      </c>
      <c r="T1261" s="1">
        <v>19.687943262411</v>
      </c>
      <c r="U1261" t="str">
        <f t="shared" si="19"/>
        <v>Week 4</v>
      </c>
    </row>
    <row r="1262" spans="1:21" x14ac:dyDescent="0.25">
      <c r="A1262" s="1">
        <v>1261</v>
      </c>
      <c r="B1262" s="1" t="s">
        <v>1272</v>
      </c>
      <c r="C1262" s="2">
        <v>46050</v>
      </c>
      <c r="D1262" s="1" t="s">
        <v>169</v>
      </c>
      <c r="E1262" s="1" t="s">
        <v>116</v>
      </c>
      <c r="F1262" s="1" t="s">
        <v>23</v>
      </c>
      <c r="G1262" s="1" t="s">
        <v>24</v>
      </c>
      <c r="H1262" s="1">
        <v>1</v>
      </c>
      <c r="I1262" s="1" t="s">
        <v>1273</v>
      </c>
      <c r="J1262" s="1" t="s">
        <v>26</v>
      </c>
      <c r="K1262" s="1">
        <v>17400000</v>
      </c>
      <c r="L1262" s="1">
        <v>0</v>
      </c>
      <c r="M1262" s="1">
        <v>0</v>
      </c>
      <c r="N1262" s="1">
        <v>1914000</v>
      </c>
      <c r="O1262" s="1">
        <v>0</v>
      </c>
      <c r="P1262" s="1">
        <v>0</v>
      </c>
      <c r="Q1262" s="1">
        <v>0</v>
      </c>
      <c r="R1262" s="1">
        <v>19314000</v>
      </c>
      <c r="S1262" s="1">
        <v>3687890</v>
      </c>
      <c r="T1262" s="1">
        <v>21.194770114943001</v>
      </c>
      <c r="U1262" t="str">
        <f t="shared" si="19"/>
        <v>Week 4</v>
      </c>
    </row>
    <row r="1263" spans="1:21" x14ac:dyDescent="0.25">
      <c r="A1263" s="1">
        <v>1262</v>
      </c>
      <c r="B1263" s="1" t="s">
        <v>1274</v>
      </c>
      <c r="C1263" s="2">
        <v>46050</v>
      </c>
      <c r="D1263" s="1" t="s">
        <v>21</v>
      </c>
      <c r="E1263" s="1" t="s">
        <v>22</v>
      </c>
      <c r="F1263" s="1" t="s">
        <v>30</v>
      </c>
      <c r="G1263" s="1" t="s">
        <v>24</v>
      </c>
      <c r="H1263" s="1">
        <v>1</v>
      </c>
      <c r="I1263" s="1" t="s">
        <v>1275</v>
      </c>
      <c r="J1263" s="1" t="s">
        <v>26</v>
      </c>
      <c r="K1263" s="1">
        <v>62196224</v>
      </c>
      <c r="L1263" s="1">
        <v>0</v>
      </c>
      <c r="M1263" s="1">
        <v>0</v>
      </c>
      <c r="N1263" s="1">
        <v>6841584.6399999997</v>
      </c>
      <c r="O1263" s="1">
        <v>0</v>
      </c>
      <c r="P1263" s="1">
        <v>0</v>
      </c>
      <c r="Q1263" s="1">
        <v>0</v>
      </c>
      <c r="R1263" s="1">
        <v>69037808.640000001</v>
      </c>
      <c r="S1263" s="1">
        <v>2810927.98</v>
      </c>
      <c r="T1263" s="1">
        <v>4.5194511808305</v>
      </c>
      <c r="U1263" t="str">
        <f t="shared" si="19"/>
        <v>Week 4</v>
      </c>
    </row>
    <row r="1264" spans="1:21" x14ac:dyDescent="0.25">
      <c r="A1264" s="1">
        <v>1263</v>
      </c>
      <c r="B1264" s="1" t="s">
        <v>1276</v>
      </c>
      <c r="C1264" s="2">
        <v>46050</v>
      </c>
      <c r="D1264" s="1" t="s">
        <v>53</v>
      </c>
      <c r="E1264" s="1" t="s">
        <v>54</v>
      </c>
      <c r="F1264" s="1" t="s">
        <v>30</v>
      </c>
      <c r="G1264" s="1" t="s">
        <v>24</v>
      </c>
      <c r="H1264" s="1">
        <v>1</v>
      </c>
      <c r="I1264" s="1" t="s">
        <v>1277</v>
      </c>
      <c r="J1264" s="1"/>
      <c r="K1264" s="1">
        <v>1332000</v>
      </c>
      <c r="L1264" s="1">
        <v>0</v>
      </c>
      <c r="M1264" s="1">
        <v>0</v>
      </c>
      <c r="N1264" s="1">
        <v>146520</v>
      </c>
      <c r="O1264" s="1">
        <v>0</v>
      </c>
      <c r="P1264" s="1">
        <v>0</v>
      </c>
      <c r="Q1264" s="1">
        <v>0</v>
      </c>
      <c r="R1264" s="1">
        <v>1478520</v>
      </c>
      <c r="S1264" s="1">
        <v>882000</v>
      </c>
      <c r="T1264" s="1">
        <v>66.216216216215997</v>
      </c>
      <c r="U1264" t="str">
        <f t="shared" si="19"/>
        <v>Week 4</v>
      </c>
    </row>
    <row r="1265" spans="1:21" x14ac:dyDescent="0.25">
      <c r="A1265" s="1">
        <v>1264</v>
      </c>
      <c r="B1265" s="1" t="s">
        <v>1278</v>
      </c>
      <c r="C1265" s="2">
        <v>46050</v>
      </c>
      <c r="D1265" s="1" t="s">
        <v>33</v>
      </c>
      <c r="E1265" s="1" t="s">
        <v>38</v>
      </c>
      <c r="F1265" s="1" t="s">
        <v>23</v>
      </c>
      <c r="G1265" s="1" t="s">
        <v>24</v>
      </c>
      <c r="H1265" s="1">
        <v>1</v>
      </c>
      <c r="I1265" s="1" t="s">
        <v>1279</v>
      </c>
      <c r="J1265" s="1"/>
      <c r="K1265" s="1">
        <v>22124763.513599999</v>
      </c>
      <c r="L1265" s="1">
        <v>0</v>
      </c>
      <c r="M1265" s="1">
        <v>0</v>
      </c>
      <c r="N1265" s="1">
        <v>2433723.9864960001</v>
      </c>
      <c r="O1265" s="1">
        <v>0</v>
      </c>
      <c r="P1265" s="1">
        <v>0</v>
      </c>
      <c r="Q1265" s="1">
        <v>0</v>
      </c>
      <c r="R1265" s="1">
        <v>24558487.500096001</v>
      </c>
      <c r="S1265" s="1">
        <v>12258437.288375</v>
      </c>
      <c r="T1265" s="1">
        <v>55.405958490084998</v>
      </c>
      <c r="U1265" t="str">
        <f t="shared" si="19"/>
        <v>Week 4</v>
      </c>
    </row>
    <row r="1266" spans="1:21" x14ac:dyDescent="0.25">
      <c r="A1266" s="1">
        <v>1265</v>
      </c>
      <c r="B1266" s="1" t="s">
        <v>1280</v>
      </c>
      <c r="C1266" s="2">
        <v>46050</v>
      </c>
      <c r="D1266" s="1" t="s">
        <v>169</v>
      </c>
      <c r="E1266" s="1" t="s">
        <v>1281</v>
      </c>
      <c r="F1266" s="1" t="s">
        <v>23</v>
      </c>
      <c r="G1266" s="1" t="s">
        <v>24</v>
      </c>
      <c r="H1266" s="1">
        <v>1</v>
      </c>
      <c r="I1266" s="1" t="s">
        <v>1282</v>
      </c>
      <c r="J1266" s="1"/>
      <c r="K1266" s="1">
        <v>6674000</v>
      </c>
      <c r="L1266" s="1">
        <v>0</v>
      </c>
      <c r="M1266" s="1">
        <v>0</v>
      </c>
      <c r="N1266" s="1">
        <v>734140</v>
      </c>
      <c r="O1266" s="1">
        <v>0</v>
      </c>
      <c r="P1266" s="1">
        <v>0</v>
      </c>
      <c r="Q1266" s="1">
        <v>0</v>
      </c>
      <c r="R1266" s="1">
        <v>7408140</v>
      </c>
      <c r="S1266" s="1">
        <v>1845567.56</v>
      </c>
      <c r="T1266" s="1">
        <v>27.653094995505</v>
      </c>
      <c r="U1266" t="str">
        <f t="shared" si="19"/>
        <v>Week 4</v>
      </c>
    </row>
    <row r="1267" spans="1:21" x14ac:dyDescent="0.25">
      <c r="A1267" s="1">
        <v>1266</v>
      </c>
      <c r="B1267" s="1" t="s">
        <v>1283</v>
      </c>
      <c r="C1267" s="2">
        <v>46050</v>
      </c>
      <c r="D1267" s="1" t="s">
        <v>169</v>
      </c>
      <c r="E1267" s="1" t="s">
        <v>99</v>
      </c>
      <c r="F1267" s="1" t="s">
        <v>30</v>
      </c>
      <c r="G1267" s="1" t="s">
        <v>24</v>
      </c>
      <c r="H1267" s="1">
        <v>1</v>
      </c>
      <c r="I1267" s="1" t="s">
        <v>2483</v>
      </c>
      <c r="J1267" s="1" t="s">
        <v>26</v>
      </c>
      <c r="K1267" s="1">
        <v>258720</v>
      </c>
      <c r="L1267" s="1">
        <v>0</v>
      </c>
      <c r="M1267" s="1">
        <v>0</v>
      </c>
      <c r="N1267" s="1">
        <v>28459.200000000001</v>
      </c>
      <c r="O1267" s="1">
        <v>0</v>
      </c>
      <c r="P1267" s="1">
        <v>0</v>
      </c>
      <c r="Q1267" s="1">
        <v>0</v>
      </c>
      <c r="R1267" s="1">
        <v>287179.2</v>
      </c>
      <c r="S1267" s="1">
        <v>64125.405405404999</v>
      </c>
      <c r="T1267" s="1">
        <v>24.785639071353</v>
      </c>
      <c r="U1267" t="str">
        <f t="shared" si="19"/>
        <v>Week 4</v>
      </c>
    </row>
    <row r="1268" spans="1:21" x14ac:dyDescent="0.25">
      <c r="A1268" s="1">
        <v>1267</v>
      </c>
      <c r="B1268" s="1" t="s">
        <v>1284</v>
      </c>
      <c r="C1268" s="2">
        <v>46050</v>
      </c>
      <c r="D1268" s="1" t="s">
        <v>53</v>
      </c>
      <c r="E1268" s="1" t="s">
        <v>54</v>
      </c>
      <c r="F1268" s="1" t="s">
        <v>30</v>
      </c>
      <c r="G1268" s="1" t="s">
        <v>24</v>
      </c>
      <c r="H1268" s="1">
        <v>1</v>
      </c>
      <c r="I1268" s="1" t="s">
        <v>1285</v>
      </c>
      <c r="J1268" s="1"/>
      <c r="K1268" s="1">
        <v>4045440</v>
      </c>
      <c r="L1268" s="1">
        <v>0</v>
      </c>
      <c r="M1268" s="1">
        <v>0</v>
      </c>
      <c r="N1268" s="1">
        <v>444998.40000000002</v>
      </c>
      <c r="O1268" s="1">
        <v>0</v>
      </c>
      <c r="P1268" s="1">
        <v>0</v>
      </c>
      <c r="Q1268" s="1">
        <v>0</v>
      </c>
      <c r="R1268" s="1">
        <v>4490438.4000000004</v>
      </c>
      <c r="S1268" s="1">
        <v>-82560</v>
      </c>
      <c r="T1268" s="1">
        <v>-2.0408163265305999</v>
      </c>
      <c r="U1268" t="str">
        <f t="shared" si="19"/>
        <v>Week 4</v>
      </c>
    </row>
    <row r="1269" spans="1:21" x14ac:dyDescent="0.25">
      <c r="A1269" s="1">
        <v>1268</v>
      </c>
      <c r="B1269" s="1" t="s">
        <v>1286</v>
      </c>
      <c r="C1269" s="2">
        <v>46050</v>
      </c>
      <c r="D1269" s="1" t="s">
        <v>21</v>
      </c>
      <c r="E1269" s="1" t="s">
        <v>22</v>
      </c>
      <c r="F1269" s="1" t="s">
        <v>30</v>
      </c>
      <c r="G1269" s="1" t="s">
        <v>24</v>
      </c>
      <c r="H1269" s="1">
        <v>1</v>
      </c>
      <c r="I1269" s="1" t="s">
        <v>1287</v>
      </c>
      <c r="J1269" s="1" t="s">
        <v>26</v>
      </c>
      <c r="K1269" s="1">
        <v>9081250</v>
      </c>
      <c r="L1269" s="1">
        <v>0</v>
      </c>
      <c r="M1269" s="1">
        <v>0</v>
      </c>
      <c r="N1269" s="1">
        <v>998937.5</v>
      </c>
      <c r="O1269" s="1">
        <v>0</v>
      </c>
      <c r="P1269" s="1">
        <v>0</v>
      </c>
      <c r="Q1269" s="1">
        <v>0</v>
      </c>
      <c r="R1269" s="1">
        <v>10080187.5</v>
      </c>
      <c r="S1269" s="1">
        <v>871750</v>
      </c>
      <c r="T1269" s="1">
        <v>9.5994494150034004</v>
      </c>
      <c r="U1269" t="str">
        <f t="shared" si="19"/>
        <v>Week 4</v>
      </c>
    </row>
    <row r="1270" spans="1:21" x14ac:dyDescent="0.25">
      <c r="A1270" s="1">
        <v>1269</v>
      </c>
      <c r="B1270" s="1" t="s">
        <v>1288</v>
      </c>
      <c r="C1270" s="2">
        <v>46049</v>
      </c>
      <c r="D1270" s="1" t="s">
        <v>112</v>
      </c>
      <c r="E1270" s="1" t="s">
        <v>38</v>
      </c>
      <c r="F1270" s="1" t="s">
        <v>30</v>
      </c>
      <c r="G1270" s="1" t="s">
        <v>24</v>
      </c>
      <c r="H1270" s="1">
        <v>1</v>
      </c>
      <c r="I1270" s="1" t="s">
        <v>2484</v>
      </c>
      <c r="J1270" s="1"/>
      <c r="K1270" s="1">
        <v>4756659.32</v>
      </c>
      <c r="L1270" s="1">
        <v>0</v>
      </c>
      <c r="M1270" s="1">
        <v>0</v>
      </c>
      <c r="N1270" s="1">
        <v>523232.52519999997</v>
      </c>
      <c r="O1270" s="1">
        <v>0</v>
      </c>
      <c r="P1270" s="1">
        <v>0</v>
      </c>
      <c r="Q1270" s="1">
        <v>0</v>
      </c>
      <c r="R1270" s="1">
        <v>5279891.8452000003</v>
      </c>
      <c r="S1270" s="1">
        <v>1016983.365045</v>
      </c>
      <c r="T1270" s="1">
        <v>21.380201873381999</v>
      </c>
      <c r="U1270" t="str">
        <f t="shared" si="19"/>
        <v>Week 4</v>
      </c>
    </row>
    <row r="1271" spans="1:21" x14ac:dyDescent="0.25">
      <c r="A1271" s="1">
        <v>1270</v>
      </c>
      <c r="B1271" s="1" t="s">
        <v>1289</v>
      </c>
      <c r="C1271" s="2">
        <v>46049</v>
      </c>
      <c r="D1271" s="1" t="s">
        <v>248</v>
      </c>
      <c r="E1271" s="1" t="s">
        <v>116</v>
      </c>
      <c r="F1271" s="1" t="s">
        <v>23</v>
      </c>
      <c r="G1271" s="1" t="s">
        <v>24</v>
      </c>
      <c r="H1271" s="1">
        <v>1</v>
      </c>
      <c r="I1271" s="1" t="s">
        <v>1290</v>
      </c>
      <c r="J1271" s="1" t="s">
        <v>26</v>
      </c>
      <c r="K1271" s="1">
        <v>11879000</v>
      </c>
      <c r="L1271" s="1">
        <v>0</v>
      </c>
      <c r="M1271" s="1">
        <v>0</v>
      </c>
      <c r="N1271" s="1">
        <v>1306690</v>
      </c>
      <c r="O1271" s="1">
        <v>0</v>
      </c>
      <c r="P1271" s="1">
        <v>0</v>
      </c>
      <c r="Q1271" s="1">
        <v>0</v>
      </c>
      <c r="R1271" s="1">
        <v>13185690</v>
      </c>
      <c r="S1271" s="1">
        <v>1093102.71</v>
      </c>
      <c r="T1271" s="1">
        <v>9.2019758397171003</v>
      </c>
      <c r="U1271" t="str">
        <f t="shared" si="19"/>
        <v>Week 4</v>
      </c>
    </row>
    <row r="1272" spans="1:21" x14ac:dyDescent="0.25">
      <c r="A1272" s="1">
        <v>1271</v>
      </c>
      <c r="B1272" s="1" t="s">
        <v>1291</v>
      </c>
      <c r="C1272" s="2">
        <v>46049</v>
      </c>
      <c r="D1272" s="1" t="s">
        <v>33</v>
      </c>
      <c r="E1272" s="1" t="s">
        <v>38</v>
      </c>
      <c r="F1272" s="1" t="s">
        <v>23</v>
      </c>
      <c r="G1272" s="1" t="s">
        <v>24</v>
      </c>
      <c r="H1272" s="1">
        <v>1</v>
      </c>
      <c r="I1272" s="1" t="s">
        <v>1292</v>
      </c>
      <c r="J1272" s="1"/>
      <c r="K1272" s="1">
        <v>28033515</v>
      </c>
      <c r="L1272" s="1">
        <v>0</v>
      </c>
      <c r="M1272" s="1">
        <v>0</v>
      </c>
      <c r="N1272" s="1">
        <v>3083686.65</v>
      </c>
      <c r="O1272" s="1">
        <v>0</v>
      </c>
      <c r="P1272" s="1">
        <v>0</v>
      </c>
      <c r="Q1272" s="1">
        <v>0</v>
      </c>
      <c r="R1272" s="1">
        <v>31117201.649999999</v>
      </c>
      <c r="S1272" s="1">
        <v>-423110</v>
      </c>
      <c r="T1272" s="1">
        <v>-1.5093005639856001</v>
      </c>
      <c r="U1272" t="str">
        <f t="shared" si="19"/>
        <v>Week 4</v>
      </c>
    </row>
    <row r="1273" spans="1:21" x14ac:dyDescent="0.25">
      <c r="A1273" s="1">
        <v>1272</v>
      </c>
      <c r="B1273" s="1" t="s">
        <v>1293</v>
      </c>
      <c r="C1273" s="2">
        <v>46049</v>
      </c>
      <c r="D1273" s="1" t="s">
        <v>33</v>
      </c>
      <c r="E1273" s="1" t="s">
        <v>38</v>
      </c>
      <c r="F1273" s="1" t="s">
        <v>23</v>
      </c>
      <c r="G1273" s="1" t="s">
        <v>24</v>
      </c>
      <c r="H1273" s="1">
        <v>1</v>
      </c>
      <c r="I1273" s="1" t="s">
        <v>1294</v>
      </c>
      <c r="J1273" s="1"/>
      <c r="K1273" s="1">
        <v>38882502.499936</v>
      </c>
      <c r="L1273" s="1">
        <v>0</v>
      </c>
      <c r="M1273" s="1">
        <v>0</v>
      </c>
      <c r="N1273" s="1">
        <v>4277075.2749929996</v>
      </c>
      <c r="O1273" s="1">
        <v>0</v>
      </c>
      <c r="P1273" s="1">
        <v>0</v>
      </c>
      <c r="Q1273" s="1">
        <v>0</v>
      </c>
      <c r="R1273" s="1">
        <v>43159577.774929002</v>
      </c>
      <c r="S1273" s="1">
        <v>16430362.806289</v>
      </c>
      <c r="T1273" s="1">
        <v>42.256443772659999</v>
      </c>
      <c r="U1273" t="str">
        <f t="shared" si="19"/>
        <v>Week 4</v>
      </c>
    </row>
    <row r="1274" spans="1:21" x14ac:dyDescent="0.25">
      <c r="A1274" s="1">
        <v>1273</v>
      </c>
      <c r="B1274" s="1" t="s">
        <v>1295</v>
      </c>
      <c r="C1274" s="2">
        <v>46049</v>
      </c>
      <c r="D1274" s="1" t="s">
        <v>432</v>
      </c>
      <c r="E1274" s="1" t="s">
        <v>116</v>
      </c>
      <c r="F1274" s="1" t="s">
        <v>23</v>
      </c>
      <c r="G1274" s="1" t="s">
        <v>24</v>
      </c>
      <c r="H1274" s="1">
        <v>1</v>
      </c>
      <c r="I1274" s="1" t="s">
        <v>1296</v>
      </c>
      <c r="J1274" s="1" t="s">
        <v>26</v>
      </c>
      <c r="K1274" s="1">
        <v>60686799.030000001</v>
      </c>
      <c r="L1274" s="1">
        <v>0</v>
      </c>
      <c r="M1274" s="1">
        <v>0</v>
      </c>
      <c r="N1274" s="1">
        <v>6675547.8932999996</v>
      </c>
      <c r="O1274" s="1">
        <v>0</v>
      </c>
      <c r="P1274" s="1">
        <v>0</v>
      </c>
      <c r="Q1274" s="1">
        <v>0</v>
      </c>
      <c r="R1274" s="1">
        <v>67362346.923299998</v>
      </c>
      <c r="S1274" s="1">
        <v>8936799.0299999993</v>
      </c>
      <c r="T1274" s="1">
        <v>14.726100524073001</v>
      </c>
      <c r="U1274" t="str">
        <f t="shared" si="19"/>
        <v>Week 4</v>
      </c>
    </row>
    <row r="1275" spans="1:21" x14ac:dyDescent="0.25">
      <c r="A1275" s="1">
        <v>1274</v>
      </c>
      <c r="B1275" s="1" t="s">
        <v>1297</v>
      </c>
      <c r="C1275" s="2">
        <v>46049</v>
      </c>
      <c r="D1275" s="1" t="s">
        <v>33</v>
      </c>
      <c r="E1275" s="1" t="s">
        <v>38</v>
      </c>
      <c r="F1275" s="1" t="s">
        <v>23</v>
      </c>
      <c r="G1275" s="1" t="s">
        <v>24</v>
      </c>
      <c r="H1275" s="1">
        <v>1</v>
      </c>
      <c r="I1275" s="1" t="s">
        <v>1298</v>
      </c>
      <c r="J1275" s="1"/>
      <c r="K1275" s="1">
        <v>17383621.875</v>
      </c>
      <c r="L1275" s="1">
        <v>0</v>
      </c>
      <c r="M1275" s="1">
        <v>0</v>
      </c>
      <c r="N1275" s="1">
        <v>1912198.40625</v>
      </c>
      <c r="O1275" s="1">
        <v>0</v>
      </c>
      <c r="P1275" s="1">
        <v>0</v>
      </c>
      <c r="Q1275" s="1">
        <v>0</v>
      </c>
      <c r="R1275" s="1">
        <v>19295820.28125</v>
      </c>
      <c r="S1275" s="1">
        <v>4498714.6677930001</v>
      </c>
      <c r="T1275" s="1">
        <v>25.879041204082</v>
      </c>
      <c r="U1275" t="str">
        <f t="shared" si="19"/>
        <v>Week 4</v>
      </c>
    </row>
    <row r="1276" spans="1:21" x14ac:dyDescent="0.25">
      <c r="A1276" s="1">
        <v>1275</v>
      </c>
      <c r="B1276" s="1" t="s">
        <v>1299</v>
      </c>
      <c r="C1276" s="2">
        <v>46049</v>
      </c>
      <c r="D1276" s="1" t="s">
        <v>53</v>
      </c>
      <c r="E1276" s="1" t="s">
        <v>54</v>
      </c>
      <c r="F1276" s="1" t="s">
        <v>23</v>
      </c>
      <c r="G1276" s="1" t="s">
        <v>24</v>
      </c>
      <c r="H1276" s="1">
        <v>1</v>
      </c>
      <c r="I1276" s="1" t="s">
        <v>1300</v>
      </c>
      <c r="J1276" s="1"/>
      <c r="K1276" s="1">
        <v>27420000</v>
      </c>
      <c r="L1276" s="1">
        <v>0</v>
      </c>
      <c r="M1276" s="1">
        <v>0</v>
      </c>
      <c r="N1276" s="1">
        <v>3016200</v>
      </c>
      <c r="O1276" s="1">
        <v>0</v>
      </c>
      <c r="P1276" s="1">
        <v>0</v>
      </c>
      <c r="Q1276" s="1">
        <v>0</v>
      </c>
      <c r="R1276" s="1">
        <v>30436200</v>
      </c>
      <c r="S1276" s="1">
        <v>6985890</v>
      </c>
      <c r="T1276" s="1">
        <v>25.477352297593001</v>
      </c>
      <c r="U1276" t="str">
        <f t="shared" si="19"/>
        <v>Week 4</v>
      </c>
    </row>
    <row r="1277" spans="1:21" x14ac:dyDescent="0.25">
      <c r="A1277" s="1">
        <v>1276</v>
      </c>
      <c r="B1277" s="1" t="s">
        <v>1301</v>
      </c>
      <c r="C1277" s="2">
        <v>46049</v>
      </c>
      <c r="D1277" s="1" t="s">
        <v>53</v>
      </c>
      <c r="E1277" s="1" t="s">
        <v>203</v>
      </c>
      <c r="F1277" s="1" t="s">
        <v>260</v>
      </c>
      <c r="G1277" s="1" t="s">
        <v>24</v>
      </c>
      <c r="H1277" s="1">
        <v>1</v>
      </c>
      <c r="I1277" s="1" t="s">
        <v>1302</v>
      </c>
      <c r="J1277" s="1" t="s">
        <v>26</v>
      </c>
      <c r="K1277" s="1">
        <v>6445000</v>
      </c>
      <c r="L1277" s="1">
        <v>0</v>
      </c>
      <c r="M1277" s="1">
        <v>0</v>
      </c>
      <c r="N1277" s="1">
        <v>708950</v>
      </c>
      <c r="O1277" s="1">
        <v>0</v>
      </c>
      <c r="P1277" s="1">
        <v>0</v>
      </c>
      <c r="Q1277" s="1">
        <v>0</v>
      </c>
      <c r="R1277" s="1">
        <v>7153950</v>
      </c>
      <c r="S1277" s="1">
        <v>784080</v>
      </c>
      <c r="T1277" s="1">
        <v>12.165709852599001</v>
      </c>
      <c r="U1277" t="str">
        <f t="shared" si="19"/>
        <v>Week 4</v>
      </c>
    </row>
    <row r="1278" spans="1:21" x14ac:dyDescent="0.25">
      <c r="A1278" s="1">
        <v>1277</v>
      </c>
      <c r="B1278" s="1" t="s">
        <v>1303</v>
      </c>
      <c r="C1278" s="2">
        <v>46049</v>
      </c>
      <c r="D1278" s="1" t="s">
        <v>21</v>
      </c>
      <c r="E1278" s="1" t="s">
        <v>22</v>
      </c>
      <c r="F1278" s="1" t="s">
        <v>30</v>
      </c>
      <c r="G1278" s="1" t="s">
        <v>24</v>
      </c>
      <c r="H1278" s="1">
        <v>1</v>
      </c>
      <c r="I1278" s="1" t="s">
        <v>1304</v>
      </c>
      <c r="J1278" s="1" t="s">
        <v>26</v>
      </c>
      <c r="K1278" s="1">
        <v>2434320</v>
      </c>
      <c r="L1278" s="1">
        <v>0</v>
      </c>
      <c r="M1278" s="1">
        <v>0</v>
      </c>
      <c r="N1278" s="1">
        <v>267775.2</v>
      </c>
      <c r="O1278" s="1">
        <v>0</v>
      </c>
      <c r="P1278" s="1">
        <v>0</v>
      </c>
      <c r="Q1278" s="1">
        <v>0</v>
      </c>
      <c r="R1278" s="1">
        <v>2702095.2</v>
      </c>
      <c r="S1278" s="1">
        <v>1173058.7387387</v>
      </c>
      <c r="T1278" s="1">
        <v>48.188353985455002</v>
      </c>
      <c r="U1278" t="str">
        <f t="shared" si="19"/>
        <v>Week 4</v>
      </c>
    </row>
    <row r="1279" spans="1:21" x14ac:dyDescent="0.25">
      <c r="A1279" s="1">
        <v>1278</v>
      </c>
      <c r="B1279" s="1" t="s">
        <v>1305</v>
      </c>
      <c r="C1279" s="2">
        <v>46049</v>
      </c>
      <c r="D1279" s="1" t="s">
        <v>21</v>
      </c>
      <c r="E1279" s="1" t="s">
        <v>22</v>
      </c>
      <c r="F1279" s="1" t="s">
        <v>30</v>
      </c>
      <c r="G1279" s="1" t="s">
        <v>24</v>
      </c>
      <c r="H1279" s="1">
        <v>1</v>
      </c>
      <c r="I1279" s="1" t="s">
        <v>1306</v>
      </c>
      <c r="J1279" s="1" t="s">
        <v>26</v>
      </c>
      <c r="K1279" s="1">
        <v>5185620</v>
      </c>
      <c r="L1279" s="1">
        <v>0</v>
      </c>
      <c r="M1279" s="1">
        <v>0</v>
      </c>
      <c r="N1279" s="1">
        <v>570418.19999999995</v>
      </c>
      <c r="O1279" s="1">
        <v>0</v>
      </c>
      <c r="P1279" s="1">
        <v>0</v>
      </c>
      <c r="Q1279" s="1">
        <v>0</v>
      </c>
      <c r="R1279" s="1">
        <v>5756038.2000000002</v>
      </c>
      <c r="S1279" s="1">
        <v>1865349</v>
      </c>
      <c r="T1279" s="1">
        <v>35.971571383943001</v>
      </c>
      <c r="U1279" t="str">
        <f t="shared" si="19"/>
        <v>Week 4</v>
      </c>
    </row>
    <row r="1280" spans="1:21" x14ac:dyDescent="0.25">
      <c r="A1280" s="1">
        <v>1279</v>
      </c>
      <c r="B1280" s="1" t="s">
        <v>1307</v>
      </c>
      <c r="C1280" s="2">
        <v>46049</v>
      </c>
      <c r="D1280" s="1" t="s">
        <v>169</v>
      </c>
      <c r="E1280" s="1" t="s">
        <v>1281</v>
      </c>
      <c r="F1280" s="1" t="s">
        <v>23</v>
      </c>
      <c r="G1280" s="1" t="s">
        <v>24</v>
      </c>
      <c r="H1280" s="1">
        <v>1</v>
      </c>
      <c r="I1280" s="1" t="s">
        <v>1308</v>
      </c>
      <c r="J1280" s="1"/>
      <c r="K1280" s="1">
        <v>4175000</v>
      </c>
      <c r="L1280" s="1">
        <v>0</v>
      </c>
      <c r="M1280" s="1">
        <v>0</v>
      </c>
      <c r="N1280" s="1">
        <v>459250</v>
      </c>
      <c r="O1280" s="1">
        <v>0</v>
      </c>
      <c r="P1280" s="1">
        <v>0</v>
      </c>
      <c r="Q1280" s="1">
        <v>0</v>
      </c>
      <c r="R1280" s="1">
        <v>4634250</v>
      </c>
      <c r="S1280" s="1">
        <v>2436054.0540582002</v>
      </c>
      <c r="T1280" s="1">
        <v>58.348600097202002</v>
      </c>
      <c r="U1280" t="str">
        <f t="shared" si="19"/>
        <v>Week 4</v>
      </c>
    </row>
    <row r="1281" spans="1:21" x14ac:dyDescent="0.25">
      <c r="A1281" s="1">
        <v>1280</v>
      </c>
      <c r="B1281" s="1" t="s">
        <v>1309</v>
      </c>
      <c r="C1281" s="2">
        <v>46049</v>
      </c>
      <c r="D1281" s="1" t="s">
        <v>21</v>
      </c>
      <c r="E1281" s="1" t="s">
        <v>22</v>
      </c>
      <c r="F1281" s="1" t="s">
        <v>30</v>
      </c>
      <c r="G1281" s="1" t="s">
        <v>24</v>
      </c>
      <c r="H1281" s="1">
        <v>1</v>
      </c>
      <c r="I1281" s="1" t="s">
        <v>1310</v>
      </c>
      <c r="J1281" s="1" t="s">
        <v>26</v>
      </c>
      <c r="K1281" s="1">
        <v>40884932.899999999</v>
      </c>
      <c r="L1281" s="1">
        <v>0</v>
      </c>
      <c r="M1281" s="1">
        <v>0</v>
      </c>
      <c r="N1281" s="1">
        <v>4497342.6189999999</v>
      </c>
      <c r="O1281" s="1">
        <v>0</v>
      </c>
      <c r="P1281" s="1">
        <v>0</v>
      </c>
      <c r="Q1281" s="1">
        <v>0</v>
      </c>
      <c r="R1281" s="1">
        <v>45382275.519000001</v>
      </c>
      <c r="S1281" s="1">
        <v>8896808.8009018991</v>
      </c>
      <c r="T1281" s="1">
        <v>21.760605117446001</v>
      </c>
      <c r="U1281" t="str">
        <f t="shared" si="19"/>
        <v>Week 4</v>
      </c>
    </row>
    <row r="1282" spans="1:21" x14ac:dyDescent="0.25">
      <c r="A1282" s="1">
        <v>1281</v>
      </c>
      <c r="B1282" s="1" t="s">
        <v>1311</v>
      </c>
      <c r="C1282" s="2">
        <v>46049</v>
      </c>
      <c r="D1282" s="1" t="s">
        <v>33</v>
      </c>
      <c r="E1282" s="1" t="s">
        <v>38</v>
      </c>
      <c r="F1282" s="1" t="s">
        <v>23</v>
      </c>
      <c r="G1282" s="1" t="s">
        <v>24</v>
      </c>
      <c r="H1282" s="1">
        <v>1</v>
      </c>
      <c r="I1282" s="1" t="s">
        <v>1312</v>
      </c>
      <c r="J1282" s="1"/>
      <c r="K1282" s="1">
        <v>141870900</v>
      </c>
      <c r="L1282" s="1">
        <v>0</v>
      </c>
      <c r="M1282" s="1">
        <v>0</v>
      </c>
      <c r="N1282" s="1">
        <v>15605799</v>
      </c>
      <c r="O1282" s="1">
        <v>0</v>
      </c>
      <c r="P1282" s="1">
        <v>0</v>
      </c>
      <c r="Q1282" s="1">
        <v>0</v>
      </c>
      <c r="R1282" s="1">
        <v>157476699</v>
      </c>
      <c r="S1282" s="1">
        <v>32799945.050000001</v>
      </c>
      <c r="T1282" s="1">
        <v>23.119572125080001</v>
      </c>
      <c r="U1282" t="str">
        <f t="shared" si="19"/>
        <v>Week 4</v>
      </c>
    </row>
    <row r="1283" spans="1:21" x14ac:dyDescent="0.25">
      <c r="A1283" s="1">
        <v>1282</v>
      </c>
      <c r="B1283" s="1" t="s">
        <v>1313</v>
      </c>
      <c r="C1283" s="2">
        <v>46049</v>
      </c>
      <c r="D1283" s="1" t="s">
        <v>1314</v>
      </c>
      <c r="E1283" s="1" t="s">
        <v>192</v>
      </c>
      <c r="F1283" s="1" t="s">
        <v>23</v>
      </c>
      <c r="G1283" s="1" t="s">
        <v>24</v>
      </c>
      <c r="H1283" s="1">
        <v>1</v>
      </c>
      <c r="I1283" s="1" t="s">
        <v>1315</v>
      </c>
      <c r="J1283" s="1" t="s">
        <v>26</v>
      </c>
      <c r="K1283" s="1">
        <v>4775000</v>
      </c>
      <c r="L1283" s="1">
        <v>0</v>
      </c>
      <c r="M1283" s="1">
        <v>0</v>
      </c>
      <c r="N1283" s="1">
        <v>525250</v>
      </c>
      <c r="O1283" s="1">
        <v>0</v>
      </c>
      <c r="P1283" s="1">
        <v>0</v>
      </c>
      <c r="Q1283" s="1">
        <v>0</v>
      </c>
      <c r="R1283" s="1">
        <v>5300250</v>
      </c>
      <c r="S1283" s="1">
        <v>495721</v>
      </c>
      <c r="T1283" s="1">
        <v>10.381591623037</v>
      </c>
      <c r="U1283" t="str">
        <f t="shared" ref="U1283:U1346" si="20">"Week "&amp;IF(DAY(C1283)&gt;=24,4,INT((DAY(C1283)-1)/7)+1)</f>
        <v>Week 4</v>
      </c>
    </row>
    <row r="1284" spans="1:21" x14ac:dyDescent="0.25">
      <c r="A1284" s="1">
        <v>1283</v>
      </c>
      <c r="B1284" s="1" t="s">
        <v>1318</v>
      </c>
      <c r="C1284" s="2">
        <v>46049</v>
      </c>
      <c r="D1284" s="1" t="s">
        <v>112</v>
      </c>
      <c r="E1284" s="1" t="s">
        <v>38</v>
      </c>
      <c r="F1284" s="1" t="s">
        <v>23</v>
      </c>
      <c r="G1284" s="1" t="s">
        <v>24</v>
      </c>
      <c r="H1284" s="1">
        <v>1</v>
      </c>
      <c r="I1284" s="1" t="s">
        <v>1319</v>
      </c>
      <c r="J1284" s="1"/>
      <c r="K1284" s="1">
        <v>20567010</v>
      </c>
      <c r="L1284" s="1">
        <v>0</v>
      </c>
      <c r="M1284" s="1">
        <v>0</v>
      </c>
      <c r="N1284" s="1">
        <v>2262371.1</v>
      </c>
      <c r="O1284" s="1">
        <v>0</v>
      </c>
      <c r="P1284" s="1">
        <v>0</v>
      </c>
      <c r="Q1284" s="1">
        <v>0</v>
      </c>
      <c r="R1284" s="1">
        <v>22829381.100000001</v>
      </c>
      <c r="S1284" s="1">
        <v>5392860</v>
      </c>
      <c r="T1284" s="1">
        <v>26.220923702570001</v>
      </c>
      <c r="U1284" t="str">
        <f t="shared" si="20"/>
        <v>Week 4</v>
      </c>
    </row>
    <row r="1285" spans="1:21" x14ac:dyDescent="0.25">
      <c r="A1285" s="1">
        <v>1284</v>
      </c>
      <c r="B1285" s="1" t="s">
        <v>1320</v>
      </c>
      <c r="C1285" s="2">
        <v>46049</v>
      </c>
      <c r="D1285" s="1" t="s">
        <v>53</v>
      </c>
      <c r="E1285" s="1" t="s">
        <v>203</v>
      </c>
      <c r="F1285" s="1" t="s">
        <v>23</v>
      </c>
      <c r="G1285" s="1" t="s">
        <v>24</v>
      </c>
      <c r="H1285" s="1">
        <v>1</v>
      </c>
      <c r="I1285" s="1" t="s">
        <v>1302</v>
      </c>
      <c r="J1285" s="1" t="s">
        <v>26</v>
      </c>
      <c r="K1285" s="1">
        <v>82289868</v>
      </c>
      <c r="L1285" s="1">
        <v>0</v>
      </c>
      <c r="M1285" s="1">
        <v>0</v>
      </c>
      <c r="N1285" s="1">
        <v>9051885.4800000004</v>
      </c>
      <c r="O1285" s="1">
        <v>0</v>
      </c>
      <c r="P1285" s="1">
        <v>0</v>
      </c>
      <c r="Q1285" s="1">
        <v>0</v>
      </c>
      <c r="R1285" s="1">
        <v>91341753.480000004</v>
      </c>
      <c r="S1285" s="1">
        <v>17114030.199999999</v>
      </c>
      <c r="T1285" s="1">
        <v>20.79725076239</v>
      </c>
      <c r="U1285" t="str">
        <f t="shared" si="20"/>
        <v>Week 4</v>
      </c>
    </row>
    <row r="1286" spans="1:21" x14ac:dyDescent="0.25">
      <c r="A1286" s="1">
        <v>1285</v>
      </c>
      <c r="B1286" s="1" t="s">
        <v>1321</v>
      </c>
      <c r="C1286" s="2">
        <v>46049</v>
      </c>
      <c r="D1286" s="1" t="s">
        <v>1317</v>
      </c>
      <c r="E1286" s="1" t="s">
        <v>22</v>
      </c>
      <c r="F1286" s="1" t="s">
        <v>30</v>
      </c>
      <c r="G1286" s="1" t="s">
        <v>24</v>
      </c>
      <c r="H1286" s="1">
        <v>1</v>
      </c>
      <c r="I1286" s="1" t="s">
        <v>1322</v>
      </c>
      <c r="J1286" s="1" t="s">
        <v>26</v>
      </c>
      <c r="K1286" s="1">
        <v>207900</v>
      </c>
      <c r="L1286" s="1">
        <v>0</v>
      </c>
      <c r="M1286" s="1">
        <v>0</v>
      </c>
      <c r="N1286" s="1">
        <v>22869</v>
      </c>
      <c r="O1286" s="1">
        <v>0</v>
      </c>
      <c r="P1286" s="1">
        <v>0</v>
      </c>
      <c r="Q1286" s="1">
        <v>0</v>
      </c>
      <c r="R1286" s="1">
        <v>230769</v>
      </c>
      <c r="S1286" s="1">
        <v>39900</v>
      </c>
      <c r="T1286" s="1">
        <v>19.191919191918998</v>
      </c>
      <c r="U1286" t="str">
        <f t="shared" si="20"/>
        <v>Week 4</v>
      </c>
    </row>
    <row r="1287" spans="1:21" x14ac:dyDescent="0.25">
      <c r="A1287" s="1">
        <v>1286</v>
      </c>
      <c r="B1287" s="1" t="s">
        <v>1323</v>
      </c>
      <c r="C1287" s="2">
        <v>46049</v>
      </c>
      <c r="D1287" s="1" t="s">
        <v>53</v>
      </c>
      <c r="E1287" s="1" t="s">
        <v>203</v>
      </c>
      <c r="F1287" s="1" t="s">
        <v>23</v>
      </c>
      <c r="G1287" s="1" t="s">
        <v>24</v>
      </c>
      <c r="H1287" s="1">
        <v>1</v>
      </c>
      <c r="I1287" s="1" t="s">
        <v>1302</v>
      </c>
      <c r="J1287" s="1" t="s">
        <v>26</v>
      </c>
      <c r="K1287" s="1">
        <v>293377368</v>
      </c>
      <c r="L1287" s="1">
        <v>0</v>
      </c>
      <c r="M1287" s="1">
        <v>0</v>
      </c>
      <c r="N1287" s="1">
        <v>32271510.48</v>
      </c>
      <c r="O1287" s="1">
        <v>0</v>
      </c>
      <c r="P1287" s="1">
        <v>0</v>
      </c>
      <c r="Q1287" s="1">
        <v>0</v>
      </c>
      <c r="R1287" s="1">
        <v>325648878.48000002</v>
      </c>
      <c r="S1287" s="1">
        <v>34777368</v>
      </c>
      <c r="T1287" s="1">
        <v>11.854141386939</v>
      </c>
      <c r="U1287" t="str">
        <f t="shared" si="20"/>
        <v>Week 4</v>
      </c>
    </row>
    <row r="1288" spans="1:21" x14ac:dyDescent="0.25">
      <c r="A1288" s="1">
        <v>1287</v>
      </c>
      <c r="B1288" s="1" t="s">
        <v>1324</v>
      </c>
      <c r="C1288" s="2">
        <v>46049</v>
      </c>
      <c r="D1288" s="1" t="s">
        <v>169</v>
      </c>
      <c r="E1288" s="1" t="s">
        <v>1281</v>
      </c>
      <c r="F1288" s="1" t="s">
        <v>30</v>
      </c>
      <c r="G1288" s="1" t="s">
        <v>24</v>
      </c>
      <c r="H1288" s="1">
        <v>1</v>
      </c>
      <c r="I1288" s="1" t="s">
        <v>1325</v>
      </c>
      <c r="J1288" s="1"/>
      <c r="K1288" s="1">
        <v>35000000</v>
      </c>
      <c r="L1288" s="1">
        <v>0</v>
      </c>
      <c r="M1288" s="1">
        <v>0</v>
      </c>
      <c r="N1288" s="1">
        <v>3850000</v>
      </c>
      <c r="O1288" s="1">
        <v>0</v>
      </c>
      <c r="P1288" s="1">
        <v>0</v>
      </c>
      <c r="Q1288" s="1">
        <v>0</v>
      </c>
      <c r="R1288" s="1">
        <v>38850000</v>
      </c>
      <c r="S1288" s="1">
        <v>8800000</v>
      </c>
      <c r="T1288" s="1">
        <v>25.142857142857</v>
      </c>
      <c r="U1288" t="str">
        <f t="shared" si="20"/>
        <v>Week 4</v>
      </c>
    </row>
    <row r="1289" spans="1:21" x14ac:dyDescent="0.25">
      <c r="A1289" s="1">
        <v>1288</v>
      </c>
      <c r="B1289" s="1" t="s">
        <v>1326</v>
      </c>
      <c r="C1289" s="2">
        <v>46048</v>
      </c>
      <c r="D1289" s="1" t="s">
        <v>53</v>
      </c>
      <c r="E1289" s="1" t="s">
        <v>54</v>
      </c>
      <c r="F1289" s="1" t="s">
        <v>30</v>
      </c>
      <c r="G1289" s="1" t="s">
        <v>24</v>
      </c>
      <c r="H1289" s="1">
        <v>1</v>
      </c>
      <c r="I1289" s="1" t="s">
        <v>1327</v>
      </c>
      <c r="J1289" s="1"/>
      <c r="K1289" s="1">
        <v>23151600</v>
      </c>
      <c r="L1289" s="1">
        <v>0</v>
      </c>
      <c r="M1289" s="1">
        <v>0</v>
      </c>
      <c r="N1289" s="1">
        <v>2546676</v>
      </c>
      <c r="O1289" s="1">
        <v>0</v>
      </c>
      <c r="P1289" s="1">
        <v>0</v>
      </c>
      <c r="Q1289" s="1">
        <v>0</v>
      </c>
      <c r="R1289" s="1">
        <v>25698276</v>
      </c>
      <c r="S1289" s="1">
        <v>16751600</v>
      </c>
      <c r="T1289" s="1">
        <v>72.356122255049002</v>
      </c>
      <c r="U1289" t="str">
        <f t="shared" si="20"/>
        <v>Week 4</v>
      </c>
    </row>
    <row r="1290" spans="1:21" x14ac:dyDescent="0.25">
      <c r="A1290" s="1">
        <v>1289</v>
      </c>
      <c r="B1290" s="1" t="s">
        <v>1328</v>
      </c>
      <c r="C1290" s="2">
        <v>46048</v>
      </c>
      <c r="D1290" s="1" t="s">
        <v>53</v>
      </c>
      <c r="E1290" s="1" t="s">
        <v>54</v>
      </c>
      <c r="F1290" s="1" t="s">
        <v>23</v>
      </c>
      <c r="G1290" s="1" t="s">
        <v>24</v>
      </c>
      <c r="H1290" s="1">
        <v>1</v>
      </c>
      <c r="I1290" s="1" t="s">
        <v>1329</v>
      </c>
      <c r="J1290" s="1"/>
      <c r="K1290" s="1">
        <v>54027268.694954</v>
      </c>
      <c r="L1290" s="1">
        <v>0</v>
      </c>
      <c r="M1290" s="1">
        <v>0</v>
      </c>
      <c r="N1290" s="1">
        <v>5942999.5564449001</v>
      </c>
      <c r="O1290" s="1">
        <v>0</v>
      </c>
      <c r="P1290" s="1">
        <v>0</v>
      </c>
      <c r="Q1290" s="1">
        <v>0</v>
      </c>
      <c r="R1290" s="1">
        <v>59970268.251399003</v>
      </c>
      <c r="S1290" s="1">
        <v>19117884.813331999</v>
      </c>
      <c r="T1290" s="1">
        <v>35.385621511379</v>
      </c>
      <c r="U1290" t="str">
        <f t="shared" si="20"/>
        <v>Week 4</v>
      </c>
    </row>
    <row r="1291" spans="1:21" x14ac:dyDescent="0.25">
      <c r="A1291" s="1">
        <v>1290</v>
      </c>
      <c r="B1291" s="1" t="s">
        <v>1330</v>
      </c>
      <c r="C1291" s="2">
        <v>46048</v>
      </c>
      <c r="D1291" s="1" t="s">
        <v>33</v>
      </c>
      <c r="E1291" s="1" t="s">
        <v>38</v>
      </c>
      <c r="F1291" s="1" t="s">
        <v>23</v>
      </c>
      <c r="G1291" s="1" t="s">
        <v>24</v>
      </c>
      <c r="H1291" s="1">
        <v>1</v>
      </c>
      <c r="I1291" s="1" t="s">
        <v>1331</v>
      </c>
      <c r="J1291" s="1"/>
      <c r="K1291" s="1">
        <v>57422550</v>
      </c>
      <c r="L1291" s="1">
        <v>0</v>
      </c>
      <c r="M1291" s="1">
        <v>0</v>
      </c>
      <c r="N1291" s="1">
        <v>6316480.5</v>
      </c>
      <c r="O1291" s="1">
        <v>0</v>
      </c>
      <c r="P1291" s="1">
        <v>0</v>
      </c>
      <c r="Q1291" s="1">
        <v>0</v>
      </c>
      <c r="R1291" s="1">
        <v>63739030.5</v>
      </c>
      <c r="S1291" s="1">
        <v>16702550</v>
      </c>
      <c r="T1291" s="1">
        <v>29.087092091870002</v>
      </c>
      <c r="U1291" t="str">
        <f t="shared" si="20"/>
        <v>Week 4</v>
      </c>
    </row>
    <row r="1292" spans="1:21" x14ac:dyDescent="0.25">
      <c r="A1292" s="1">
        <v>1291</v>
      </c>
      <c r="B1292" s="1" t="s">
        <v>1332</v>
      </c>
      <c r="C1292" s="2">
        <v>46048</v>
      </c>
      <c r="D1292" s="1" t="s">
        <v>33</v>
      </c>
      <c r="E1292" s="1" t="s">
        <v>34</v>
      </c>
      <c r="F1292" s="1" t="s">
        <v>30</v>
      </c>
      <c r="G1292" s="1" t="s">
        <v>24</v>
      </c>
      <c r="H1292" s="1">
        <v>1</v>
      </c>
      <c r="I1292" s="1" t="s">
        <v>1333</v>
      </c>
      <c r="J1292" s="1"/>
      <c r="K1292" s="1">
        <v>12012742</v>
      </c>
      <c r="L1292" s="1">
        <v>0</v>
      </c>
      <c r="M1292" s="1">
        <v>0</v>
      </c>
      <c r="N1292" s="1">
        <v>1321401.6200000001</v>
      </c>
      <c r="O1292" s="1">
        <v>0</v>
      </c>
      <c r="P1292" s="1">
        <v>0</v>
      </c>
      <c r="Q1292" s="1">
        <v>0</v>
      </c>
      <c r="R1292" s="1">
        <v>13334143.619999999</v>
      </c>
      <c r="S1292" s="1">
        <v>4682742</v>
      </c>
      <c r="T1292" s="1">
        <v>38.981458188314001</v>
      </c>
      <c r="U1292" t="str">
        <f t="shared" si="20"/>
        <v>Week 4</v>
      </c>
    </row>
    <row r="1293" spans="1:21" x14ac:dyDescent="0.25">
      <c r="A1293" s="1">
        <v>1292</v>
      </c>
      <c r="B1293" s="1" t="s">
        <v>1334</v>
      </c>
      <c r="C1293" s="2">
        <v>46048</v>
      </c>
      <c r="D1293" s="1" t="s">
        <v>37</v>
      </c>
      <c r="E1293" s="1" t="s">
        <v>38</v>
      </c>
      <c r="F1293" s="1" t="s">
        <v>23</v>
      </c>
      <c r="G1293" s="1" t="s">
        <v>24</v>
      </c>
      <c r="H1293" s="1">
        <v>1</v>
      </c>
      <c r="I1293" s="1" t="s">
        <v>1335</v>
      </c>
      <c r="J1293" s="1"/>
      <c r="K1293" s="1">
        <v>13940813.558603</v>
      </c>
      <c r="L1293" s="1">
        <v>0</v>
      </c>
      <c r="M1293" s="1">
        <v>0</v>
      </c>
      <c r="N1293" s="1">
        <v>1533489.4914462999</v>
      </c>
      <c r="O1293" s="1">
        <v>0</v>
      </c>
      <c r="P1293" s="1">
        <v>0</v>
      </c>
      <c r="Q1293" s="1">
        <v>0</v>
      </c>
      <c r="R1293" s="1">
        <v>15474303.050048999</v>
      </c>
      <c r="S1293" s="1">
        <v>3954665.8466826999</v>
      </c>
      <c r="T1293" s="1">
        <v>28.367539886094999</v>
      </c>
      <c r="U1293" t="str">
        <f t="shared" si="20"/>
        <v>Week 4</v>
      </c>
    </row>
    <row r="1294" spans="1:21" x14ac:dyDescent="0.25">
      <c r="A1294" s="1">
        <v>1293</v>
      </c>
      <c r="B1294" s="1" t="s">
        <v>2261</v>
      </c>
      <c r="C1294" s="2">
        <v>46048</v>
      </c>
      <c r="D1294" s="1" t="s">
        <v>2210</v>
      </c>
      <c r="E1294" s="1" t="s">
        <v>192</v>
      </c>
      <c r="F1294" s="1" t="s">
        <v>260</v>
      </c>
      <c r="G1294" s="1" t="s">
        <v>24</v>
      </c>
      <c r="H1294" s="1">
        <v>1</v>
      </c>
      <c r="I1294" s="1" t="s">
        <v>2262</v>
      </c>
      <c r="J1294" s="1" t="s">
        <v>56</v>
      </c>
      <c r="K1294" s="1">
        <v>14233475025</v>
      </c>
      <c r="L1294" s="1">
        <v>0</v>
      </c>
      <c r="M1294" s="1">
        <v>0</v>
      </c>
      <c r="N1294" s="1">
        <v>1565682252.75</v>
      </c>
      <c r="O1294" s="1">
        <v>0</v>
      </c>
      <c r="P1294" s="1">
        <v>0</v>
      </c>
      <c r="Q1294" s="1">
        <v>0</v>
      </c>
      <c r="R1294" s="1">
        <v>15799157277.75</v>
      </c>
      <c r="S1294" s="1">
        <v>694849275</v>
      </c>
      <c r="T1294" s="1">
        <v>4.8817964255359003</v>
      </c>
      <c r="U1294" t="str">
        <f t="shared" si="20"/>
        <v>Week 4</v>
      </c>
    </row>
    <row r="1295" spans="1:21" x14ac:dyDescent="0.25">
      <c r="A1295" s="1">
        <v>1294</v>
      </c>
      <c r="B1295" s="1" t="s">
        <v>1336</v>
      </c>
      <c r="C1295" s="2">
        <v>46048</v>
      </c>
      <c r="D1295" s="1" t="s">
        <v>495</v>
      </c>
      <c r="E1295" s="1" t="s">
        <v>192</v>
      </c>
      <c r="F1295" s="1" t="s">
        <v>30</v>
      </c>
      <c r="G1295" s="1" t="s">
        <v>24</v>
      </c>
      <c r="H1295" s="1">
        <v>1</v>
      </c>
      <c r="I1295" s="1" t="s">
        <v>1337</v>
      </c>
      <c r="J1295" s="1" t="s">
        <v>56</v>
      </c>
      <c r="K1295" s="1">
        <v>4505000</v>
      </c>
      <c r="L1295" s="1">
        <v>0</v>
      </c>
      <c r="M1295" s="1">
        <v>0</v>
      </c>
      <c r="N1295" s="1">
        <v>495550</v>
      </c>
      <c r="O1295" s="1">
        <v>0</v>
      </c>
      <c r="P1295" s="1">
        <v>0</v>
      </c>
      <c r="Q1295" s="1">
        <v>0</v>
      </c>
      <c r="R1295" s="1">
        <v>5000550</v>
      </c>
      <c r="S1295" s="1">
        <v>225721</v>
      </c>
      <c r="T1295" s="1">
        <v>5.0104550499445004</v>
      </c>
      <c r="U1295" t="str">
        <f t="shared" si="20"/>
        <v>Week 4</v>
      </c>
    </row>
    <row r="1296" spans="1:21" x14ac:dyDescent="0.25">
      <c r="A1296" s="1">
        <v>1295</v>
      </c>
      <c r="B1296" s="1" t="s">
        <v>1338</v>
      </c>
      <c r="C1296" s="2">
        <v>46048</v>
      </c>
      <c r="D1296" s="1" t="s">
        <v>202</v>
      </c>
      <c r="E1296" s="1" t="s">
        <v>203</v>
      </c>
      <c r="F1296" s="1" t="s">
        <v>30</v>
      </c>
      <c r="G1296" s="1" t="s">
        <v>24</v>
      </c>
      <c r="H1296" s="1">
        <v>1</v>
      </c>
      <c r="I1296" s="1" t="s">
        <v>1339</v>
      </c>
      <c r="J1296" s="1" t="s">
        <v>26</v>
      </c>
      <c r="K1296" s="1">
        <v>1323000</v>
      </c>
      <c r="L1296" s="1">
        <v>0</v>
      </c>
      <c r="M1296" s="1">
        <v>0</v>
      </c>
      <c r="N1296" s="1">
        <v>145530</v>
      </c>
      <c r="O1296" s="1">
        <v>0</v>
      </c>
      <c r="P1296" s="1">
        <v>0</v>
      </c>
      <c r="Q1296" s="1">
        <v>0</v>
      </c>
      <c r="R1296" s="1">
        <v>1468530</v>
      </c>
      <c r="S1296" s="1">
        <v>183000</v>
      </c>
      <c r="T1296" s="1">
        <v>13.832199546485</v>
      </c>
      <c r="U1296" t="str">
        <f t="shared" si="20"/>
        <v>Week 4</v>
      </c>
    </row>
    <row r="1297" spans="1:21" x14ac:dyDescent="0.25">
      <c r="A1297" s="1">
        <v>1296</v>
      </c>
      <c r="B1297" s="1" t="s">
        <v>1340</v>
      </c>
      <c r="C1297" s="2">
        <v>46048</v>
      </c>
      <c r="D1297" s="1" t="s">
        <v>21</v>
      </c>
      <c r="E1297" s="1" t="s">
        <v>22</v>
      </c>
      <c r="F1297" s="1" t="s">
        <v>30</v>
      </c>
      <c r="G1297" s="1" t="s">
        <v>24</v>
      </c>
      <c r="H1297" s="1">
        <v>1</v>
      </c>
      <c r="I1297" s="1" t="s">
        <v>1341</v>
      </c>
      <c r="J1297" s="1" t="s">
        <v>26</v>
      </c>
      <c r="K1297" s="1">
        <v>7454030</v>
      </c>
      <c r="L1297" s="1">
        <v>0</v>
      </c>
      <c r="M1297" s="1">
        <v>0</v>
      </c>
      <c r="N1297" s="1">
        <v>819943.3</v>
      </c>
      <c r="O1297" s="1">
        <v>0</v>
      </c>
      <c r="P1297" s="1">
        <v>0</v>
      </c>
      <c r="Q1297" s="1">
        <v>0</v>
      </c>
      <c r="R1297" s="1">
        <v>8273973.2999999998</v>
      </c>
      <c r="S1297" s="1">
        <v>521782.1</v>
      </c>
      <c r="T1297" s="1">
        <v>7</v>
      </c>
      <c r="U1297" t="str">
        <f t="shared" si="20"/>
        <v>Week 4</v>
      </c>
    </row>
    <row r="1298" spans="1:21" x14ac:dyDescent="0.25">
      <c r="A1298" s="1">
        <v>1297</v>
      </c>
      <c r="B1298" s="1" t="s">
        <v>1342</v>
      </c>
      <c r="C1298" s="2">
        <v>46048</v>
      </c>
      <c r="D1298" s="1" t="s">
        <v>21</v>
      </c>
      <c r="E1298" s="1" t="s">
        <v>22</v>
      </c>
      <c r="F1298" s="1" t="s">
        <v>30</v>
      </c>
      <c r="G1298" s="1" t="s">
        <v>24</v>
      </c>
      <c r="H1298" s="1">
        <v>1</v>
      </c>
      <c r="I1298" s="1" t="s">
        <v>1343</v>
      </c>
      <c r="J1298" s="1" t="s">
        <v>26</v>
      </c>
      <c r="K1298" s="1">
        <v>8109740.0999999996</v>
      </c>
      <c r="L1298" s="1">
        <v>0</v>
      </c>
      <c r="M1298" s="1">
        <v>0</v>
      </c>
      <c r="N1298" s="1">
        <v>892071.41099999996</v>
      </c>
      <c r="O1298" s="1">
        <v>0</v>
      </c>
      <c r="P1298" s="1">
        <v>0</v>
      </c>
      <c r="Q1298" s="1">
        <v>0</v>
      </c>
      <c r="R1298" s="1">
        <v>9001811.5109999999</v>
      </c>
      <c r="S1298" s="1">
        <v>1056361.7216216</v>
      </c>
      <c r="T1298" s="1">
        <v>13.025839405403</v>
      </c>
      <c r="U1298" t="str">
        <f t="shared" si="20"/>
        <v>Week 4</v>
      </c>
    </row>
    <row r="1299" spans="1:21" x14ac:dyDescent="0.25">
      <c r="A1299" s="1">
        <v>1298</v>
      </c>
      <c r="B1299" s="1" t="s">
        <v>1344</v>
      </c>
      <c r="C1299" s="2">
        <v>46048</v>
      </c>
      <c r="D1299" s="1" t="s">
        <v>21</v>
      </c>
      <c r="E1299" s="1" t="s">
        <v>22</v>
      </c>
      <c r="F1299" s="1" t="s">
        <v>30</v>
      </c>
      <c r="G1299" s="1" t="s">
        <v>24</v>
      </c>
      <c r="H1299" s="1">
        <v>1</v>
      </c>
      <c r="I1299" s="1" t="s">
        <v>1345</v>
      </c>
      <c r="J1299" s="1" t="s">
        <v>26</v>
      </c>
      <c r="K1299" s="1">
        <v>3940972</v>
      </c>
      <c r="L1299" s="1">
        <v>0</v>
      </c>
      <c r="M1299" s="1">
        <v>0</v>
      </c>
      <c r="N1299" s="1">
        <v>433506.92</v>
      </c>
      <c r="O1299" s="1">
        <v>0</v>
      </c>
      <c r="P1299" s="1">
        <v>0</v>
      </c>
      <c r="Q1299" s="1">
        <v>0</v>
      </c>
      <c r="R1299" s="1">
        <v>4374478.92</v>
      </c>
      <c r="S1299" s="1">
        <v>595372</v>
      </c>
      <c r="T1299" s="1">
        <v>15.107237503844001</v>
      </c>
      <c r="U1299" t="str">
        <f t="shared" si="20"/>
        <v>Week 4</v>
      </c>
    </row>
    <row r="1300" spans="1:21" x14ac:dyDescent="0.25">
      <c r="A1300" s="1">
        <v>1299</v>
      </c>
      <c r="B1300" s="1" t="s">
        <v>1346</v>
      </c>
      <c r="C1300" s="2">
        <v>46048</v>
      </c>
      <c r="D1300" s="1" t="s">
        <v>21</v>
      </c>
      <c r="E1300" s="1" t="s">
        <v>22</v>
      </c>
      <c r="F1300" s="1" t="s">
        <v>30</v>
      </c>
      <c r="G1300" s="1" t="s">
        <v>24</v>
      </c>
      <c r="H1300" s="1">
        <v>1</v>
      </c>
      <c r="I1300" s="1" t="s">
        <v>1347</v>
      </c>
      <c r="J1300" s="1" t="s">
        <v>26</v>
      </c>
      <c r="K1300" s="1">
        <v>2481727.5</v>
      </c>
      <c r="L1300" s="1">
        <v>0</v>
      </c>
      <c r="M1300" s="1">
        <v>0</v>
      </c>
      <c r="N1300" s="1">
        <v>272990.02500000002</v>
      </c>
      <c r="O1300" s="1">
        <v>0</v>
      </c>
      <c r="P1300" s="1">
        <v>0</v>
      </c>
      <c r="Q1300" s="1">
        <v>0</v>
      </c>
      <c r="R1300" s="1">
        <v>2754717.5249999999</v>
      </c>
      <c r="S1300" s="1">
        <v>762841.7</v>
      </c>
      <c r="T1300" s="1">
        <v>30.738334486764</v>
      </c>
      <c r="U1300" t="str">
        <f t="shared" si="20"/>
        <v>Week 4</v>
      </c>
    </row>
    <row r="1301" spans="1:21" x14ac:dyDescent="0.25">
      <c r="A1301" s="1">
        <v>1300</v>
      </c>
      <c r="B1301" s="1" t="s">
        <v>1348</v>
      </c>
      <c r="C1301" s="2">
        <v>46048</v>
      </c>
      <c r="D1301" s="1" t="s">
        <v>33</v>
      </c>
      <c r="E1301" s="1" t="s">
        <v>34</v>
      </c>
      <c r="F1301" s="1" t="s">
        <v>30</v>
      </c>
      <c r="G1301" s="1" t="s">
        <v>24</v>
      </c>
      <c r="H1301" s="1">
        <v>1</v>
      </c>
      <c r="I1301" s="1" t="s">
        <v>1349</v>
      </c>
      <c r="J1301" s="1"/>
      <c r="K1301" s="1">
        <v>4116000</v>
      </c>
      <c r="L1301" s="1">
        <v>0</v>
      </c>
      <c r="M1301" s="1">
        <v>0</v>
      </c>
      <c r="N1301" s="1">
        <v>452760</v>
      </c>
      <c r="O1301" s="1">
        <v>0</v>
      </c>
      <c r="P1301" s="1">
        <v>0</v>
      </c>
      <c r="Q1301" s="1">
        <v>0</v>
      </c>
      <c r="R1301" s="1">
        <v>4568760</v>
      </c>
      <c r="S1301" s="1">
        <v>2306000</v>
      </c>
      <c r="T1301" s="1">
        <v>56.025267249757</v>
      </c>
      <c r="U1301" t="str">
        <f t="shared" si="20"/>
        <v>Week 4</v>
      </c>
    </row>
    <row r="1302" spans="1:21" x14ac:dyDescent="0.25">
      <c r="A1302" s="1">
        <v>1301</v>
      </c>
      <c r="B1302" s="1" t="s">
        <v>1350</v>
      </c>
      <c r="C1302" s="2">
        <v>46048</v>
      </c>
      <c r="D1302" s="1" t="s">
        <v>33</v>
      </c>
      <c r="E1302" s="1" t="s">
        <v>34</v>
      </c>
      <c r="F1302" s="1" t="s">
        <v>30</v>
      </c>
      <c r="G1302" s="1" t="s">
        <v>24</v>
      </c>
      <c r="H1302" s="1">
        <v>1</v>
      </c>
      <c r="I1302" s="1" t="s">
        <v>1351</v>
      </c>
      <c r="J1302" s="1"/>
      <c r="K1302" s="1">
        <v>4380600</v>
      </c>
      <c r="L1302" s="1">
        <v>0</v>
      </c>
      <c r="M1302" s="1">
        <v>0</v>
      </c>
      <c r="N1302" s="1">
        <v>481866</v>
      </c>
      <c r="O1302" s="1">
        <v>0</v>
      </c>
      <c r="P1302" s="1">
        <v>0</v>
      </c>
      <c r="Q1302" s="1">
        <v>0</v>
      </c>
      <c r="R1302" s="1">
        <v>4862466</v>
      </c>
      <c r="S1302" s="1">
        <v>2425600</v>
      </c>
      <c r="T1302" s="1">
        <v>55.371410309090002</v>
      </c>
      <c r="U1302" t="str">
        <f t="shared" si="20"/>
        <v>Week 4</v>
      </c>
    </row>
    <row r="1303" spans="1:21" x14ac:dyDescent="0.25">
      <c r="A1303" s="1">
        <v>1302</v>
      </c>
      <c r="B1303" s="1" t="s">
        <v>1352</v>
      </c>
      <c r="C1303" s="2">
        <v>46048</v>
      </c>
      <c r="D1303" s="1" t="s">
        <v>21</v>
      </c>
      <c r="E1303" s="1" t="s">
        <v>22</v>
      </c>
      <c r="F1303" s="1" t="s">
        <v>30</v>
      </c>
      <c r="G1303" s="1" t="s">
        <v>24</v>
      </c>
      <c r="H1303" s="1">
        <v>1</v>
      </c>
      <c r="I1303" s="1" t="s">
        <v>1353</v>
      </c>
      <c r="J1303" s="1" t="s">
        <v>26</v>
      </c>
      <c r="K1303" s="1">
        <v>2689610</v>
      </c>
      <c r="L1303" s="1">
        <v>0</v>
      </c>
      <c r="M1303" s="1">
        <v>0</v>
      </c>
      <c r="N1303" s="1">
        <v>295857.09999999998</v>
      </c>
      <c r="O1303" s="1">
        <v>0</v>
      </c>
      <c r="P1303" s="1">
        <v>0</v>
      </c>
      <c r="Q1303" s="1">
        <v>0</v>
      </c>
      <c r="R1303" s="1">
        <v>2985467.1</v>
      </c>
      <c r="S1303" s="1">
        <v>362610</v>
      </c>
      <c r="T1303" s="1">
        <v>13.481880272605</v>
      </c>
      <c r="U1303" t="str">
        <f t="shared" si="20"/>
        <v>Week 4</v>
      </c>
    </row>
    <row r="1304" spans="1:21" x14ac:dyDescent="0.25">
      <c r="A1304" s="1">
        <v>1303</v>
      </c>
      <c r="B1304" s="1" t="s">
        <v>1354</v>
      </c>
      <c r="C1304" s="2">
        <v>46048</v>
      </c>
      <c r="D1304" s="1" t="s">
        <v>21</v>
      </c>
      <c r="E1304" s="1" t="s">
        <v>22</v>
      </c>
      <c r="F1304" s="1" t="s">
        <v>30</v>
      </c>
      <c r="G1304" s="1" t="s">
        <v>24</v>
      </c>
      <c r="H1304" s="1">
        <v>1</v>
      </c>
      <c r="I1304" s="1" t="s">
        <v>1355</v>
      </c>
      <c r="J1304" s="1" t="s">
        <v>26</v>
      </c>
      <c r="K1304" s="1">
        <v>433160</v>
      </c>
      <c r="L1304" s="1">
        <v>0</v>
      </c>
      <c r="M1304" s="1">
        <v>0</v>
      </c>
      <c r="N1304" s="1">
        <v>47647.6</v>
      </c>
      <c r="O1304" s="1">
        <v>0</v>
      </c>
      <c r="P1304" s="1">
        <v>0</v>
      </c>
      <c r="Q1304" s="1">
        <v>0</v>
      </c>
      <c r="R1304" s="1">
        <v>480807.6</v>
      </c>
      <c r="S1304" s="1">
        <v>263160</v>
      </c>
      <c r="T1304" s="1">
        <v>60.753532182104003</v>
      </c>
      <c r="U1304" t="str">
        <f t="shared" si="20"/>
        <v>Week 4</v>
      </c>
    </row>
    <row r="1305" spans="1:21" x14ac:dyDescent="0.25">
      <c r="A1305" s="1">
        <v>1304</v>
      </c>
      <c r="B1305" s="1" t="s">
        <v>1356</v>
      </c>
      <c r="C1305" s="2">
        <v>46048</v>
      </c>
      <c r="D1305" s="1" t="s">
        <v>21</v>
      </c>
      <c r="E1305" s="1" t="s">
        <v>22</v>
      </c>
      <c r="F1305" s="1" t="s">
        <v>30</v>
      </c>
      <c r="G1305" s="1" t="s">
        <v>24</v>
      </c>
      <c r="H1305" s="1">
        <v>1</v>
      </c>
      <c r="I1305" s="1" t="s">
        <v>1357</v>
      </c>
      <c r="J1305" s="1" t="s">
        <v>26</v>
      </c>
      <c r="K1305" s="1">
        <v>17040240</v>
      </c>
      <c r="L1305" s="1">
        <v>0</v>
      </c>
      <c r="M1305" s="1">
        <v>0</v>
      </c>
      <c r="N1305" s="1">
        <v>1874426.4</v>
      </c>
      <c r="O1305" s="1">
        <v>0</v>
      </c>
      <c r="P1305" s="1">
        <v>0</v>
      </c>
      <c r="Q1305" s="1">
        <v>0</v>
      </c>
      <c r="R1305" s="1">
        <v>18914666.399999999</v>
      </c>
      <c r="S1305" s="1">
        <v>8211411.1711712005</v>
      </c>
      <c r="T1305" s="1">
        <v>48.188353985455002</v>
      </c>
      <c r="U1305" t="str">
        <f t="shared" si="20"/>
        <v>Week 4</v>
      </c>
    </row>
    <row r="1306" spans="1:21" x14ac:dyDescent="0.25">
      <c r="A1306" s="1">
        <v>1305</v>
      </c>
      <c r="B1306" s="1" t="s">
        <v>1358</v>
      </c>
      <c r="C1306" s="2">
        <v>46048</v>
      </c>
      <c r="D1306" s="1" t="s">
        <v>37</v>
      </c>
      <c r="E1306" s="1" t="s">
        <v>34</v>
      </c>
      <c r="F1306" s="1" t="s">
        <v>23</v>
      </c>
      <c r="G1306" s="1" t="s">
        <v>24</v>
      </c>
      <c r="H1306" s="1">
        <v>1</v>
      </c>
      <c r="I1306" s="1" t="s">
        <v>1359</v>
      </c>
      <c r="J1306" s="1"/>
      <c r="K1306" s="1">
        <v>85000</v>
      </c>
      <c r="L1306" s="1">
        <v>0</v>
      </c>
      <c r="M1306" s="1">
        <v>0</v>
      </c>
      <c r="N1306" s="1">
        <v>9350</v>
      </c>
      <c r="O1306" s="1">
        <v>0</v>
      </c>
      <c r="P1306" s="1">
        <v>0</v>
      </c>
      <c r="Q1306" s="1">
        <v>0</v>
      </c>
      <c r="R1306" s="1">
        <v>94350</v>
      </c>
      <c r="S1306" s="1">
        <v>85000</v>
      </c>
      <c r="T1306" s="1">
        <v>100</v>
      </c>
      <c r="U1306" t="str">
        <f t="shared" si="20"/>
        <v>Week 4</v>
      </c>
    </row>
    <row r="1307" spans="1:21" x14ac:dyDescent="0.25">
      <c r="A1307" s="1">
        <v>1306</v>
      </c>
      <c r="B1307" s="1" t="s">
        <v>1360</v>
      </c>
      <c r="C1307" s="2">
        <v>46046</v>
      </c>
      <c r="D1307" s="1" t="s">
        <v>21</v>
      </c>
      <c r="E1307" s="1" t="s">
        <v>22</v>
      </c>
      <c r="F1307" s="1" t="s">
        <v>23</v>
      </c>
      <c r="G1307" s="1" t="s">
        <v>24</v>
      </c>
      <c r="H1307" s="1">
        <v>1</v>
      </c>
      <c r="I1307" s="1" t="s">
        <v>147</v>
      </c>
      <c r="J1307" s="1" t="s">
        <v>26</v>
      </c>
      <c r="K1307" s="1">
        <v>385000</v>
      </c>
      <c r="L1307" s="1">
        <v>0</v>
      </c>
      <c r="M1307" s="1">
        <v>0</v>
      </c>
      <c r="N1307" s="1">
        <v>42350</v>
      </c>
      <c r="O1307" s="1">
        <v>0</v>
      </c>
      <c r="P1307" s="1">
        <v>0</v>
      </c>
      <c r="Q1307" s="1">
        <v>0</v>
      </c>
      <c r="R1307" s="1">
        <v>427350</v>
      </c>
      <c r="S1307" s="1">
        <v>19019</v>
      </c>
      <c r="T1307" s="1">
        <v>4.9400000000000004</v>
      </c>
      <c r="U1307" t="str">
        <f t="shared" si="20"/>
        <v>Week 4</v>
      </c>
    </row>
    <row r="1308" spans="1:21" x14ac:dyDescent="0.25">
      <c r="A1308" s="1">
        <v>1307</v>
      </c>
      <c r="B1308" s="1" t="s">
        <v>1361</v>
      </c>
      <c r="C1308" s="2">
        <v>46046</v>
      </c>
      <c r="D1308" s="1" t="s">
        <v>37</v>
      </c>
      <c r="E1308" s="1" t="s">
        <v>34</v>
      </c>
      <c r="F1308" s="1" t="s">
        <v>23</v>
      </c>
      <c r="G1308" s="1" t="s">
        <v>24</v>
      </c>
      <c r="H1308" s="1">
        <v>1</v>
      </c>
      <c r="I1308" s="1" t="s">
        <v>1362</v>
      </c>
      <c r="J1308" s="1"/>
      <c r="K1308" s="1">
        <v>43653413</v>
      </c>
      <c r="L1308" s="1">
        <v>0</v>
      </c>
      <c r="M1308" s="1">
        <v>0</v>
      </c>
      <c r="N1308" s="1">
        <v>4801875.43</v>
      </c>
      <c r="O1308" s="1">
        <v>0</v>
      </c>
      <c r="P1308" s="1">
        <v>0</v>
      </c>
      <c r="Q1308" s="1">
        <v>0</v>
      </c>
      <c r="R1308" s="1">
        <v>48455288.43</v>
      </c>
      <c r="S1308" s="1">
        <v>12404895.666666999</v>
      </c>
      <c r="T1308" s="1">
        <v>28.416783051229</v>
      </c>
      <c r="U1308" t="str">
        <f t="shared" si="20"/>
        <v>Week 4</v>
      </c>
    </row>
    <row r="1309" spans="1:21" x14ac:dyDescent="0.25">
      <c r="A1309" s="1">
        <v>1308</v>
      </c>
      <c r="B1309" s="1" t="s">
        <v>1363</v>
      </c>
      <c r="C1309" s="2">
        <v>46046</v>
      </c>
      <c r="D1309" s="1" t="s">
        <v>169</v>
      </c>
      <c r="E1309" s="1" t="s">
        <v>116</v>
      </c>
      <c r="F1309" s="1" t="s">
        <v>23</v>
      </c>
      <c r="G1309" s="1" t="s">
        <v>24</v>
      </c>
      <c r="H1309" s="1">
        <v>1</v>
      </c>
      <c r="I1309" s="1" t="s">
        <v>1364</v>
      </c>
      <c r="J1309" s="1" t="s">
        <v>26</v>
      </c>
      <c r="K1309" s="1">
        <v>2157000</v>
      </c>
      <c r="L1309" s="1">
        <v>0</v>
      </c>
      <c r="M1309" s="1">
        <v>0</v>
      </c>
      <c r="N1309" s="1">
        <v>237270</v>
      </c>
      <c r="O1309" s="1">
        <v>0</v>
      </c>
      <c r="P1309" s="1">
        <v>0</v>
      </c>
      <c r="Q1309" s="1">
        <v>0</v>
      </c>
      <c r="R1309" s="1">
        <v>2394270</v>
      </c>
      <c r="S1309" s="1">
        <v>1023544.6126122</v>
      </c>
      <c r="T1309" s="1">
        <v>47.452230533714001</v>
      </c>
      <c r="U1309" t="str">
        <f t="shared" si="20"/>
        <v>Week 4</v>
      </c>
    </row>
    <row r="1310" spans="1:21" x14ac:dyDescent="0.25">
      <c r="A1310" s="1">
        <v>1309</v>
      </c>
      <c r="B1310" s="1" t="s">
        <v>1365</v>
      </c>
      <c r="C1310" s="2">
        <v>46046</v>
      </c>
      <c r="D1310" s="1" t="s">
        <v>2979</v>
      </c>
      <c r="E1310" s="1" t="s">
        <v>203</v>
      </c>
      <c r="F1310" s="1" t="s">
        <v>23</v>
      </c>
      <c r="G1310" s="1" t="s">
        <v>24</v>
      </c>
      <c r="H1310" s="1">
        <v>1</v>
      </c>
      <c r="I1310" s="1" t="s">
        <v>1366</v>
      </c>
      <c r="J1310" s="1" t="s">
        <v>26</v>
      </c>
      <c r="K1310" s="1">
        <v>23122498.375</v>
      </c>
      <c r="L1310" s="1">
        <v>0</v>
      </c>
      <c r="M1310" s="1">
        <v>0</v>
      </c>
      <c r="N1310" s="1">
        <v>2543474.82125</v>
      </c>
      <c r="O1310" s="1">
        <v>0</v>
      </c>
      <c r="P1310" s="1">
        <v>0</v>
      </c>
      <c r="Q1310" s="1">
        <v>0</v>
      </c>
      <c r="R1310" s="1">
        <v>25665973.196249999</v>
      </c>
      <c r="S1310" s="1">
        <v>5203605.0833702004</v>
      </c>
      <c r="T1310" s="1">
        <v>22.504510537651999</v>
      </c>
      <c r="U1310" t="str">
        <f t="shared" si="20"/>
        <v>Week 4</v>
      </c>
    </row>
    <row r="1311" spans="1:21" x14ac:dyDescent="0.25">
      <c r="A1311" s="1">
        <v>1310</v>
      </c>
      <c r="B1311" s="1" t="s">
        <v>1367</v>
      </c>
      <c r="C1311" s="2">
        <v>46046</v>
      </c>
      <c r="D1311" s="1" t="s">
        <v>306</v>
      </c>
      <c r="E1311" s="1" t="s">
        <v>99</v>
      </c>
      <c r="F1311" s="1" t="s">
        <v>23</v>
      </c>
      <c r="G1311" s="1" t="s">
        <v>24</v>
      </c>
      <c r="H1311" s="1">
        <v>1</v>
      </c>
      <c r="I1311" s="1" t="s">
        <v>691</v>
      </c>
      <c r="J1311" s="1"/>
      <c r="K1311" s="1">
        <v>85431000</v>
      </c>
      <c r="L1311" s="1">
        <v>0</v>
      </c>
      <c r="M1311" s="1">
        <v>0</v>
      </c>
      <c r="N1311" s="1">
        <v>9397410</v>
      </c>
      <c r="O1311" s="1">
        <v>0</v>
      </c>
      <c r="P1311" s="1">
        <v>0</v>
      </c>
      <c r="Q1311" s="1">
        <v>0</v>
      </c>
      <c r="R1311" s="1">
        <v>94828410</v>
      </c>
      <c r="S1311" s="1">
        <v>31052892.600359999</v>
      </c>
      <c r="T1311" s="1">
        <v>36.348506514451003</v>
      </c>
      <c r="U1311" t="str">
        <f t="shared" si="20"/>
        <v>Week 4</v>
      </c>
    </row>
    <row r="1312" spans="1:21" x14ac:dyDescent="0.25">
      <c r="A1312" s="1">
        <v>1311</v>
      </c>
      <c r="B1312" s="1" t="s">
        <v>1368</v>
      </c>
      <c r="C1312" s="2">
        <v>46046</v>
      </c>
      <c r="D1312" s="1" t="s">
        <v>53</v>
      </c>
      <c r="E1312" s="1" t="s">
        <v>54</v>
      </c>
      <c r="F1312" s="1" t="s">
        <v>30</v>
      </c>
      <c r="G1312" s="1" t="s">
        <v>24</v>
      </c>
      <c r="H1312" s="1">
        <v>1</v>
      </c>
      <c r="I1312" s="1" t="s">
        <v>1369</v>
      </c>
      <c r="J1312" s="1"/>
      <c r="K1312" s="1">
        <v>4782600</v>
      </c>
      <c r="L1312" s="1">
        <v>0</v>
      </c>
      <c r="M1312" s="1">
        <v>0</v>
      </c>
      <c r="N1312" s="1">
        <v>526086</v>
      </c>
      <c r="O1312" s="1">
        <v>0</v>
      </c>
      <c r="P1312" s="1">
        <v>0</v>
      </c>
      <c r="Q1312" s="1">
        <v>0</v>
      </c>
      <c r="R1312" s="1">
        <v>5308686</v>
      </c>
      <c r="S1312" s="1">
        <v>1031265</v>
      </c>
      <c r="T1312" s="1">
        <v>21.562852841550999</v>
      </c>
      <c r="U1312" t="str">
        <f t="shared" si="20"/>
        <v>Week 4</v>
      </c>
    </row>
    <row r="1313" spans="1:21" x14ac:dyDescent="0.25">
      <c r="A1313" s="1">
        <v>1312</v>
      </c>
      <c r="B1313" s="1" t="s">
        <v>1370</v>
      </c>
      <c r="C1313" s="2">
        <v>46046</v>
      </c>
      <c r="D1313" s="1" t="s">
        <v>53</v>
      </c>
      <c r="E1313" s="1" t="s">
        <v>54</v>
      </c>
      <c r="F1313" s="1" t="s">
        <v>30</v>
      </c>
      <c r="G1313" s="1" t="s">
        <v>24</v>
      </c>
      <c r="H1313" s="1">
        <v>1</v>
      </c>
      <c r="I1313" s="1" t="s">
        <v>1371</v>
      </c>
      <c r="J1313" s="1"/>
      <c r="K1313" s="1">
        <v>61727176</v>
      </c>
      <c r="L1313" s="1">
        <v>0</v>
      </c>
      <c r="M1313" s="1">
        <v>0</v>
      </c>
      <c r="N1313" s="1">
        <v>6789989.3600000003</v>
      </c>
      <c r="O1313" s="1">
        <v>0</v>
      </c>
      <c r="P1313" s="1">
        <v>0</v>
      </c>
      <c r="Q1313" s="1">
        <v>0</v>
      </c>
      <c r="R1313" s="1">
        <v>68517165.359999999</v>
      </c>
      <c r="S1313" s="1">
        <v>7058460.5</v>
      </c>
      <c r="T1313" s="1">
        <v>11.434931836182001</v>
      </c>
      <c r="U1313" t="str">
        <f t="shared" si="20"/>
        <v>Week 4</v>
      </c>
    </row>
    <row r="1314" spans="1:21" x14ac:dyDescent="0.25">
      <c r="A1314" s="1">
        <v>1313</v>
      </c>
      <c r="B1314" s="1" t="s">
        <v>1372</v>
      </c>
      <c r="C1314" s="2">
        <v>46046</v>
      </c>
      <c r="D1314" s="1" t="s">
        <v>98</v>
      </c>
      <c r="E1314" s="1" t="s">
        <v>99</v>
      </c>
      <c r="F1314" s="1" t="s">
        <v>30</v>
      </c>
      <c r="G1314" s="1" t="s">
        <v>24</v>
      </c>
      <c r="H1314" s="1">
        <v>1</v>
      </c>
      <c r="I1314" s="1" t="s">
        <v>1373</v>
      </c>
      <c r="J1314" s="1" t="s">
        <v>26</v>
      </c>
      <c r="K1314" s="1">
        <v>9702000</v>
      </c>
      <c r="L1314" s="1">
        <v>0</v>
      </c>
      <c r="M1314" s="1">
        <v>0</v>
      </c>
      <c r="N1314" s="1">
        <v>1067220</v>
      </c>
      <c r="O1314" s="1">
        <v>0</v>
      </c>
      <c r="P1314" s="1">
        <v>0</v>
      </c>
      <c r="Q1314" s="1">
        <v>0</v>
      </c>
      <c r="R1314" s="1">
        <v>10769220</v>
      </c>
      <c r="S1314" s="1">
        <v>2010043.2432432</v>
      </c>
      <c r="T1314" s="1">
        <v>20.717823574966001</v>
      </c>
      <c r="U1314" t="str">
        <f t="shared" si="20"/>
        <v>Week 4</v>
      </c>
    </row>
    <row r="1315" spans="1:21" x14ac:dyDescent="0.25">
      <c r="A1315" s="1">
        <v>1314</v>
      </c>
      <c r="B1315" s="1" t="s">
        <v>1374</v>
      </c>
      <c r="C1315" s="2">
        <v>46046</v>
      </c>
      <c r="D1315" s="1" t="s">
        <v>53</v>
      </c>
      <c r="E1315" s="1" t="s">
        <v>54</v>
      </c>
      <c r="F1315" s="1" t="s">
        <v>30</v>
      </c>
      <c r="G1315" s="1" t="s">
        <v>24</v>
      </c>
      <c r="H1315" s="1">
        <v>1</v>
      </c>
      <c r="I1315" s="1" t="s">
        <v>1375</v>
      </c>
      <c r="J1315" s="1"/>
      <c r="K1315" s="1">
        <v>249825</v>
      </c>
      <c r="L1315" s="1">
        <v>0</v>
      </c>
      <c r="M1315" s="1">
        <v>0</v>
      </c>
      <c r="N1315" s="1">
        <v>27480.75</v>
      </c>
      <c r="O1315" s="1">
        <v>0</v>
      </c>
      <c r="P1315" s="1">
        <v>0</v>
      </c>
      <c r="Q1315" s="1">
        <v>0</v>
      </c>
      <c r="R1315" s="1">
        <v>277305.75</v>
      </c>
      <c r="S1315" s="1">
        <v>137212.4</v>
      </c>
      <c r="T1315" s="1">
        <v>54.923406384468997</v>
      </c>
      <c r="U1315" t="str">
        <f t="shared" si="20"/>
        <v>Week 4</v>
      </c>
    </row>
    <row r="1316" spans="1:21" x14ac:dyDescent="0.25">
      <c r="A1316" s="1">
        <v>1315</v>
      </c>
      <c r="B1316" s="1" t="s">
        <v>1376</v>
      </c>
      <c r="C1316" s="2">
        <v>46046</v>
      </c>
      <c r="D1316" s="1" t="s">
        <v>53</v>
      </c>
      <c r="E1316" s="1" t="s">
        <v>54</v>
      </c>
      <c r="F1316" s="1" t="s">
        <v>30</v>
      </c>
      <c r="G1316" s="1" t="s">
        <v>24</v>
      </c>
      <c r="H1316" s="1">
        <v>1</v>
      </c>
      <c r="I1316" s="1" t="s">
        <v>1377</v>
      </c>
      <c r="J1316" s="1"/>
      <c r="K1316" s="1">
        <v>423840</v>
      </c>
      <c r="L1316" s="1">
        <v>0</v>
      </c>
      <c r="M1316" s="1">
        <v>0</v>
      </c>
      <c r="N1316" s="1">
        <v>46622.400000000001</v>
      </c>
      <c r="O1316" s="1">
        <v>0</v>
      </c>
      <c r="P1316" s="1">
        <v>0</v>
      </c>
      <c r="Q1316" s="1">
        <v>0</v>
      </c>
      <c r="R1316" s="1">
        <v>470462.4</v>
      </c>
      <c r="S1316" s="1">
        <v>43840</v>
      </c>
      <c r="T1316" s="1">
        <v>10.343525858814999</v>
      </c>
      <c r="U1316" t="str">
        <f t="shared" si="20"/>
        <v>Week 4</v>
      </c>
    </row>
    <row r="1317" spans="1:21" x14ac:dyDescent="0.25">
      <c r="A1317" s="1">
        <v>1316</v>
      </c>
      <c r="B1317" s="1" t="s">
        <v>1378</v>
      </c>
      <c r="C1317" s="2">
        <v>46046</v>
      </c>
      <c r="D1317" s="1" t="s">
        <v>169</v>
      </c>
      <c r="E1317" s="1" t="s">
        <v>99</v>
      </c>
      <c r="F1317" s="1" t="s">
        <v>23</v>
      </c>
      <c r="G1317" s="1" t="s">
        <v>24</v>
      </c>
      <c r="H1317" s="1">
        <v>1</v>
      </c>
      <c r="I1317" s="1" t="s">
        <v>1379</v>
      </c>
      <c r="J1317" s="1"/>
      <c r="K1317" s="1">
        <v>305550500</v>
      </c>
      <c r="L1317" s="1">
        <v>0</v>
      </c>
      <c r="M1317" s="1">
        <v>0</v>
      </c>
      <c r="N1317" s="1">
        <v>33610555</v>
      </c>
      <c r="O1317" s="1">
        <v>0</v>
      </c>
      <c r="P1317" s="1">
        <v>0</v>
      </c>
      <c r="Q1317" s="1">
        <v>0</v>
      </c>
      <c r="R1317" s="1">
        <v>339161055</v>
      </c>
      <c r="S1317" s="1">
        <v>46683500</v>
      </c>
      <c r="T1317" s="1">
        <v>15.278489153183999</v>
      </c>
      <c r="U1317" t="str">
        <f t="shared" si="20"/>
        <v>Week 4</v>
      </c>
    </row>
    <row r="1318" spans="1:21" x14ac:dyDescent="0.25">
      <c r="A1318" s="1">
        <v>1317</v>
      </c>
      <c r="B1318" s="1" t="s">
        <v>1380</v>
      </c>
      <c r="C1318" s="2">
        <v>46046</v>
      </c>
      <c r="D1318" s="1" t="s">
        <v>33</v>
      </c>
      <c r="E1318" s="1" t="s">
        <v>34</v>
      </c>
      <c r="F1318" s="1" t="s">
        <v>23</v>
      </c>
      <c r="G1318" s="1" t="s">
        <v>24</v>
      </c>
      <c r="H1318" s="1">
        <v>1</v>
      </c>
      <c r="I1318" s="1" t="s">
        <v>1381</v>
      </c>
      <c r="J1318" s="1"/>
      <c r="K1318" s="1">
        <v>6449031.25</v>
      </c>
      <c r="L1318" s="1">
        <v>0</v>
      </c>
      <c r="M1318" s="1">
        <v>0</v>
      </c>
      <c r="N1318" s="1">
        <v>709393.4375</v>
      </c>
      <c r="O1318" s="1">
        <v>0</v>
      </c>
      <c r="P1318" s="1">
        <v>0</v>
      </c>
      <c r="Q1318" s="1">
        <v>0</v>
      </c>
      <c r="R1318" s="1">
        <v>7158424.6875</v>
      </c>
      <c r="S1318" s="1">
        <v>1855531.25</v>
      </c>
      <c r="T1318" s="1">
        <v>28.772247769772001</v>
      </c>
      <c r="U1318" t="str">
        <f t="shared" si="20"/>
        <v>Week 4</v>
      </c>
    </row>
    <row r="1319" spans="1:21" x14ac:dyDescent="0.25">
      <c r="A1319" s="1">
        <v>1318</v>
      </c>
      <c r="B1319" s="1" t="s">
        <v>1382</v>
      </c>
      <c r="C1319" s="2">
        <v>46046</v>
      </c>
      <c r="D1319" s="1" t="s">
        <v>33</v>
      </c>
      <c r="E1319" s="1" t="s">
        <v>34</v>
      </c>
      <c r="F1319" s="1" t="s">
        <v>23</v>
      </c>
      <c r="G1319" s="1" t="s">
        <v>24</v>
      </c>
      <c r="H1319" s="1">
        <v>1</v>
      </c>
      <c r="I1319" s="1" t="s">
        <v>1383</v>
      </c>
      <c r="J1319" s="1"/>
      <c r="K1319" s="1">
        <v>1675200</v>
      </c>
      <c r="L1319" s="1">
        <v>0</v>
      </c>
      <c r="M1319" s="1">
        <v>0</v>
      </c>
      <c r="N1319" s="1">
        <v>184272</v>
      </c>
      <c r="O1319" s="1">
        <v>0</v>
      </c>
      <c r="P1319" s="1">
        <v>0</v>
      </c>
      <c r="Q1319" s="1">
        <v>0</v>
      </c>
      <c r="R1319" s="1">
        <v>1859472</v>
      </c>
      <c r="S1319" s="1">
        <v>507200</v>
      </c>
      <c r="T1319" s="1">
        <v>30.276981852913</v>
      </c>
      <c r="U1319" t="str">
        <f t="shared" si="20"/>
        <v>Week 4</v>
      </c>
    </row>
    <row r="1320" spans="1:21" x14ac:dyDescent="0.25">
      <c r="A1320" s="1">
        <v>1319</v>
      </c>
      <c r="B1320" s="1" t="s">
        <v>1384</v>
      </c>
      <c r="C1320" s="2">
        <v>46046</v>
      </c>
      <c r="D1320" s="1" t="s">
        <v>21</v>
      </c>
      <c r="E1320" s="1" t="s">
        <v>54</v>
      </c>
      <c r="F1320" s="1" t="s">
        <v>30</v>
      </c>
      <c r="G1320" s="1" t="s">
        <v>24</v>
      </c>
      <c r="H1320" s="1">
        <v>1</v>
      </c>
      <c r="I1320" s="1" t="s">
        <v>1385</v>
      </c>
      <c r="J1320" s="1"/>
      <c r="K1320" s="1">
        <v>90194962</v>
      </c>
      <c r="L1320" s="1">
        <v>0</v>
      </c>
      <c r="M1320" s="1">
        <v>0</v>
      </c>
      <c r="N1320" s="1">
        <v>9921445.8200000003</v>
      </c>
      <c r="O1320" s="1">
        <v>0</v>
      </c>
      <c r="P1320" s="1">
        <v>0</v>
      </c>
      <c r="Q1320" s="1">
        <v>0</v>
      </c>
      <c r="R1320" s="1">
        <v>100116407.81999999</v>
      </c>
      <c r="S1320" s="1">
        <v>3357958</v>
      </c>
      <c r="T1320" s="1">
        <v>3.7229995174232</v>
      </c>
      <c r="U1320" t="str">
        <f t="shared" si="20"/>
        <v>Week 4</v>
      </c>
    </row>
    <row r="1321" spans="1:21" x14ac:dyDescent="0.25">
      <c r="A1321" s="1">
        <v>1320</v>
      </c>
      <c r="B1321" s="1" t="s">
        <v>1386</v>
      </c>
      <c r="C1321" s="2">
        <v>46046</v>
      </c>
      <c r="D1321" s="1" t="s">
        <v>112</v>
      </c>
      <c r="E1321" s="1" t="s">
        <v>34</v>
      </c>
      <c r="F1321" s="1" t="s">
        <v>23</v>
      </c>
      <c r="G1321" s="1" t="s">
        <v>24</v>
      </c>
      <c r="H1321" s="1">
        <v>1</v>
      </c>
      <c r="I1321" s="1" t="s">
        <v>1387</v>
      </c>
      <c r="J1321" s="1"/>
      <c r="K1321" s="1">
        <v>35579875</v>
      </c>
      <c r="L1321" s="1">
        <v>0</v>
      </c>
      <c r="M1321" s="1">
        <v>0</v>
      </c>
      <c r="N1321" s="1">
        <v>3913786.25</v>
      </c>
      <c r="O1321" s="1">
        <v>0</v>
      </c>
      <c r="P1321" s="1">
        <v>0</v>
      </c>
      <c r="Q1321" s="1">
        <v>0</v>
      </c>
      <c r="R1321" s="1">
        <v>39493661.25</v>
      </c>
      <c r="S1321" s="1">
        <v>12611556.85</v>
      </c>
      <c r="T1321" s="1">
        <v>35.445759295107003</v>
      </c>
      <c r="U1321" t="str">
        <f t="shared" si="20"/>
        <v>Week 4</v>
      </c>
    </row>
    <row r="1322" spans="1:21" x14ac:dyDescent="0.25">
      <c r="A1322" s="1">
        <v>1321</v>
      </c>
      <c r="B1322" s="1" t="s">
        <v>1388</v>
      </c>
      <c r="C1322" s="2">
        <v>46046</v>
      </c>
      <c r="D1322" s="1" t="s">
        <v>21</v>
      </c>
      <c r="E1322" s="1" t="s">
        <v>22</v>
      </c>
      <c r="F1322" s="1" t="s">
        <v>30</v>
      </c>
      <c r="G1322" s="1" t="s">
        <v>24</v>
      </c>
      <c r="H1322" s="1">
        <v>1</v>
      </c>
      <c r="I1322" s="1" t="s">
        <v>1389</v>
      </c>
      <c r="J1322" s="1" t="s">
        <v>26</v>
      </c>
      <c r="K1322" s="1">
        <v>34921383.600000001</v>
      </c>
      <c r="L1322" s="1">
        <v>0</v>
      </c>
      <c r="M1322" s="1">
        <v>0</v>
      </c>
      <c r="N1322" s="1">
        <v>3841352.196</v>
      </c>
      <c r="O1322" s="1">
        <v>0</v>
      </c>
      <c r="P1322" s="1">
        <v>0</v>
      </c>
      <c r="Q1322" s="1">
        <v>0</v>
      </c>
      <c r="R1322" s="1">
        <v>38762735.795999996</v>
      </c>
      <c r="S1322" s="1">
        <v>12924059.638108</v>
      </c>
      <c r="T1322" s="1">
        <v>37.009013692425</v>
      </c>
      <c r="U1322" t="str">
        <f t="shared" si="20"/>
        <v>Week 4</v>
      </c>
    </row>
    <row r="1323" spans="1:21" x14ac:dyDescent="0.25">
      <c r="A1323" s="1">
        <v>1322</v>
      </c>
      <c r="B1323" s="1" t="s">
        <v>1390</v>
      </c>
      <c r="C1323" s="2">
        <v>46045</v>
      </c>
      <c r="D1323" s="1" t="s">
        <v>98</v>
      </c>
      <c r="E1323" s="1" t="s">
        <v>99</v>
      </c>
      <c r="F1323" s="1" t="s">
        <v>23</v>
      </c>
      <c r="G1323" s="1" t="s">
        <v>24</v>
      </c>
      <c r="H1323" s="1">
        <v>1</v>
      </c>
      <c r="I1323" s="1" t="s">
        <v>1391</v>
      </c>
      <c r="J1323" s="1"/>
      <c r="K1323" s="1">
        <v>5835000</v>
      </c>
      <c r="L1323" s="1">
        <v>0</v>
      </c>
      <c r="M1323" s="1">
        <v>0</v>
      </c>
      <c r="N1323" s="1">
        <v>641850</v>
      </c>
      <c r="O1323" s="1">
        <v>0</v>
      </c>
      <c r="P1323" s="1">
        <v>0</v>
      </c>
      <c r="Q1323" s="1">
        <v>0</v>
      </c>
      <c r="R1323" s="1">
        <v>6476850</v>
      </c>
      <c r="S1323" s="1">
        <v>1635000</v>
      </c>
      <c r="T1323" s="1">
        <v>28.020565552699001</v>
      </c>
      <c r="U1323" t="str">
        <f t="shared" si="20"/>
        <v>Week 4</v>
      </c>
    </row>
    <row r="1324" spans="1:21" x14ac:dyDescent="0.25">
      <c r="A1324" s="1">
        <v>1323</v>
      </c>
      <c r="B1324" s="1" t="s">
        <v>1392</v>
      </c>
      <c r="C1324" s="2">
        <v>46045</v>
      </c>
      <c r="D1324" s="1" t="s">
        <v>184</v>
      </c>
      <c r="E1324" s="1" t="s">
        <v>116</v>
      </c>
      <c r="F1324" s="1" t="s">
        <v>23</v>
      </c>
      <c r="G1324" s="1" t="s">
        <v>24</v>
      </c>
      <c r="H1324" s="1">
        <v>1</v>
      </c>
      <c r="I1324" s="1" t="s">
        <v>973</v>
      </c>
      <c r="J1324" s="1" t="s">
        <v>26</v>
      </c>
      <c r="K1324" s="1">
        <v>4522000</v>
      </c>
      <c r="L1324" s="1">
        <v>0</v>
      </c>
      <c r="M1324" s="1">
        <v>0</v>
      </c>
      <c r="N1324" s="1">
        <v>497420</v>
      </c>
      <c r="O1324" s="1">
        <v>0</v>
      </c>
      <c r="P1324" s="1">
        <v>0</v>
      </c>
      <c r="Q1324" s="1">
        <v>0</v>
      </c>
      <c r="R1324" s="1">
        <v>5019420</v>
      </c>
      <c r="S1324" s="1">
        <v>1009747.74775</v>
      </c>
      <c r="T1324" s="1">
        <v>22.329671555728002</v>
      </c>
      <c r="U1324" t="str">
        <f t="shared" si="20"/>
        <v>Week 4</v>
      </c>
    </row>
    <row r="1325" spans="1:21" x14ac:dyDescent="0.25">
      <c r="A1325" s="1">
        <v>1324</v>
      </c>
      <c r="B1325" s="1" t="s">
        <v>2263</v>
      </c>
      <c r="C1325" s="2">
        <v>46045</v>
      </c>
      <c r="D1325" s="1" t="s">
        <v>2210</v>
      </c>
      <c r="E1325" s="1" t="s">
        <v>192</v>
      </c>
      <c r="F1325" s="1" t="s">
        <v>260</v>
      </c>
      <c r="G1325" s="1" t="s">
        <v>24</v>
      </c>
      <c r="H1325" s="1">
        <v>1</v>
      </c>
      <c r="I1325" s="1" t="s">
        <v>2264</v>
      </c>
      <c r="J1325" s="1" t="s">
        <v>56</v>
      </c>
      <c r="K1325" s="1">
        <v>1173922000</v>
      </c>
      <c r="L1325" s="1">
        <v>0</v>
      </c>
      <c r="M1325" s="1">
        <v>0</v>
      </c>
      <c r="N1325" s="1">
        <v>129131420</v>
      </c>
      <c r="O1325" s="1">
        <v>0</v>
      </c>
      <c r="P1325" s="1">
        <v>0</v>
      </c>
      <c r="Q1325" s="1">
        <v>0</v>
      </c>
      <c r="R1325" s="1">
        <v>1303053420</v>
      </c>
      <c r="S1325" s="1">
        <v>248980560</v>
      </c>
      <c r="T1325" s="1">
        <v>21.209293292059002</v>
      </c>
      <c r="U1325" t="str">
        <f t="shared" si="20"/>
        <v>Week 4</v>
      </c>
    </row>
    <row r="1326" spans="1:21" x14ac:dyDescent="0.25">
      <c r="A1326" s="1">
        <v>1325</v>
      </c>
      <c r="B1326" s="1" t="s">
        <v>1393</v>
      </c>
      <c r="C1326" s="2">
        <v>46045</v>
      </c>
      <c r="D1326" s="1" t="s">
        <v>33</v>
      </c>
      <c r="E1326" s="1" t="s">
        <v>34</v>
      </c>
      <c r="F1326" s="1" t="s">
        <v>23</v>
      </c>
      <c r="G1326" s="1" t="s">
        <v>24</v>
      </c>
      <c r="H1326" s="1">
        <v>1</v>
      </c>
      <c r="I1326" s="1" t="s">
        <v>1394</v>
      </c>
      <c r="J1326" s="1"/>
      <c r="K1326" s="1">
        <v>148944853.81757</v>
      </c>
      <c r="L1326" s="1">
        <v>0</v>
      </c>
      <c r="M1326" s="1">
        <v>0</v>
      </c>
      <c r="N1326" s="1">
        <v>16383933.919932</v>
      </c>
      <c r="O1326" s="1">
        <v>0</v>
      </c>
      <c r="P1326" s="1">
        <v>0</v>
      </c>
      <c r="Q1326" s="1">
        <v>0</v>
      </c>
      <c r="R1326" s="1">
        <v>165328787.73750001</v>
      </c>
      <c r="S1326" s="1">
        <v>36720799.763513997</v>
      </c>
      <c r="T1326" s="1">
        <v>24.653956697618</v>
      </c>
      <c r="U1326" t="str">
        <f t="shared" si="20"/>
        <v>Week 4</v>
      </c>
    </row>
    <row r="1327" spans="1:21" x14ac:dyDescent="0.25">
      <c r="A1327" s="1">
        <v>1326</v>
      </c>
      <c r="B1327" s="1" t="s">
        <v>1395</v>
      </c>
      <c r="C1327" s="2">
        <v>46045</v>
      </c>
      <c r="D1327" s="1" t="s">
        <v>349</v>
      </c>
      <c r="E1327" s="1" t="s">
        <v>1281</v>
      </c>
      <c r="F1327" s="1" t="s">
        <v>23</v>
      </c>
      <c r="G1327" s="1" t="s">
        <v>24</v>
      </c>
      <c r="H1327" s="1">
        <v>1</v>
      </c>
      <c r="I1327" s="1" t="s">
        <v>1396</v>
      </c>
      <c r="J1327" s="1"/>
      <c r="K1327" s="1">
        <v>17511000</v>
      </c>
      <c r="L1327" s="1">
        <v>0</v>
      </c>
      <c r="M1327" s="1">
        <v>0</v>
      </c>
      <c r="N1327" s="1">
        <v>1926210</v>
      </c>
      <c r="O1327" s="1">
        <v>0</v>
      </c>
      <c r="P1327" s="1">
        <v>0</v>
      </c>
      <c r="Q1327" s="1">
        <v>0</v>
      </c>
      <c r="R1327" s="1">
        <v>19437210</v>
      </c>
      <c r="S1327" s="1">
        <v>11409717.719159</v>
      </c>
      <c r="T1327" s="1">
        <v>65.157430867222004</v>
      </c>
      <c r="U1327" t="str">
        <f t="shared" si="20"/>
        <v>Week 4</v>
      </c>
    </row>
    <row r="1328" spans="1:21" x14ac:dyDescent="0.25">
      <c r="A1328" s="1">
        <v>1327</v>
      </c>
      <c r="B1328" s="1" t="s">
        <v>1397</v>
      </c>
      <c r="C1328" s="2">
        <v>46045</v>
      </c>
      <c r="D1328" s="1" t="s">
        <v>2979</v>
      </c>
      <c r="E1328" s="1" t="s">
        <v>203</v>
      </c>
      <c r="F1328" s="1" t="s">
        <v>30</v>
      </c>
      <c r="G1328" s="1" t="s">
        <v>24</v>
      </c>
      <c r="H1328" s="1">
        <v>1</v>
      </c>
      <c r="I1328" s="1" t="s">
        <v>1398</v>
      </c>
      <c r="J1328" s="1"/>
      <c r="K1328" s="1">
        <v>16146410</v>
      </c>
      <c r="L1328" s="1">
        <v>0</v>
      </c>
      <c r="M1328" s="1">
        <v>0</v>
      </c>
      <c r="N1328" s="1">
        <v>1776105.1</v>
      </c>
      <c r="O1328" s="1">
        <v>0</v>
      </c>
      <c r="P1328" s="1">
        <v>0</v>
      </c>
      <c r="Q1328" s="1">
        <v>0</v>
      </c>
      <c r="R1328" s="1">
        <v>17922515.100000001</v>
      </c>
      <c r="S1328" s="1">
        <v>-5748590</v>
      </c>
      <c r="T1328" s="1">
        <v>-35.602898724855997</v>
      </c>
      <c r="U1328" t="str">
        <f t="shared" si="20"/>
        <v>Week 4</v>
      </c>
    </row>
    <row r="1329" spans="1:21" x14ac:dyDescent="0.25">
      <c r="A1329" s="1">
        <v>1328</v>
      </c>
      <c r="B1329" s="1" t="s">
        <v>1399</v>
      </c>
      <c r="C1329" s="2">
        <v>46045</v>
      </c>
      <c r="D1329" s="1" t="s">
        <v>112</v>
      </c>
      <c r="E1329" s="1" t="s">
        <v>34</v>
      </c>
      <c r="F1329" s="1" t="s">
        <v>30</v>
      </c>
      <c r="G1329" s="1" t="s">
        <v>24</v>
      </c>
      <c r="H1329" s="1">
        <v>1</v>
      </c>
      <c r="I1329" s="1" t="s">
        <v>1400</v>
      </c>
      <c r="J1329" s="1"/>
      <c r="K1329" s="1">
        <v>59933225</v>
      </c>
      <c r="L1329" s="1">
        <v>0</v>
      </c>
      <c r="M1329" s="1">
        <v>0</v>
      </c>
      <c r="N1329" s="1">
        <v>6592654.75</v>
      </c>
      <c r="O1329" s="1">
        <v>0</v>
      </c>
      <c r="P1329" s="1">
        <v>0</v>
      </c>
      <c r="Q1329" s="1">
        <v>0</v>
      </c>
      <c r="R1329" s="1">
        <v>66525879.75</v>
      </c>
      <c r="S1329" s="1">
        <v>2246225</v>
      </c>
      <c r="T1329" s="1">
        <v>3.7478794107943001</v>
      </c>
      <c r="U1329" t="str">
        <f t="shared" si="20"/>
        <v>Week 4</v>
      </c>
    </row>
    <row r="1330" spans="1:21" x14ac:dyDescent="0.25">
      <c r="A1330" s="1">
        <v>1329</v>
      </c>
      <c r="B1330" s="1" t="s">
        <v>1401</v>
      </c>
      <c r="C1330" s="2">
        <v>46045</v>
      </c>
      <c r="D1330" s="1" t="s">
        <v>53</v>
      </c>
      <c r="E1330" s="1" t="s">
        <v>54</v>
      </c>
      <c r="F1330" s="1" t="s">
        <v>23</v>
      </c>
      <c r="G1330" s="1" t="s">
        <v>24</v>
      </c>
      <c r="H1330" s="1">
        <v>1</v>
      </c>
      <c r="I1330" s="1" t="s">
        <v>1402</v>
      </c>
      <c r="J1330" s="1"/>
      <c r="K1330" s="1">
        <v>18495566.603750002</v>
      </c>
      <c r="L1330" s="1">
        <v>0</v>
      </c>
      <c r="M1330" s="1">
        <v>0</v>
      </c>
      <c r="N1330" s="1">
        <v>2034512.3264125001</v>
      </c>
      <c r="O1330" s="1">
        <v>0</v>
      </c>
      <c r="P1330" s="1">
        <v>0</v>
      </c>
      <c r="Q1330" s="1">
        <v>0</v>
      </c>
      <c r="R1330" s="1">
        <v>20530078.930162001</v>
      </c>
      <c r="S1330" s="1">
        <v>4458414.9730022997</v>
      </c>
      <c r="T1330" s="1">
        <v>24.105317066082002</v>
      </c>
      <c r="U1330" t="str">
        <f t="shared" si="20"/>
        <v>Week 4</v>
      </c>
    </row>
    <row r="1331" spans="1:21" x14ac:dyDescent="0.25">
      <c r="A1331" s="1">
        <v>1330</v>
      </c>
      <c r="B1331" s="1" t="s">
        <v>1403</v>
      </c>
      <c r="C1331" s="2">
        <v>46045</v>
      </c>
      <c r="D1331" s="1" t="s">
        <v>202</v>
      </c>
      <c r="E1331" s="1" t="s">
        <v>203</v>
      </c>
      <c r="F1331" s="1" t="s">
        <v>39</v>
      </c>
      <c r="G1331" s="1" t="s">
        <v>24</v>
      </c>
      <c r="H1331" s="1">
        <v>1</v>
      </c>
      <c r="I1331" s="1" t="s">
        <v>1404</v>
      </c>
      <c r="J1331" s="1" t="s">
        <v>26</v>
      </c>
      <c r="K1331" s="1">
        <v>1190000</v>
      </c>
      <c r="L1331" s="1">
        <v>0</v>
      </c>
      <c r="M1331" s="1">
        <v>0</v>
      </c>
      <c r="N1331" s="1">
        <v>130900</v>
      </c>
      <c r="O1331" s="1">
        <v>0</v>
      </c>
      <c r="P1331" s="1">
        <v>0</v>
      </c>
      <c r="Q1331" s="1">
        <v>0</v>
      </c>
      <c r="R1331" s="1">
        <v>1320900</v>
      </c>
      <c r="S1331" s="1">
        <v>-12750</v>
      </c>
      <c r="T1331" s="1">
        <v>-1.0714285714286</v>
      </c>
      <c r="U1331" t="str">
        <f t="shared" si="20"/>
        <v>Week 4</v>
      </c>
    </row>
    <row r="1332" spans="1:21" x14ac:dyDescent="0.25">
      <c r="A1332" s="1">
        <v>1331</v>
      </c>
      <c r="B1332" s="1" t="s">
        <v>1405</v>
      </c>
      <c r="C1332" s="2">
        <v>46045</v>
      </c>
      <c r="D1332" s="1" t="s">
        <v>21</v>
      </c>
      <c r="E1332" s="1" t="s">
        <v>22</v>
      </c>
      <c r="F1332" s="1" t="s">
        <v>30</v>
      </c>
      <c r="G1332" s="1" t="s">
        <v>24</v>
      </c>
      <c r="H1332" s="1">
        <v>1</v>
      </c>
      <c r="I1332" s="1" t="s">
        <v>1406</v>
      </c>
      <c r="J1332" s="1" t="s">
        <v>26</v>
      </c>
      <c r="K1332" s="1">
        <v>2237778</v>
      </c>
      <c r="L1332" s="1">
        <v>0</v>
      </c>
      <c r="M1332" s="1">
        <v>0</v>
      </c>
      <c r="N1332" s="1">
        <v>246155.58</v>
      </c>
      <c r="O1332" s="1">
        <v>0</v>
      </c>
      <c r="P1332" s="1">
        <v>0</v>
      </c>
      <c r="Q1332" s="1">
        <v>0</v>
      </c>
      <c r="R1332" s="1">
        <v>2483933.58</v>
      </c>
      <c r="S1332" s="1">
        <v>156644.46</v>
      </c>
      <c r="T1332" s="1">
        <v>7</v>
      </c>
      <c r="U1332" t="str">
        <f t="shared" si="20"/>
        <v>Week 4</v>
      </c>
    </row>
    <row r="1333" spans="1:21" x14ac:dyDescent="0.25">
      <c r="A1333" s="1">
        <v>1332</v>
      </c>
      <c r="B1333" s="1" t="s">
        <v>1407</v>
      </c>
      <c r="C1333" s="2">
        <v>46045</v>
      </c>
      <c r="D1333" s="1" t="s">
        <v>169</v>
      </c>
      <c r="E1333" s="1" t="s">
        <v>99</v>
      </c>
      <c r="F1333" s="1" t="s">
        <v>23</v>
      </c>
      <c r="G1333" s="1" t="s">
        <v>24</v>
      </c>
      <c r="H1333" s="1">
        <v>1</v>
      </c>
      <c r="I1333" s="1" t="s">
        <v>170</v>
      </c>
      <c r="J1333" s="1"/>
      <c r="K1333" s="1">
        <v>161200000</v>
      </c>
      <c r="L1333" s="1">
        <v>0</v>
      </c>
      <c r="M1333" s="1">
        <v>0</v>
      </c>
      <c r="N1333" s="1">
        <v>17732000</v>
      </c>
      <c r="O1333" s="1">
        <v>0</v>
      </c>
      <c r="P1333" s="1">
        <v>0</v>
      </c>
      <c r="Q1333" s="1">
        <v>0</v>
      </c>
      <c r="R1333" s="1">
        <v>178932000</v>
      </c>
      <c r="S1333" s="1">
        <v>33161000</v>
      </c>
      <c r="T1333" s="1">
        <v>20.571339950372</v>
      </c>
      <c r="U1333" t="str">
        <f t="shared" si="20"/>
        <v>Week 4</v>
      </c>
    </row>
    <row r="1334" spans="1:21" x14ac:dyDescent="0.25">
      <c r="A1334" s="1">
        <v>1333</v>
      </c>
      <c r="B1334" s="1" t="s">
        <v>1408</v>
      </c>
      <c r="C1334" s="2">
        <v>46045</v>
      </c>
      <c r="D1334" s="1" t="s">
        <v>33</v>
      </c>
      <c r="E1334" s="1" t="s">
        <v>34</v>
      </c>
      <c r="F1334" s="1" t="s">
        <v>30</v>
      </c>
      <c r="G1334" s="1" t="s">
        <v>24</v>
      </c>
      <c r="H1334" s="1">
        <v>1</v>
      </c>
      <c r="I1334" s="1" t="s">
        <v>1409</v>
      </c>
      <c r="J1334" s="1"/>
      <c r="K1334" s="1">
        <v>9802510</v>
      </c>
      <c r="L1334" s="1">
        <v>0</v>
      </c>
      <c r="M1334" s="1">
        <v>0</v>
      </c>
      <c r="N1334" s="1">
        <v>1078276.1000000001</v>
      </c>
      <c r="O1334" s="1">
        <v>0</v>
      </c>
      <c r="P1334" s="1">
        <v>0</v>
      </c>
      <c r="Q1334" s="1">
        <v>0</v>
      </c>
      <c r="R1334" s="1">
        <v>10880786.1</v>
      </c>
      <c r="S1334" s="1">
        <v>1382239.7297298</v>
      </c>
      <c r="T1334" s="1">
        <v>14.100875487295999</v>
      </c>
      <c r="U1334" t="str">
        <f t="shared" si="20"/>
        <v>Week 4</v>
      </c>
    </row>
    <row r="1335" spans="1:21" x14ac:dyDescent="0.25">
      <c r="A1335" s="1">
        <v>1334</v>
      </c>
      <c r="B1335" s="1" t="s">
        <v>1410</v>
      </c>
      <c r="C1335" s="2">
        <v>46045</v>
      </c>
      <c r="D1335" s="1" t="s">
        <v>53</v>
      </c>
      <c r="E1335" s="1" t="s">
        <v>54</v>
      </c>
      <c r="F1335" s="1" t="s">
        <v>39</v>
      </c>
      <c r="G1335" s="1" t="s">
        <v>24</v>
      </c>
      <c r="H1335" s="1">
        <v>1</v>
      </c>
      <c r="I1335" s="1" t="s">
        <v>1411</v>
      </c>
      <c r="J1335" s="1"/>
      <c r="K1335" s="1">
        <v>23067385.702750001</v>
      </c>
      <c r="L1335" s="1">
        <v>0</v>
      </c>
      <c r="M1335" s="1">
        <v>0</v>
      </c>
      <c r="N1335" s="1">
        <v>2537412.4273024998</v>
      </c>
      <c r="O1335" s="1">
        <v>0</v>
      </c>
      <c r="P1335" s="1">
        <v>0</v>
      </c>
      <c r="Q1335" s="1">
        <v>0</v>
      </c>
      <c r="R1335" s="1">
        <v>25604798.130052</v>
      </c>
      <c r="S1335" s="1">
        <v>9877791.7450925</v>
      </c>
      <c r="T1335" s="1">
        <v>42.821461748544998</v>
      </c>
      <c r="U1335" t="str">
        <f t="shared" si="20"/>
        <v>Week 4</v>
      </c>
    </row>
    <row r="1336" spans="1:21" x14ac:dyDescent="0.25">
      <c r="A1336" s="1">
        <v>1335</v>
      </c>
      <c r="B1336" s="1" t="s">
        <v>1412</v>
      </c>
      <c r="C1336" s="2">
        <v>46045</v>
      </c>
      <c r="D1336" s="1" t="s">
        <v>98</v>
      </c>
      <c r="E1336" s="1" t="s">
        <v>99</v>
      </c>
      <c r="F1336" s="1" t="s">
        <v>260</v>
      </c>
      <c r="G1336" s="1" t="s">
        <v>24</v>
      </c>
      <c r="H1336" s="1">
        <v>1</v>
      </c>
      <c r="I1336" s="1" t="s">
        <v>1413</v>
      </c>
      <c r="J1336" s="1"/>
      <c r="K1336" s="1">
        <v>114426000</v>
      </c>
      <c r="L1336" s="1">
        <v>0</v>
      </c>
      <c r="M1336" s="1">
        <v>0</v>
      </c>
      <c r="N1336" s="1">
        <v>12586860</v>
      </c>
      <c r="O1336" s="1">
        <v>0</v>
      </c>
      <c r="P1336" s="1">
        <v>0</v>
      </c>
      <c r="Q1336" s="1">
        <v>0</v>
      </c>
      <c r="R1336" s="1">
        <v>127012860</v>
      </c>
      <c r="S1336" s="1">
        <v>32195530.491891999</v>
      </c>
      <c r="T1336" s="1">
        <v>28.136551563360999</v>
      </c>
      <c r="U1336" t="str">
        <f t="shared" si="20"/>
        <v>Week 4</v>
      </c>
    </row>
    <row r="1337" spans="1:21" x14ac:dyDescent="0.25">
      <c r="A1337" s="1">
        <v>1336</v>
      </c>
      <c r="B1337" s="1" t="s">
        <v>1414</v>
      </c>
      <c r="C1337" s="2">
        <v>46044</v>
      </c>
      <c r="D1337" s="1" t="s">
        <v>21</v>
      </c>
      <c r="E1337" s="1" t="s">
        <v>22</v>
      </c>
      <c r="F1337" s="1" t="s">
        <v>30</v>
      </c>
      <c r="G1337" s="1" t="s">
        <v>24</v>
      </c>
      <c r="H1337" s="1">
        <v>1</v>
      </c>
      <c r="I1337" s="1" t="s">
        <v>1415</v>
      </c>
      <c r="J1337" s="1" t="s">
        <v>26</v>
      </c>
      <c r="K1337" s="1">
        <v>8967749.6999999993</v>
      </c>
      <c r="L1337" s="1">
        <v>0</v>
      </c>
      <c r="M1337" s="1">
        <v>0</v>
      </c>
      <c r="N1337" s="1">
        <v>986452.46699999995</v>
      </c>
      <c r="O1337" s="1">
        <v>0</v>
      </c>
      <c r="P1337" s="1">
        <v>0</v>
      </c>
      <c r="Q1337" s="1">
        <v>0</v>
      </c>
      <c r="R1337" s="1">
        <v>9954202.1669999994</v>
      </c>
      <c r="S1337" s="1">
        <v>3914036.7630631002</v>
      </c>
      <c r="T1337" s="1">
        <v>43.645695899197001</v>
      </c>
      <c r="U1337" t="str">
        <f t="shared" si="20"/>
        <v>Week 4</v>
      </c>
    </row>
    <row r="1338" spans="1:21" x14ac:dyDescent="0.25">
      <c r="A1338" s="1">
        <v>1337</v>
      </c>
      <c r="B1338" s="1" t="s">
        <v>1416</v>
      </c>
      <c r="C1338" s="2">
        <v>46044</v>
      </c>
      <c r="D1338" s="1" t="s">
        <v>21</v>
      </c>
      <c r="E1338" s="1" t="s">
        <v>22</v>
      </c>
      <c r="F1338" s="1" t="s">
        <v>30</v>
      </c>
      <c r="G1338" s="1" t="s">
        <v>24</v>
      </c>
      <c r="H1338" s="1">
        <v>1</v>
      </c>
      <c r="I1338" s="1" t="s">
        <v>1417</v>
      </c>
      <c r="J1338" s="1" t="s">
        <v>26</v>
      </c>
      <c r="K1338" s="1">
        <v>2576792.4</v>
      </c>
      <c r="L1338" s="1">
        <v>0</v>
      </c>
      <c r="M1338" s="1">
        <v>0</v>
      </c>
      <c r="N1338" s="1">
        <v>283447.16399999999</v>
      </c>
      <c r="O1338" s="1">
        <v>0</v>
      </c>
      <c r="P1338" s="1">
        <v>0</v>
      </c>
      <c r="Q1338" s="1">
        <v>0</v>
      </c>
      <c r="R1338" s="1">
        <v>2860239.5639999998</v>
      </c>
      <c r="S1338" s="1">
        <v>682006.78703123995</v>
      </c>
      <c r="T1338" s="1">
        <v>26.467277186600001</v>
      </c>
      <c r="U1338" t="str">
        <f t="shared" si="20"/>
        <v>Week 4</v>
      </c>
    </row>
    <row r="1339" spans="1:21" x14ac:dyDescent="0.25">
      <c r="A1339" s="1">
        <v>1338</v>
      </c>
      <c r="B1339" s="1" t="s">
        <v>1418</v>
      </c>
      <c r="C1339" s="2">
        <v>46044</v>
      </c>
      <c r="D1339" s="1" t="s">
        <v>53</v>
      </c>
      <c r="E1339" s="1" t="s">
        <v>54</v>
      </c>
      <c r="F1339" s="1" t="s">
        <v>30</v>
      </c>
      <c r="G1339" s="1" t="s">
        <v>24</v>
      </c>
      <c r="H1339" s="1">
        <v>1</v>
      </c>
      <c r="I1339" s="1" t="s">
        <v>1419</v>
      </c>
      <c r="J1339" s="1"/>
      <c r="K1339" s="1">
        <v>4871531</v>
      </c>
      <c r="L1339" s="1">
        <v>0</v>
      </c>
      <c r="M1339" s="1">
        <v>0</v>
      </c>
      <c r="N1339" s="1">
        <v>535868.41</v>
      </c>
      <c r="O1339" s="1">
        <v>0</v>
      </c>
      <c r="P1339" s="1">
        <v>0</v>
      </c>
      <c r="Q1339" s="1">
        <v>0</v>
      </c>
      <c r="R1339" s="1">
        <v>5407399.4100000001</v>
      </c>
      <c r="S1339" s="1">
        <v>1011170.63964</v>
      </c>
      <c r="T1339" s="1">
        <v>20.756732116454</v>
      </c>
      <c r="U1339" t="str">
        <f t="shared" si="20"/>
        <v>Week 4</v>
      </c>
    </row>
    <row r="1340" spans="1:21" x14ac:dyDescent="0.25">
      <c r="A1340" s="1">
        <v>1339</v>
      </c>
      <c r="B1340" s="1" t="s">
        <v>1420</v>
      </c>
      <c r="C1340" s="2">
        <v>46044</v>
      </c>
      <c r="D1340" s="1" t="s">
        <v>33</v>
      </c>
      <c r="E1340" s="1" t="s">
        <v>34</v>
      </c>
      <c r="F1340" s="1" t="s">
        <v>30</v>
      </c>
      <c r="G1340" s="1" t="s">
        <v>24</v>
      </c>
      <c r="H1340" s="1">
        <v>1</v>
      </c>
      <c r="I1340" s="1" t="s">
        <v>1421</v>
      </c>
      <c r="J1340" s="1"/>
      <c r="K1340" s="1">
        <v>18337390</v>
      </c>
      <c r="L1340" s="1">
        <v>0</v>
      </c>
      <c r="M1340" s="1">
        <v>0</v>
      </c>
      <c r="N1340" s="1">
        <v>2017112.9</v>
      </c>
      <c r="O1340" s="1">
        <v>0</v>
      </c>
      <c r="P1340" s="1">
        <v>0</v>
      </c>
      <c r="Q1340" s="1">
        <v>0</v>
      </c>
      <c r="R1340" s="1">
        <v>20354502.899999999</v>
      </c>
      <c r="S1340" s="1">
        <v>2360979.3198198001</v>
      </c>
      <c r="T1340" s="1">
        <v>12.875220082137</v>
      </c>
      <c r="U1340" t="str">
        <f t="shared" si="20"/>
        <v>Week 4</v>
      </c>
    </row>
    <row r="1341" spans="1:21" x14ac:dyDescent="0.25">
      <c r="A1341" s="1">
        <v>1340</v>
      </c>
      <c r="B1341" s="1" t="s">
        <v>1422</v>
      </c>
      <c r="C1341" s="2">
        <v>46044</v>
      </c>
      <c r="D1341" s="1" t="s">
        <v>53</v>
      </c>
      <c r="E1341" s="1" t="s">
        <v>54</v>
      </c>
      <c r="F1341" s="1" t="s">
        <v>30</v>
      </c>
      <c r="G1341" s="1" t="s">
        <v>24</v>
      </c>
      <c r="H1341" s="1">
        <v>1</v>
      </c>
      <c r="I1341" s="1" t="s">
        <v>957</v>
      </c>
      <c r="J1341" s="1"/>
      <c r="K1341" s="1">
        <v>48643456</v>
      </c>
      <c r="L1341" s="1">
        <v>0</v>
      </c>
      <c r="M1341" s="1">
        <v>0</v>
      </c>
      <c r="N1341" s="1">
        <v>5350780.16</v>
      </c>
      <c r="O1341" s="1">
        <v>0</v>
      </c>
      <c r="P1341" s="1">
        <v>0</v>
      </c>
      <c r="Q1341" s="1">
        <v>0</v>
      </c>
      <c r="R1341" s="1">
        <v>53994236.159999996</v>
      </c>
      <c r="S1341" s="1">
        <v>27104933.477480002</v>
      </c>
      <c r="T1341" s="1">
        <v>55.721644197073999</v>
      </c>
      <c r="U1341" t="str">
        <f t="shared" si="20"/>
        <v>Week 4</v>
      </c>
    </row>
    <row r="1342" spans="1:21" x14ac:dyDescent="0.25">
      <c r="A1342" s="1">
        <v>1341</v>
      </c>
      <c r="B1342" s="1" t="s">
        <v>1423</v>
      </c>
      <c r="C1342" s="2">
        <v>46044</v>
      </c>
      <c r="D1342" s="1" t="s">
        <v>53</v>
      </c>
      <c r="E1342" s="1" t="s">
        <v>54</v>
      </c>
      <c r="F1342" s="1" t="s">
        <v>23</v>
      </c>
      <c r="G1342" s="1" t="s">
        <v>24</v>
      </c>
      <c r="H1342" s="1">
        <v>1</v>
      </c>
      <c r="I1342" s="1" t="s">
        <v>1424</v>
      </c>
      <c r="J1342" s="1"/>
      <c r="K1342" s="1">
        <v>4871531</v>
      </c>
      <c r="L1342" s="1">
        <v>0</v>
      </c>
      <c r="M1342" s="1">
        <v>0</v>
      </c>
      <c r="N1342" s="1">
        <v>535868.41</v>
      </c>
      <c r="O1342" s="1">
        <v>0</v>
      </c>
      <c r="P1342" s="1">
        <v>0</v>
      </c>
      <c r="Q1342" s="1">
        <v>0</v>
      </c>
      <c r="R1342" s="1">
        <v>5407399.4100000001</v>
      </c>
      <c r="S1342" s="1">
        <v>1011170.63964</v>
      </c>
      <c r="T1342" s="1">
        <v>20.756732116454</v>
      </c>
      <c r="U1342" t="str">
        <f t="shared" si="20"/>
        <v>Week 4</v>
      </c>
    </row>
    <row r="1343" spans="1:21" x14ac:dyDescent="0.25">
      <c r="A1343" s="1">
        <v>1342</v>
      </c>
      <c r="B1343" s="1" t="s">
        <v>1426</v>
      </c>
      <c r="C1343" s="2">
        <v>46044</v>
      </c>
      <c r="D1343" s="1" t="s">
        <v>37</v>
      </c>
      <c r="E1343" s="1" t="s">
        <v>34</v>
      </c>
      <c r="F1343" s="1" t="s">
        <v>30</v>
      </c>
      <c r="G1343" s="1" t="s">
        <v>24</v>
      </c>
      <c r="H1343" s="1">
        <v>1</v>
      </c>
      <c r="I1343" s="1" t="s">
        <v>1427</v>
      </c>
      <c r="J1343" s="1"/>
      <c r="K1343" s="1">
        <v>1452360</v>
      </c>
      <c r="L1343" s="1">
        <v>0</v>
      </c>
      <c r="M1343" s="1">
        <v>0</v>
      </c>
      <c r="N1343" s="1">
        <v>159759.6</v>
      </c>
      <c r="O1343" s="1">
        <v>0</v>
      </c>
      <c r="P1343" s="1">
        <v>0</v>
      </c>
      <c r="Q1343" s="1">
        <v>0</v>
      </c>
      <c r="R1343" s="1">
        <v>1612119.6</v>
      </c>
      <c r="S1343" s="1">
        <v>473305.95</v>
      </c>
      <c r="T1343" s="1">
        <v>32.588748657358003</v>
      </c>
      <c r="U1343" t="str">
        <f t="shared" si="20"/>
        <v>Week 4</v>
      </c>
    </row>
    <row r="1344" spans="1:21" x14ac:dyDescent="0.25">
      <c r="A1344" s="1">
        <v>1343</v>
      </c>
      <c r="B1344" s="1" t="s">
        <v>2265</v>
      </c>
      <c r="C1344" s="2">
        <v>46044</v>
      </c>
      <c r="D1344" s="1" t="s">
        <v>2210</v>
      </c>
      <c r="E1344" s="1" t="s">
        <v>192</v>
      </c>
      <c r="F1344" s="1" t="s">
        <v>30</v>
      </c>
      <c r="G1344" s="1" t="s">
        <v>24</v>
      </c>
      <c r="H1344" s="1">
        <v>1</v>
      </c>
      <c r="I1344" s="1" t="s">
        <v>2266</v>
      </c>
      <c r="J1344" s="1"/>
      <c r="K1344" s="1">
        <v>273115156</v>
      </c>
      <c r="L1344" s="1">
        <v>0</v>
      </c>
      <c r="M1344" s="1">
        <v>0</v>
      </c>
      <c r="N1344" s="1">
        <v>30042667.16</v>
      </c>
      <c r="O1344" s="1">
        <v>0</v>
      </c>
      <c r="P1344" s="1">
        <v>0</v>
      </c>
      <c r="Q1344" s="1">
        <v>0</v>
      </c>
      <c r="R1344" s="1">
        <v>303157823.16000003</v>
      </c>
      <c r="S1344" s="1">
        <v>83025371</v>
      </c>
      <c r="T1344" s="1">
        <v>30.399400830028998</v>
      </c>
      <c r="U1344" t="str">
        <f t="shared" si="20"/>
        <v>Week 4</v>
      </c>
    </row>
    <row r="1345" spans="1:21" x14ac:dyDescent="0.25">
      <c r="A1345" s="1">
        <v>1344</v>
      </c>
      <c r="B1345" s="1" t="s">
        <v>1428</v>
      </c>
      <c r="C1345" s="2">
        <v>46044</v>
      </c>
      <c r="D1345" s="1" t="s">
        <v>306</v>
      </c>
      <c r="E1345" s="1" t="s">
        <v>99</v>
      </c>
      <c r="F1345" s="1" t="s">
        <v>23</v>
      </c>
      <c r="G1345" s="1" t="s">
        <v>24</v>
      </c>
      <c r="H1345" s="1">
        <v>1</v>
      </c>
      <c r="I1345" s="1" t="s">
        <v>1429</v>
      </c>
      <c r="J1345" s="1"/>
      <c r="K1345" s="1">
        <v>159495000</v>
      </c>
      <c r="L1345" s="1">
        <v>0</v>
      </c>
      <c r="M1345" s="1">
        <v>0</v>
      </c>
      <c r="N1345" s="1">
        <v>17544450</v>
      </c>
      <c r="O1345" s="1">
        <v>0</v>
      </c>
      <c r="P1345" s="1">
        <v>0</v>
      </c>
      <c r="Q1345" s="1">
        <v>0</v>
      </c>
      <c r="R1345" s="1">
        <v>177039450</v>
      </c>
      <c r="S1345" s="1">
        <v>46193385</v>
      </c>
      <c r="T1345" s="1">
        <v>28.962277814351999</v>
      </c>
      <c r="U1345" t="str">
        <f t="shared" si="20"/>
        <v>Week 4</v>
      </c>
    </row>
    <row r="1346" spans="1:21" x14ac:dyDescent="0.25">
      <c r="A1346" s="1">
        <v>1345</v>
      </c>
      <c r="B1346" s="1" t="s">
        <v>1430</v>
      </c>
      <c r="C1346" s="2">
        <v>46044</v>
      </c>
      <c r="D1346" s="1" t="s">
        <v>33</v>
      </c>
      <c r="E1346" s="1" t="s">
        <v>34</v>
      </c>
      <c r="F1346" s="1" t="s">
        <v>39</v>
      </c>
      <c r="G1346" s="1" t="s">
        <v>24</v>
      </c>
      <c r="H1346" s="1">
        <v>1</v>
      </c>
      <c r="I1346" s="1" t="s">
        <v>661</v>
      </c>
      <c r="J1346" s="1"/>
      <c r="K1346" s="1">
        <v>285778559.30000001</v>
      </c>
      <c r="L1346" s="1">
        <v>0</v>
      </c>
      <c r="M1346" s="1">
        <v>0</v>
      </c>
      <c r="N1346" s="1">
        <v>0</v>
      </c>
      <c r="O1346" s="1">
        <v>0</v>
      </c>
      <c r="P1346" s="1">
        <v>0</v>
      </c>
      <c r="Q1346" s="1">
        <v>0</v>
      </c>
      <c r="R1346" s="1">
        <v>285778559.30000001</v>
      </c>
      <c r="S1346" s="1">
        <v>66896540.380000003</v>
      </c>
      <c r="T1346" s="1">
        <v>23.408523208969999</v>
      </c>
      <c r="U1346" t="str">
        <f t="shared" si="20"/>
        <v>Week 4</v>
      </c>
    </row>
    <row r="1347" spans="1:21" x14ac:dyDescent="0.25">
      <c r="A1347" s="1">
        <v>1346</v>
      </c>
      <c r="B1347" s="1" t="s">
        <v>1431</v>
      </c>
      <c r="C1347" s="2">
        <v>46044</v>
      </c>
      <c r="D1347" s="1" t="s">
        <v>202</v>
      </c>
      <c r="E1347" s="1" t="s">
        <v>203</v>
      </c>
      <c r="F1347" s="1" t="s">
        <v>30</v>
      </c>
      <c r="G1347" s="1" t="s">
        <v>24</v>
      </c>
      <c r="H1347" s="1">
        <v>1</v>
      </c>
      <c r="I1347" s="1" t="s">
        <v>1432</v>
      </c>
      <c r="J1347" s="1" t="s">
        <v>26</v>
      </c>
      <c r="K1347" s="1">
        <v>21413700</v>
      </c>
      <c r="L1347" s="1">
        <v>0</v>
      </c>
      <c r="M1347" s="1">
        <v>0</v>
      </c>
      <c r="N1347" s="1">
        <v>2355507</v>
      </c>
      <c r="O1347" s="1">
        <v>0</v>
      </c>
      <c r="P1347" s="1">
        <v>0</v>
      </c>
      <c r="Q1347" s="1">
        <v>0</v>
      </c>
      <c r="R1347" s="1">
        <v>23769207</v>
      </c>
      <c r="S1347" s="1">
        <v>623700</v>
      </c>
      <c r="T1347" s="1">
        <v>2.9126213592233001</v>
      </c>
      <c r="U1347" t="str">
        <f t="shared" ref="U1347:U1410" si="21">"Week "&amp;IF(DAY(C1347)&gt;=24,4,INT((DAY(C1347)-1)/7)+1)</f>
        <v>Week 4</v>
      </c>
    </row>
    <row r="1348" spans="1:21" x14ac:dyDescent="0.25">
      <c r="A1348" s="1">
        <v>1347</v>
      </c>
      <c r="B1348" s="1" t="s">
        <v>1433</v>
      </c>
      <c r="C1348" s="2">
        <v>46044</v>
      </c>
      <c r="D1348" s="1" t="s">
        <v>53</v>
      </c>
      <c r="E1348" s="1" t="s">
        <v>54</v>
      </c>
      <c r="F1348" s="1" t="s">
        <v>23</v>
      </c>
      <c r="G1348" s="1" t="s">
        <v>24</v>
      </c>
      <c r="H1348" s="1">
        <v>1</v>
      </c>
      <c r="I1348" s="1" t="s">
        <v>1434</v>
      </c>
      <c r="J1348" s="1"/>
      <c r="K1348" s="1">
        <v>658992</v>
      </c>
      <c r="L1348" s="1">
        <v>0</v>
      </c>
      <c r="M1348" s="1">
        <v>0</v>
      </c>
      <c r="N1348" s="1">
        <v>72489.119999999995</v>
      </c>
      <c r="O1348" s="1">
        <v>0</v>
      </c>
      <c r="P1348" s="1">
        <v>0</v>
      </c>
      <c r="Q1348" s="1">
        <v>0</v>
      </c>
      <c r="R1348" s="1">
        <v>731481.12</v>
      </c>
      <c r="S1348" s="1">
        <v>404583.86</v>
      </c>
      <c r="T1348" s="1">
        <v>61.394350766018</v>
      </c>
      <c r="U1348" t="str">
        <f t="shared" si="21"/>
        <v>Week 4</v>
      </c>
    </row>
    <row r="1349" spans="1:21" x14ac:dyDescent="0.25">
      <c r="A1349" s="1">
        <v>1348</v>
      </c>
      <c r="B1349" s="1" t="s">
        <v>1435</v>
      </c>
      <c r="C1349" s="2">
        <v>46043</v>
      </c>
      <c r="D1349" s="1" t="s">
        <v>421</v>
      </c>
      <c r="E1349" s="1" t="s">
        <v>192</v>
      </c>
      <c r="F1349" s="1" t="s">
        <v>23</v>
      </c>
      <c r="G1349" s="1" t="s">
        <v>24</v>
      </c>
      <c r="H1349" s="1">
        <v>1</v>
      </c>
      <c r="I1349" s="1" t="s">
        <v>1436</v>
      </c>
      <c r="J1349" s="1"/>
      <c r="K1349" s="1">
        <v>200000000</v>
      </c>
      <c r="L1349" s="1">
        <v>0</v>
      </c>
      <c r="M1349" s="1">
        <v>0</v>
      </c>
      <c r="N1349" s="1">
        <v>22000000</v>
      </c>
      <c r="O1349" s="1">
        <v>0</v>
      </c>
      <c r="P1349" s="1">
        <v>0</v>
      </c>
      <c r="Q1349" s="1">
        <v>0</v>
      </c>
      <c r="R1349" s="1">
        <v>222000000</v>
      </c>
      <c r="S1349" s="1">
        <v>35000000</v>
      </c>
      <c r="T1349" s="1">
        <v>17.5</v>
      </c>
      <c r="U1349" t="str">
        <f t="shared" si="21"/>
        <v>Week 3</v>
      </c>
    </row>
    <row r="1350" spans="1:21" x14ac:dyDescent="0.25">
      <c r="A1350" s="1">
        <v>1349</v>
      </c>
      <c r="B1350" s="1" t="s">
        <v>1437</v>
      </c>
      <c r="C1350" s="2">
        <v>46043</v>
      </c>
      <c r="D1350" s="1" t="s">
        <v>184</v>
      </c>
      <c r="E1350" s="1" t="s">
        <v>116</v>
      </c>
      <c r="F1350" s="1" t="s">
        <v>260</v>
      </c>
      <c r="G1350" s="1" t="s">
        <v>24</v>
      </c>
      <c r="H1350" s="1">
        <v>1</v>
      </c>
      <c r="I1350" s="1" t="s">
        <v>1438</v>
      </c>
      <c r="J1350" s="1" t="s">
        <v>26</v>
      </c>
      <c r="K1350" s="1">
        <v>22904145</v>
      </c>
      <c r="L1350" s="1">
        <v>0</v>
      </c>
      <c r="M1350" s="1">
        <v>0</v>
      </c>
      <c r="N1350" s="1">
        <v>2519455.9500000002</v>
      </c>
      <c r="O1350" s="1">
        <v>0</v>
      </c>
      <c r="P1350" s="1">
        <v>0</v>
      </c>
      <c r="Q1350" s="1">
        <v>0</v>
      </c>
      <c r="R1350" s="1">
        <v>25423600.949999999</v>
      </c>
      <c r="S1350" s="1">
        <v>5020676.54</v>
      </c>
      <c r="T1350" s="1">
        <v>21.920384017827001</v>
      </c>
      <c r="U1350" t="str">
        <f t="shared" si="21"/>
        <v>Week 3</v>
      </c>
    </row>
    <row r="1351" spans="1:21" x14ac:dyDescent="0.25">
      <c r="A1351" s="1">
        <v>1350</v>
      </c>
      <c r="B1351" s="1" t="s">
        <v>1439</v>
      </c>
      <c r="C1351" s="2">
        <v>46043</v>
      </c>
      <c r="D1351" s="1" t="s">
        <v>33</v>
      </c>
      <c r="E1351" s="1" t="s">
        <v>34</v>
      </c>
      <c r="F1351" s="1" t="s">
        <v>865</v>
      </c>
      <c r="G1351" s="1" t="s">
        <v>24</v>
      </c>
      <c r="H1351" s="1">
        <v>1</v>
      </c>
      <c r="I1351" s="1" t="s">
        <v>1440</v>
      </c>
      <c r="J1351" s="1"/>
      <c r="K1351" s="1">
        <v>59049911.486500002</v>
      </c>
      <c r="L1351" s="1">
        <v>0</v>
      </c>
      <c r="M1351" s="1">
        <v>0</v>
      </c>
      <c r="N1351" s="1">
        <v>6495490.2635150002</v>
      </c>
      <c r="O1351" s="1">
        <v>0</v>
      </c>
      <c r="P1351" s="1">
        <v>0</v>
      </c>
      <c r="Q1351" s="1">
        <v>0</v>
      </c>
      <c r="R1351" s="1">
        <v>65545401.750014998</v>
      </c>
      <c r="S1351" s="1">
        <v>16443483.108122</v>
      </c>
      <c r="T1351" s="1">
        <v>27.846753185872998</v>
      </c>
      <c r="U1351" t="str">
        <f t="shared" si="21"/>
        <v>Week 3</v>
      </c>
    </row>
    <row r="1352" spans="1:21" x14ac:dyDescent="0.25">
      <c r="A1352" s="1">
        <v>1351</v>
      </c>
      <c r="B1352" s="1" t="s">
        <v>1441</v>
      </c>
      <c r="C1352" s="2">
        <v>46043</v>
      </c>
      <c r="D1352" s="1" t="s">
        <v>98</v>
      </c>
      <c r="E1352" s="1" t="s">
        <v>99</v>
      </c>
      <c r="F1352" s="1" t="s">
        <v>23</v>
      </c>
      <c r="G1352" s="1" t="s">
        <v>24</v>
      </c>
      <c r="H1352" s="1">
        <v>1</v>
      </c>
      <c r="I1352" s="1" t="s">
        <v>1442</v>
      </c>
      <c r="J1352" s="1"/>
      <c r="K1352" s="1">
        <v>9915000</v>
      </c>
      <c r="L1352" s="1">
        <v>0</v>
      </c>
      <c r="M1352" s="1">
        <v>0</v>
      </c>
      <c r="N1352" s="1">
        <v>1090650</v>
      </c>
      <c r="O1352" s="1">
        <v>0</v>
      </c>
      <c r="P1352" s="1">
        <v>0</v>
      </c>
      <c r="Q1352" s="1">
        <v>0</v>
      </c>
      <c r="R1352" s="1">
        <v>11005650</v>
      </c>
      <c r="S1352" s="1">
        <v>2189774</v>
      </c>
      <c r="T1352" s="1">
        <v>22.085466464951999</v>
      </c>
      <c r="U1352" t="str">
        <f t="shared" si="21"/>
        <v>Week 3</v>
      </c>
    </row>
    <row r="1353" spans="1:21" x14ac:dyDescent="0.25">
      <c r="A1353" s="1">
        <v>1352</v>
      </c>
      <c r="B1353" s="1" t="s">
        <v>1443</v>
      </c>
      <c r="C1353" s="2">
        <v>46043</v>
      </c>
      <c r="D1353" s="1" t="s">
        <v>98</v>
      </c>
      <c r="E1353" s="1" t="s">
        <v>99</v>
      </c>
      <c r="F1353" s="1" t="s">
        <v>23</v>
      </c>
      <c r="G1353" s="1" t="s">
        <v>24</v>
      </c>
      <c r="H1353" s="1">
        <v>1</v>
      </c>
      <c r="I1353" s="1" t="s">
        <v>1444</v>
      </c>
      <c r="J1353" s="1"/>
      <c r="K1353" s="1">
        <v>6300000</v>
      </c>
      <c r="L1353" s="1">
        <v>0</v>
      </c>
      <c r="M1353" s="1">
        <v>0</v>
      </c>
      <c r="N1353" s="1">
        <v>693000</v>
      </c>
      <c r="O1353" s="1">
        <v>0</v>
      </c>
      <c r="P1353" s="1">
        <v>0</v>
      </c>
      <c r="Q1353" s="1">
        <v>0</v>
      </c>
      <c r="R1353" s="1">
        <v>6993000</v>
      </c>
      <c r="S1353" s="1">
        <v>1640315.32</v>
      </c>
      <c r="T1353" s="1">
        <v>26.036751111110998</v>
      </c>
      <c r="U1353" t="str">
        <f t="shared" si="21"/>
        <v>Week 3</v>
      </c>
    </row>
    <row r="1354" spans="1:21" x14ac:dyDescent="0.25">
      <c r="A1354" s="1">
        <v>1353</v>
      </c>
      <c r="B1354" s="1" t="s">
        <v>1445</v>
      </c>
      <c r="C1354" s="2">
        <v>46043</v>
      </c>
      <c r="D1354" s="1" t="s">
        <v>184</v>
      </c>
      <c r="E1354" s="1" t="s">
        <v>116</v>
      </c>
      <c r="F1354" s="1" t="s">
        <v>23</v>
      </c>
      <c r="G1354" s="1" t="s">
        <v>24</v>
      </c>
      <c r="H1354" s="1">
        <v>1</v>
      </c>
      <c r="I1354" s="1" t="s">
        <v>1446</v>
      </c>
      <c r="J1354" s="1" t="s">
        <v>26</v>
      </c>
      <c r="K1354" s="1">
        <v>4700000</v>
      </c>
      <c r="L1354" s="1">
        <v>0</v>
      </c>
      <c r="M1354" s="1">
        <v>0</v>
      </c>
      <c r="N1354" s="1">
        <v>517000</v>
      </c>
      <c r="O1354" s="1">
        <v>0</v>
      </c>
      <c r="P1354" s="1">
        <v>0</v>
      </c>
      <c r="Q1354" s="1">
        <v>0</v>
      </c>
      <c r="R1354" s="1">
        <v>5217000</v>
      </c>
      <c r="S1354" s="1">
        <v>871000</v>
      </c>
      <c r="T1354" s="1">
        <v>18.531914893617</v>
      </c>
      <c r="U1354" t="str">
        <f t="shared" si="21"/>
        <v>Week 3</v>
      </c>
    </row>
    <row r="1355" spans="1:21" x14ac:dyDescent="0.25">
      <c r="A1355" s="1">
        <v>1354</v>
      </c>
      <c r="B1355" s="1" t="s">
        <v>1447</v>
      </c>
      <c r="C1355" s="2">
        <v>46043</v>
      </c>
      <c r="D1355" s="1" t="s">
        <v>33</v>
      </c>
      <c r="E1355" s="1" t="s">
        <v>34</v>
      </c>
      <c r="F1355" s="1" t="s">
        <v>23</v>
      </c>
      <c r="G1355" s="1" t="s">
        <v>24</v>
      </c>
      <c r="H1355" s="1">
        <v>1</v>
      </c>
      <c r="I1355" s="1" t="s">
        <v>1440</v>
      </c>
      <c r="J1355" s="1"/>
      <c r="K1355" s="1">
        <v>271695179.42856997</v>
      </c>
      <c r="L1355" s="1">
        <v>0</v>
      </c>
      <c r="M1355" s="1">
        <v>0</v>
      </c>
      <c r="N1355" s="1">
        <v>29886469.737142999</v>
      </c>
      <c r="O1355" s="1">
        <v>0</v>
      </c>
      <c r="P1355" s="1">
        <v>0</v>
      </c>
      <c r="Q1355" s="1">
        <v>0</v>
      </c>
      <c r="R1355" s="1">
        <v>301581649.16570997</v>
      </c>
      <c r="S1355" s="1">
        <v>55366426.876019001</v>
      </c>
      <c r="T1355" s="1">
        <v>20.378141044852001</v>
      </c>
      <c r="U1355" t="str">
        <f t="shared" si="21"/>
        <v>Week 3</v>
      </c>
    </row>
    <row r="1356" spans="1:21" x14ac:dyDescent="0.25">
      <c r="A1356" s="1">
        <v>1355</v>
      </c>
      <c r="B1356" s="1" t="s">
        <v>1448</v>
      </c>
      <c r="C1356" s="2">
        <v>46043</v>
      </c>
      <c r="D1356" s="1" t="s">
        <v>37</v>
      </c>
      <c r="E1356" s="1" t="s">
        <v>34</v>
      </c>
      <c r="F1356" s="1" t="s">
        <v>30</v>
      </c>
      <c r="G1356" s="1" t="s">
        <v>24</v>
      </c>
      <c r="H1356" s="1">
        <v>1</v>
      </c>
      <c r="I1356" s="1" t="s">
        <v>1449</v>
      </c>
      <c r="J1356" s="1"/>
      <c r="K1356" s="1">
        <v>539000</v>
      </c>
      <c r="L1356" s="1">
        <v>0</v>
      </c>
      <c r="M1356" s="1">
        <v>0</v>
      </c>
      <c r="N1356" s="1">
        <v>59290</v>
      </c>
      <c r="O1356" s="1">
        <v>0</v>
      </c>
      <c r="P1356" s="1">
        <v>0</v>
      </c>
      <c r="Q1356" s="1">
        <v>0</v>
      </c>
      <c r="R1356" s="1">
        <v>598290</v>
      </c>
      <c r="S1356" s="1">
        <v>539000</v>
      </c>
      <c r="T1356" s="1">
        <v>0</v>
      </c>
      <c r="U1356" t="str">
        <f t="shared" si="21"/>
        <v>Week 3</v>
      </c>
    </row>
    <row r="1357" spans="1:21" x14ac:dyDescent="0.25">
      <c r="A1357" s="1">
        <v>1356</v>
      </c>
      <c r="B1357" s="1" t="s">
        <v>1450</v>
      </c>
      <c r="C1357" s="2">
        <v>46043</v>
      </c>
      <c r="D1357" s="1" t="s">
        <v>37</v>
      </c>
      <c r="E1357" s="1" t="s">
        <v>34</v>
      </c>
      <c r="F1357" s="1" t="s">
        <v>30</v>
      </c>
      <c r="G1357" s="1" t="s">
        <v>24</v>
      </c>
      <c r="H1357" s="1">
        <v>1</v>
      </c>
      <c r="I1357" s="1" t="s">
        <v>1451</v>
      </c>
      <c r="J1357" s="1"/>
      <c r="K1357" s="1">
        <v>1078000</v>
      </c>
      <c r="L1357" s="1">
        <v>0</v>
      </c>
      <c r="M1357" s="1">
        <v>0</v>
      </c>
      <c r="N1357" s="1">
        <v>118580</v>
      </c>
      <c r="O1357" s="1">
        <v>0</v>
      </c>
      <c r="P1357" s="1">
        <v>0</v>
      </c>
      <c r="Q1357" s="1">
        <v>0</v>
      </c>
      <c r="R1357" s="1">
        <v>1196580</v>
      </c>
      <c r="S1357" s="1">
        <v>1078000</v>
      </c>
      <c r="T1357" s="1">
        <v>100</v>
      </c>
      <c r="U1357" t="str">
        <f t="shared" si="21"/>
        <v>Week 3</v>
      </c>
    </row>
    <row r="1358" spans="1:21" x14ac:dyDescent="0.25">
      <c r="A1358" s="1">
        <v>1357</v>
      </c>
      <c r="B1358" s="1" t="s">
        <v>1452</v>
      </c>
      <c r="C1358" s="2">
        <v>46043</v>
      </c>
      <c r="D1358" s="1" t="s">
        <v>2979</v>
      </c>
      <c r="E1358" s="1" t="s">
        <v>203</v>
      </c>
      <c r="F1358" s="1" t="s">
        <v>30</v>
      </c>
      <c r="G1358" s="1" t="s">
        <v>24</v>
      </c>
      <c r="H1358" s="1">
        <v>1</v>
      </c>
      <c r="I1358" s="1" t="s">
        <v>1453</v>
      </c>
      <c r="J1358" s="1"/>
      <c r="K1358" s="1">
        <v>7129850</v>
      </c>
      <c r="L1358" s="1">
        <v>0</v>
      </c>
      <c r="M1358" s="1">
        <v>0</v>
      </c>
      <c r="N1358" s="1">
        <v>784283.5</v>
      </c>
      <c r="O1358" s="1">
        <v>0</v>
      </c>
      <c r="P1358" s="1">
        <v>0</v>
      </c>
      <c r="Q1358" s="1">
        <v>0</v>
      </c>
      <c r="R1358" s="1">
        <v>7914133.5</v>
      </c>
      <c r="S1358" s="1">
        <v>2640203.36</v>
      </c>
      <c r="T1358" s="1">
        <v>37.030279178383999</v>
      </c>
      <c r="U1358" t="str">
        <f t="shared" si="21"/>
        <v>Week 3</v>
      </c>
    </row>
    <row r="1359" spans="1:21" x14ac:dyDescent="0.25">
      <c r="A1359" s="1">
        <v>1358</v>
      </c>
      <c r="B1359" s="1" t="s">
        <v>1454</v>
      </c>
      <c r="C1359" s="2">
        <v>46043</v>
      </c>
      <c r="D1359" s="1" t="s">
        <v>2979</v>
      </c>
      <c r="E1359" s="1" t="s">
        <v>203</v>
      </c>
      <c r="F1359" s="1" t="s">
        <v>23</v>
      </c>
      <c r="G1359" s="1" t="s">
        <v>24</v>
      </c>
      <c r="H1359" s="1">
        <v>1</v>
      </c>
      <c r="I1359" s="1" t="s">
        <v>1455</v>
      </c>
      <c r="J1359" s="1" t="s">
        <v>26</v>
      </c>
      <c r="K1359" s="1">
        <v>64500000</v>
      </c>
      <c r="L1359" s="1">
        <v>0</v>
      </c>
      <c r="M1359" s="1">
        <v>0</v>
      </c>
      <c r="N1359" s="1">
        <v>7095000</v>
      </c>
      <c r="O1359" s="1">
        <v>0</v>
      </c>
      <c r="P1359" s="1">
        <v>0</v>
      </c>
      <c r="Q1359" s="1">
        <v>0</v>
      </c>
      <c r="R1359" s="1">
        <v>71595000</v>
      </c>
      <c r="S1359" s="1">
        <v>22500000</v>
      </c>
      <c r="T1359" s="1">
        <v>34.883720930232997</v>
      </c>
      <c r="U1359" t="str">
        <f t="shared" si="21"/>
        <v>Week 3</v>
      </c>
    </row>
    <row r="1360" spans="1:21" x14ac:dyDescent="0.25">
      <c r="A1360" s="1">
        <v>1359</v>
      </c>
      <c r="B1360" s="1" t="s">
        <v>1456</v>
      </c>
      <c r="C1360" s="2">
        <v>46043</v>
      </c>
      <c r="D1360" s="1" t="s">
        <v>53</v>
      </c>
      <c r="E1360" s="1" t="s">
        <v>54</v>
      </c>
      <c r="F1360" s="1" t="s">
        <v>30</v>
      </c>
      <c r="G1360" s="1" t="s">
        <v>24</v>
      </c>
      <c r="H1360" s="1">
        <v>1</v>
      </c>
      <c r="I1360" s="1" t="s">
        <v>1457</v>
      </c>
      <c r="J1360" s="1"/>
      <c r="K1360" s="1">
        <v>42099514</v>
      </c>
      <c r="L1360" s="1">
        <v>0</v>
      </c>
      <c r="M1360" s="1">
        <v>0</v>
      </c>
      <c r="N1360" s="1">
        <v>4630946.54</v>
      </c>
      <c r="O1360" s="1">
        <v>0</v>
      </c>
      <c r="P1360" s="1">
        <v>0</v>
      </c>
      <c r="Q1360" s="1">
        <v>0</v>
      </c>
      <c r="R1360" s="1">
        <v>46730460.539999999</v>
      </c>
      <c r="S1360" s="1">
        <v>11613218.501813</v>
      </c>
      <c r="T1360" s="1">
        <v>27.585160488581</v>
      </c>
      <c r="U1360" t="str">
        <f t="shared" si="21"/>
        <v>Week 3</v>
      </c>
    </row>
    <row r="1361" spans="1:21" x14ac:dyDescent="0.25">
      <c r="A1361" s="1">
        <v>1360</v>
      </c>
      <c r="B1361" s="1" t="s">
        <v>1458</v>
      </c>
      <c r="C1361" s="2">
        <v>46043</v>
      </c>
      <c r="D1361" s="1" t="s">
        <v>21</v>
      </c>
      <c r="E1361" s="1" t="s">
        <v>22</v>
      </c>
      <c r="F1361" s="1" t="s">
        <v>23</v>
      </c>
      <c r="G1361" s="1" t="s">
        <v>24</v>
      </c>
      <c r="H1361" s="1">
        <v>1</v>
      </c>
      <c r="I1361" s="1" t="s">
        <v>1459</v>
      </c>
      <c r="J1361" s="1" t="s">
        <v>26</v>
      </c>
      <c r="K1361" s="1">
        <v>6934500</v>
      </c>
      <c r="L1361" s="1">
        <v>0</v>
      </c>
      <c r="M1361" s="1">
        <v>0</v>
      </c>
      <c r="N1361" s="1">
        <v>762795</v>
      </c>
      <c r="O1361" s="1">
        <v>0</v>
      </c>
      <c r="P1361" s="1">
        <v>0</v>
      </c>
      <c r="Q1361" s="1">
        <v>0</v>
      </c>
      <c r="R1361" s="1">
        <v>7697295</v>
      </c>
      <c r="S1361" s="1">
        <v>2018401.35</v>
      </c>
      <c r="T1361" s="1">
        <v>29.106660177374</v>
      </c>
      <c r="U1361" t="str">
        <f t="shared" si="21"/>
        <v>Week 3</v>
      </c>
    </row>
    <row r="1362" spans="1:21" x14ac:dyDescent="0.25">
      <c r="A1362" s="1">
        <v>1361</v>
      </c>
      <c r="B1362" s="1" t="s">
        <v>1460</v>
      </c>
      <c r="C1362" s="2">
        <v>46043</v>
      </c>
      <c r="D1362" s="1" t="s">
        <v>248</v>
      </c>
      <c r="E1362" s="1" t="s">
        <v>116</v>
      </c>
      <c r="F1362" s="1" t="s">
        <v>23</v>
      </c>
      <c r="G1362" s="1" t="s">
        <v>24</v>
      </c>
      <c r="H1362" s="1">
        <v>1</v>
      </c>
      <c r="I1362" s="1" t="s">
        <v>1076</v>
      </c>
      <c r="J1362" s="1" t="s">
        <v>26</v>
      </c>
      <c r="K1362" s="1">
        <v>2658500</v>
      </c>
      <c r="L1362" s="1">
        <v>0</v>
      </c>
      <c r="M1362" s="1">
        <v>0</v>
      </c>
      <c r="N1362" s="1">
        <v>292435</v>
      </c>
      <c r="O1362" s="1">
        <v>0</v>
      </c>
      <c r="P1362" s="1">
        <v>0</v>
      </c>
      <c r="Q1362" s="1">
        <v>0</v>
      </c>
      <c r="R1362" s="1">
        <v>2950935</v>
      </c>
      <c r="S1362" s="1">
        <v>1243959</v>
      </c>
      <c r="T1362" s="1">
        <v>46.791762271958</v>
      </c>
      <c r="U1362" t="str">
        <f t="shared" si="21"/>
        <v>Week 3</v>
      </c>
    </row>
    <row r="1363" spans="1:21" x14ac:dyDescent="0.25">
      <c r="A1363" s="1">
        <v>1362</v>
      </c>
      <c r="B1363" s="1" t="s">
        <v>1461</v>
      </c>
      <c r="C1363" s="2">
        <v>46042</v>
      </c>
      <c r="D1363" s="1" t="s">
        <v>248</v>
      </c>
      <c r="E1363" s="1" t="s">
        <v>116</v>
      </c>
      <c r="F1363" s="1" t="s">
        <v>30</v>
      </c>
      <c r="G1363" s="1" t="s">
        <v>24</v>
      </c>
      <c r="H1363" s="1">
        <v>1</v>
      </c>
      <c r="I1363" s="1" t="s">
        <v>1462</v>
      </c>
      <c r="J1363" s="1" t="s">
        <v>26</v>
      </c>
      <c r="K1363" s="1">
        <v>8540000</v>
      </c>
      <c r="L1363" s="1">
        <v>0</v>
      </c>
      <c r="M1363" s="1">
        <v>0</v>
      </c>
      <c r="N1363" s="1">
        <v>939400</v>
      </c>
      <c r="O1363" s="1">
        <v>0</v>
      </c>
      <c r="P1363" s="1">
        <v>0</v>
      </c>
      <c r="Q1363" s="1">
        <v>0</v>
      </c>
      <c r="R1363" s="1">
        <v>9479400</v>
      </c>
      <c r="S1363" s="1">
        <v>256200</v>
      </c>
      <c r="T1363" s="1">
        <v>3</v>
      </c>
      <c r="U1363" t="str">
        <f t="shared" si="21"/>
        <v>Week 3</v>
      </c>
    </row>
    <row r="1364" spans="1:21" x14ac:dyDescent="0.25">
      <c r="A1364" s="1">
        <v>1363</v>
      </c>
      <c r="B1364" s="1" t="s">
        <v>1463</v>
      </c>
      <c r="C1364" s="2">
        <v>46042</v>
      </c>
      <c r="D1364" s="1" t="s">
        <v>98</v>
      </c>
      <c r="E1364" s="1" t="s">
        <v>99</v>
      </c>
      <c r="F1364" s="1" t="s">
        <v>260</v>
      </c>
      <c r="G1364" s="1" t="s">
        <v>24</v>
      </c>
      <c r="H1364" s="1">
        <v>1</v>
      </c>
      <c r="I1364" s="1" t="s">
        <v>724</v>
      </c>
      <c r="J1364" s="1"/>
      <c r="K1364" s="1">
        <v>376844000</v>
      </c>
      <c r="L1364" s="1">
        <v>0</v>
      </c>
      <c r="M1364" s="1">
        <v>0</v>
      </c>
      <c r="N1364" s="1">
        <v>41452840</v>
      </c>
      <c r="O1364" s="1">
        <v>0</v>
      </c>
      <c r="P1364" s="1">
        <v>0</v>
      </c>
      <c r="Q1364" s="1">
        <v>0</v>
      </c>
      <c r="R1364" s="1">
        <v>418296840</v>
      </c>
      <c r="S1364" s="1">
        <v>120718821</v>
      </c>
      <c r="T1364" s="1">
        <v>32.034162942755998</v>
      </c>
      <c r="U1364" t="str">
        <f t="shared" si="21"/>
        <v>Week 3</v>
      </c>
    </row>
    <row r="1365" spans="1:21" x14ac:dyDescent="0.25">
      <c r="A1365" s="1">
        <v>1364</v>
      </c>
      <c r="B1365" s="1" t="s">
        <v>1464</v>
      </c>
      <c r="C1365" s="2">
        <v>46042</v>
      </c>
      <c r="D1365" s="1" t="s">
        <v>21</v>
      </c>
      <c r="E1365" s="1" t="s">
        <v>22</v>
      </c>
      <c r="F1365" s="1" t="s">
        <v>30</v>
      </c>
      <c r="G1365" s="1" t="s">
        <v>24</v>
      </c>
      <c r="H1365" s="1">
        <v>1</v>
      </c>
      <c r="I1365" s="1" t="s">
        <v>1465</v>
      </c>
      <c r="J1365" s="1" t="s">
        <v>26</v>
      </c>
      <c r="K1365" s="1">
        <v>452760</v>
      </c>
      <c r="L1365" s="1">
        <v>0</v>
      </c>
      <c r="M1365" s="1">
        <v>0</v>
      </c>
      <c r="N1365" s="1">
        <v>49803.6</v>
      </c>
      <c r="O1365" s="1">
        <v>0</v>
      </c>
      <c r="P1365" s="1">
        <v>0</v>
      </c>
      <c r="Q1365" s="1">
        <v>0</v>
      </c>
      <c r="R1365" s="1">
        <v>502563.6</v>
      </c>
      <c r="S1365" s="1">
        <v>342760</v>
      </c>
      <c r="T1365" s="1">
        <v>75.704567541301998</v>
      </c>
      <c r="U1365" t="str">
        <f t="shared" si="21"/>
        <v>Week 3</v>
      </c>
    </row>
    <row r="1366" spans="1:21" x14ac:dyDescent="0.25">
      <c r="A1366" s="1">
        <v>1365</v>
      </c>
      <c r="B1366" s="1" t="s">
        <v>1466</v>
      </c>
      <c r="C1366" s="2">
        <v>46042</v>
      </c>
      <c r="D1366" s="1" t="s">
        <v>432</v>
      </c>
      <c r="E1366" s="1" t="s">
        <v>116</v>
      </c>
      <c r="F1366" s="1" t="s">
        <v>23</v>
      </c>
      <c r="G1366" s="1" t="s">
        <v>24</v>
      </c>
      <c r="H1366" s="1">
        <v>1</v>
      </c>
      <c r="I1366" s="1" t="s">
        <v>1467</v>
      </c>
      <c r="J1366" s="1" t="s">
        <v>26</v>
      </c>
      <c r="K1366" s="1">
        <v>101475000</v>
      </c>
      <c r="L1366" s="1">
        <v>0</v>
      </c>
      <c r="M1366" s="1">
        <v>0</v>
      </c>
      <c r="N1366" s="1">
        <v>11162250</v>
      </c>
      <c r="O1366" s="1">
        <v>0</v>
      </c>
      <c r="P1366" s="1">
        <v>0</v>
      </c>
      <c r="Q1366" s="1">
        <v>0</v>
      </c>
      <c r="R1366" s="1">
        <v>112637250</v>
      </c>
      <c r="S1366" s="1">
        <v>18975000</v>
      </c>
      <c r="T1366" s="1">
        <v>18.69918699187</v>
      </c>
      <c r="U1366" t="str">
        <f t="shared" si="21"/>
        <v>Week 3</v>
      </c>
    </row>
    <row r="1367" spans="1:21" x14ac:dyDescent="0.25">
      <c r="A1367" s="1">
        <v>1366</v>
      </c>
      <c r="B1367" s="1" t="s">
        <v>1468</v>
      </c>
      <c r="C1367" s="2">
        <v>46042</v>
      </c>
      <c r="D1367" s="1" t="s">
        <v>1469</v>
      </c>
      <c r="E1367" s="1" t="s">
        <v>1281</v>
      </c>
      <c r="F1367" s="1" t="s">
        <v>30</v>
      </c>
      <c r="G1367" s="1" t="s">
        <v>24</v>
      </c>
      <c r="H1367" s="1">
        <v>1</v>
      </c>
      <c r="I1367" s="1" t="s">
        <v>1470</v>
      </c>
      <c r="J1367" s="1"/>
      <c r="K1367" s="1">
        <v>95000</v>
      </c>
      <c r="L1367" s="1">
        <v>0</v>
      </c>
      <c r="M1367" s="1">
        <v>0</v>
      </c>
      <c r="N1367" s="1">
        <v>10450</v>
      </c>
      <c r="O1367" s="1">
        <v>0</v>
      </c>
      <c r="P1367" s="1">
        <v>0</v>
      </c>
      <c r="Q1367" s="1">
        <v>0</v>
      </c>
      <c r="R1367" s="1">
        <v>105450</v>
      </c>
      <c r="S1367" s="1">
        <v>53567</v>
      </c>
      <c r="T1367" s="1">
        <v>56.386315789473997</v>
      </c>
      <c r="U1367" t="str">
        <f t="shared" si="21"/>
        <v>Week 3</v>
      </c>
    </row>
    <row r="1368" spans="1:21" x14ac:dyDescent="0.25">
      <c r="A1368" s="1">
        <v>1367</v>
      </c>
      <c r="B1368" s="1" t="s">
        <v>1471</v>
      </c>
      <c r="C1368" s="2">
        <v>46042</v>
      </c>
      <c r="D1368" s="1" t="s">
        <v>98</v>
      </c>
      <c r="E1368" s="1" t="s">
        <v>99</v>
      </c>
      <c r="F1368" s="1" t="s">
        <v>23</v>
      </c>
      <c r="G1368" s="1" t="s">
        <v>24</v>
      </c>
      <c r="H1368" s="1">
        <v>1</v>
      </c>
      <c r="I1368" s="1" t="s">
        <v>724</v>
      </c>
      <c r="J1368" s="1"/>
      <c r="K1368" s="1">
        <v>36350000</v>
      </c>
      <c r="L1368" s="1">
        <v>0</v>
      </c>
      <c r="M1368" s="1">
        <v>0</v>
      </c>
      <c r="N1368" s="1">
        <v>3998500</v>
      </c>
      <c r="O1368" s="1">
        <v>0</v>
      </c>
      <c r="P1368" s="1">
        <v>0</v>
      </c>
      <c r="Q1368" s="1">
        <v>0</v>
      </c>
      <c r="R1368" s="1">
        <v>40348500</v>
      </c>
      <c r="S1368" s="1">
        <v>17357905.405405</v>
      </c>
      <c r="T1368" s="1">
        <v>47.752146919959998</v>
      </c>
      <c r="U1368" t="str">
        <f t="shared" si="21"/>
        <v>Week 3</v>
      </c>
    </row>
    <row r="1369" spans="1:21" x14ac:dyDescent="0.25">
      <c r="A1369" s="1">
        <v>1368</v>
      </c>
      <c r="B1369" s="1" t="s">
        <v>1472</v>
      </c>
      <c r="C1369" s="2">
        <v>46042</v>
      </c>
      <c r="D1369" s="1" t="s">
        <v>112</v>
      </c>
      <c r="E1369" s="1" t="s">
        <v>34</v>
      </c>
      <c r="F1369" s="1" t="s">
        <v>23</v>
      </c>
      <c r="G1369" s="1" t="s">
        <v>24</v>
      </c>
      <c r="H1369" s="1">
        <v>1</v>
      </c>
      <c r="I1369" s="1" t="s">
        <v>1473</v>
      </c>
      <c r="J1369" s="1"/>
      <c r="K1369" s="1">
        <v>230000</v>
      </c>
      <c r="L1369" s="1">
        <v>0</v>
      </c>
      <c r="M1369" s="1">
        <v>0</v>
      </c>
      <c r="N1369" s="1">
        <v>25300</v>
      </c>
      <c r="O1369" s="1">
        <v>0</v>
      </c>
      <c r="P1369" s="1">
        <v>0</v>
      </c>
      <c r="Q1369" s="1">
        <v>0</v>
      </c>
      <c r="R1369" s="1">
        <v>255300</v>
      </c>
      <c r="S1369" s="1">
        <v>90680</v>
      </c>
      <c r="T1369" s="1">
        <v>39.426086956521999</v>
      </c>
      <c r="U1369" t="str">
        <f t="shared" si="21"/>
        <v>Week 3</v>
      </c>
    </row>
    <row r="1370" spans="1:21" x14ac:dyDescent="0.25">
      <c r="A1370" s="1">
        <v>1369</v>
      </c>
      <c r="B1370" s="1" t="s">
        <v>1474</v>
      </c>
      <c r="C1370" s="2">
        <v>46042</v>
      </c>
      <c r="D1370" s="1" t="s">
        <v>33</v>
      </c>
      <c r="E1370" s="1" t="s">
        <v>34</v>
      </c>
      <c r="F1370" s="1" t="s">
        <v>30</v>
      </c>
      <c r="G1370" s="1" t="s">
        <v>24</v>
      </c>
      <c r="H1370" s="1">
        <v>1</v>
      </c>
      <c r="I1370" s="1" t="s">
        <v>1475</v>
      </c>
      <c r="J1370" s="1"/>
      <c r="K1370" s="1">
        <v>607600</v>
      </c>
      <c r="L1370" s="1">
        <v>0</v>
      </c>
      <c r="M1370" s="1">
        <v>0</v>
      </c>
      <c r="N1370" s="1">
        <v>66836</v>
      </c>
      <c r="O1370" s="1">
        <v>0</v>
      </c>
      <c r="P1370" s="1">
        <v>0</v>
      </c>
      <c r="Q1370" s="1">
        <v>0</v>
      </c>
      <c r="R1370" s="1">
        <v>674436</v>
      </c>
      <c r="S1370" s="1">
        <v>172225.2</v>
      </c>
      <c r="T1370" s="1">
        <v>28.345161290322999</v>
      </c>
      <c r="U1370" t="str">
        <f t="shared" si="21"/>
        <v>Week 3</v>
      </c>
    </row>
    <row r="1371" spans="1:21" x14ac:dyDescent="0.25">
      <c r="A1371" s="1">
        <v>1370</v>
      </c>
      <c r="B1371" s="1" t="s">
        <v>1476</v>
      </c>
      <c r="C1371" s="2">
        <v>46042</v>
      </c>
      <c r="D1371" s="1" t="s">
        <v>37</v>
      </c>
      <c r="E1371" s="1" t="s">
        <v>38</v>
      </c>
      <c r="F1371" s="1" t="s">
        <v>30</v>
      </c>
      <c r="G1371" s="1" t="s">
        <v>24</v>
      </c>
      <c r="H1371" s="1">
        <v>1</v>
      </c>
      <c r="I1371" s="1" t="s">
        <v>1477</v>
      </c>
      <c r="J1371" s="1"/>
      <c r="K1371" s="1">
        <v>3456628.56</v>
      </c>
      <c r="L1371" s="1">
        <v>0</v>
      </c>
      <c r="M1371" s="1">
        <v>0</v>
      </c>
      <c r="N1371" s="1">
        <v>380229.14159999997</v>
      </c>
      <c r="O1371" s="1">
        <v>0</v>
      </c>
      <c r="P1371" s="1">
        <v>0</v>
      </c>
      <c r="Q1371" s="1">
        <v>0</v>
      </c>
      <c r="R1371" s="1">
        <v>3836857.7015999998</v>
      </c>
      <c r="S1371" s="1">
        <v>1018190.56</v>
      </c>
      <c r="T1371" s="1">
        <v>29.456175065566999</v>
      </c>
      <c r="U1371" t="str">
        <f t="shared" si="21"/>
        <v>Week 3</v>
      </c>
    </row>
    <row r="1372" spans="1:21" x14ac:dyDescent="0.25">
      <c r="A1372" s="1">
        <v>1371</v>
      </c>
      <c r="B1372" s="1" t="s">
        <v>1478</v>
      </c>
      <c r="C1372" s="2">
        <v>46042</v>
      </c>
      <c r="D1372" s="1" t="s">
        <v>21</v>
      </c>
      <c r="E1372" s="1" t="s">
        <v>22</v>
      </c>
      <c r="F1372" s="1" t="s">
        <v>30</v>
      </c>
      <c r="G1372" s="1" t="s">
        <v>24</v>
      </c>
      <c r="H1372" s="1">
        <v>1</v>
      </c>
      <c r="I1372" s="1" t="s">
        <v>1479</v>
      </c>
      <c r="J1372" s="1" t="s">
        <v>26</v>
      </c>
      <c r="K1372" s="1">
        <v>32821713</v>
      </c>
      <c r="L1372" s="1">
        <v>0</v>
      </c>
      <c r="M1372" s="1">
        <v>0</v>
      </c>
      <c r="N1372" s="1">
        <v>3610388.43</v>
      </c>
      <c r="O1372" s="1">
        <v>0</v>
      </c>
      <c r="P1372" s="1">
        <v>0</v>
      </c>
      <c r="Q1372" s="1">
        <v>0</v>
      </c>
      <c r="R1372" s="1">
        <v>36432101.43</v>
      </c>
      <c r="S1372" s="1">
        <v>2281372.41</v>
      </c>
      <c r="T1372" s="1">
        <v>6.9508023849944003</v>
      </c>
      <c r="U1372" t="str">
        <f t="shared" si="21"/>
        <v>Week 3</v>
      </c>
    </row>
    <row r="1373" spans="1:21" x14ac:dyDescent="0.25">
      <c r="A1373" s="1">
        <v>1372</v>
      </c>
      <c r="B1373" s="1" t="s">
        <v>1480</v>
      </c>
      <c r="C1373" s="2">
        <v>46042</v>
      </c>
      <c r="D1373" s="1" t="s">
        <v>21</v>
      </c>
      <c r="E1373" s="1" t="s">
        <v>22</v>
      </c>
      <c r="F1373" s="1" t="s">
        <v>30</v>
      </c>
      <c r="G1373" s="1" t="s">
        <v>24</v>
      </c>
      <c r="H1373" s="1">
        <v>1</v>
      </c>
      <c r="I1373" s="1" t="s">
        <v>1481</v>
      </c>
      <c r="J1373" s="1" t="s">
        <v>26</v>
      </c>
      <c r="K1373" s="1">
        <v>118090</v>
      </c>
      <c r="L1373" s="1">
        <v>0</v>
      </c>
      <c r="M1373" s="1">
        <v>0</v>
      </c>
      <c r="N1373" s="1">
        <v>12989.9</v>
      </c>
      <c r="O1373" s="1">
        <v>0</v>
      </c>
      <c r="P1373" s="1">
        <v>0</v>
      </c>
      <c r="Q1373" s="1">
        <v>0</v>
      </c>
      <c r="R1373" s="1">
        <v>131079.9</v>
      </c>
      <c r="S1373" s="1">
        <v>95927.729729729996</v>
      </c>
      <c r="T1373" s="1">
        <v>81.232729045414004</v>
      </c>
      <c r="U1373" t="str">
        <f t="shared" si="21"/>
        <v>Week 3</v>
      </c>
    </row>
    <row r="1374" spans="1:21" x14ac:dyDescent="0.25">
      <c r="A1374" s="1">
        <v>1373</v>
      </c>
      <c r="B1374" s="1" t="s">
        <v>1482</v>
      </c>
      <c r="C1374" s="2">
        <v>46042</v>
      </c>
      <c r="D1374" s="1" t="s">
        <v>33</v>
      </c>
      <c r="E1374" s="1" t="s">
        <v>34</v>
      </c>
      <c r="F1374" s="1" t="s">
        <v>23</v>
      </c>
      <c r="G1374" s="1" t="s">
        <v>24</v>
      </c>
      <c r="H1374" s="1">
        <v>1</v>
      </c>
      <c r="I1374" s="1" t="s">
        <v>666</v>
      </c>
      <c r="J1374" s="1"/>
      <c r="K1374" s="1">
        <v>268096734.375</v>
      </c>
      <c r="L1374" s="1">
        <v>0</v>
      </c>
      <c r="M1374" s="1">
        <v>0</v>
      </c>
      <c r="N1374" s="1">
        <v>29490640.78125</v>
      </c>
      <c r="O1374" s="1">
        <v>0</v>
      </c>
      <c r="P1374" s="1">
        <v>0</v>
      </c>
      <c r="Q1374" s="1">
        <v>0</v>
      </c>
      <c r="R1374" s="1">
        <v>297587375.15625</v>
      </c>
      <c r="S1374" s="1">
        <v>80724278.375</v>
      </c>
      <c r="T1374" s="1">
        <v>30.110131167091001</v>
      </c>
      <c r="U1374" t="str">
        <f t="shared" si="21"/>
        <v>Week 3</v>
      </c>
    </row>
    <row r="1375" spans="1:21" x14ac:dyDescent="0.25">
      <c r="A1375" s="1">
        <v>1374</v>
      </c>
      <c r="B1375" s="1" t="s">
        <v>1483</v>
      </c>
      <c r="C1375" s="2">
        <v>46041</v>
      </c>
      <c r="D1375" s="1" t="s">
        <v>98</v>
      </c>
      <c r="E1375" s="1" t="s">
        <v>99</v>
      </c>
      <c r="F1375" s="1" t="s">
        <v>23</v>
      </c>
      <c r="G1375" s="1" t="s">
        <v>24</v>
      </c>
      <c r="H1375" s="1">
        <v>1</v>
      </c>
      <c r="I1375" s="1" t="s">
        <v>729</v>
      </c>
      <c r="J1375" s="1"/>
      <c r="K1375" s="1">
        <v>10861000</v>
      </c>
      <c r="L1375" s="1">
        <v>0</v>
      </c>
      <c r="M1375" s="1">
        <v>0</v>
      </c>
      <c r="N1375" s="1">
        <v>1194710</v>
      </c>
      <c r="O1375" s="1">
        <v>0</v>
      </c>
      <c r="P1375" s="1">
        <v>0</v>
      </c>
      <c r="Q1375" s="1">
        <v>0</v>
      </c>
      <c r="R1375" s="1">
        <v>12055710</v>
      </c>
      <c r="S1375" s="1">
        <v>5943306.2800000003</v>
      </c>
      <c r="T1375" s="1">
        <v>54.721538348217997</v>
      </c>
      <c r="U1375" t="str">
        <f t="shared" si="21"/>
        <v>Week 3</v>
      </c>
    </row>
    <row r="1376" spans="1:21" x14ac:dyDescent="0.25">
      <c r="A1376" s="1">
        <v>1375</v>
      </c>
      <c r="B1376" s="1" t="s">
        <v>1484</v>
      </c>
      <c r="C1376" s="2">
        <v>46041</v>
      </c>
      <c r="D1376" s="1" t="s">
        <v>1485</v>
      </c>
      <c r="E1376" s="1" t="s">
        <v>1486</v>
      </c>
      <c r="F1376" s="1" t="s">
        <v>30</v>
      </c>
      <c r="G1376" s="1" t="s">
        <v>24</v>
      </c>
      <c r="H1376" s="1">
        <v>1</v>
      </c>
      <c r="I1376" s="1" t="s">
        <v>1487</v>
      </c>
      <c r="J1376" s="1" t="s">
        <v>26</v>
      </c>
      <c r="K1376" s="1">
        <v>3480120</v>
      </c>
      <c r="L1376" s="1">
        <v>0</v>
      </c>
      <c r="M1376" s="1">
        <v>0</v>
      </c>
      <c r="N1376" s="1">
        <v>382813.2</v>
      </c>
      <c r="O1376" s="1">
        <v>0</v>
      </c>
      <c r="P1376" s="1">
        <v>0</v>
      </c>
      <c r="Q1376" s="1">
        <v>0</v>
      </c>
      <c r="R1376" s="1">
        <v>3862933.2</v>
      </c>
      <c r="S1376" s="1">
        <v>609247</v>
      </c>
      <c r="T1376" s="1">
        <v>17.506494028942001</v>
      </c>
      <c r="U1376" t="str">
        <f t="shared" si="21"/>
        <v>Week 3</v>
      </c>
    </row>
    <row r="1377" spans="1:21" x14ac:dyDescent="0.25">
      <c r="A1377" s="1">
        <v>1376</v>
      </c>
      <c r="B1377" s="1" t="s">
        <v>1488</v>
      </c>
      <c r="C1377" s="2">
        <v>46041</v>
      </c>
      <c r="D1377" s="1" t="s">
        <v>112</v>
      </c>
      <c r="E1377" s="1" t="s">
        <v>34</v>
      </c>
      <c r="F1377" s="1" t="s">
        <v>23</v>
      </c>
      <c r="G1377" s="1" t="s">
        <v>24</v>
      </c>
      <c r="H1377" s="1">
        <v>1</v>
      </c>
      <c r="I1377" s="1" t="s">
        <v>1473</v>
      </c>
      <c r="J1377" s="1"/>
      <c r="K1377" s="1">
        <v>25239128</v>
      </c>
      <c r="L1377" s="1">
        <v>0</v>
      </c>
      <c r="M1377" s="1">
        <v>0</v>
      </c>
      <c r="N1377" s="1">
        <v>2776304.08</v>
      </c>
      <c r="O1377" s="1">
        <v>0</v>
      </c>
      <c r="P1377" s="1">
        <v>0</v>
      </c>
      <c r="Q1377" s="1">
        <v>0</v>
      </c>
      <c r="R1377" s="1">
        <v>28015432.079999998</v>
      </c>
      <c r="S1377" s="1">
        <v>3681528</v>
      </c>
      <c r="T1377" s="1">
        <v>14.586589520842001</v>
      </c>
      <c r="U1377" t="str">
        <f t="shared" si="21"/>
        <v>Week 3</v>
      </c>
    </row>
    <row r="1378" spans="1:21" x14ac:dyDescent="0.25">
      <c r="A1378" s="1">
        <v>1377</v>
      </c>
      <c r="B1378" s="1" t="s">
        <v>1489</v>
      </c>
      <c r="C1378" s="2">
        <v>46041</v>
      </c>
      <c r="D1378" s="1" t="s">
        <v>421</v>
      </c>
      <c r="E1378" s="1" t="s">
        <v>203</v>
      </c>
      <c r="F1378" s="1" t="s">
        <v>23</v>
      </c>
      <c r="G1378" s="1" t="s">
        <v>24</v>
      </c>
      <c r="H1378" s="1">
        <v>1</v>
      </c>
      <c r="I1378" s="1" t="s">
        <v>1490</v>
      </c>
      <c r="J1378" s="1" t="s">
        <v>26</v>
      </c>
      <c r="K1378" s="1">
        <v>36500625</v>
      </c>
      <c r="L1378" s="1">
        <v>0</v>
      </c>
      <c r="M1378" s="1">
        <v>0</v>
      </c>
      <c r="N1378" s="1">
        <v>4015068.75</v>
      </c>
      <c r="O1378" s="1">
        <v>0</v>
      </c>
      <c r="P1378" s="1">
        <v>0</v>
      </c>
      <c r="Q1378" s="1">
        <v>0</v>
      </c>
      <c r="R1378" s="1">
        <v>40515693.75</v>
      </c>
      <c r="S1378" s="1">
        <v>5000625</v>
      </c>
      <c r="T1378" s="1">
        <v>13.700107874864999</v>
      </c>
      <c r="U1378" t="str">
        <f t="shared" si="21"/>
        <v>Week 3</v>
      </c>
    </row>
    <row r="1379" spans="1:21" x14ac:dyDescent="0.25">
      <c r="A1379" s="1">
        <v>1378</v>
      </c>
      <c r="B1379" s="1" t="s">
        <v>2267</v>
      </c>
      <c r="C1379" s="2">
        <v>46041</v>
      </c>
      <c r="D1379" s="1" t="s">
        <v>2210</v>
      </c>
      <c r="E1379" s="1" t="s">
        <v>192</v>
      </c>
      <c r="F1379" s="1" t="s">
        <v>23</v>
      </c>
      <c r="G1379" s="1" t="s">
        <v>24</v>
      </c>
      <c r="H1379" s="1">
        <v>1</v>
      </c>
      <c r="I1379" s="1" t="s">
        <v>2268</v>
      </c>
      <c r="J1379" s="1" t="s">
        <v>26</v>
      </c>
      <c r="K1379" s="1">
        <v>40160000</v>
      </c>
      <c r="L1379" s="1">
        <v>0</v>
      </c>
      <c r="M1379" s="1">
        <v>0</v>
      </c>
      <c r="N1379" s="1">
        <v>0</v>
      </c>
      <c r="O1379" s="1">
        <v>0</v>
      </c>
      <c r="P1379" s="1">
        <v>0</v>
      </c>
      <c r="Q1379" s="1">
        <v>0</v>
      </c>
      <c r="R1379" s="1">
        <v>40160000</v>
      </c>
      <c r="S1379" s="1">
        <v>4153220</v>
      </c>
      <c r="T1379" s="1">
        <v>10.341683266932</v>
      </c>
      <c r="U1379" t="str">
        <f t="shared" si="21"/>
        <v>Week 3</v>
      </c>
    </row>
    <row r="1380" spans="1:21" x14ac:dyDescent="0.25">
      <c r="A1380" s="1">
        <v>1379</v>
      </c>
      <c r="B1380" s="1" t="s">
        <v>1491</v>
      </c>
      <c r="C1380" s="2">
        <v>46041</v>
      </c>
      <c r="D1380" s="1" t="s">
        <v>2979</v>
      </c>
      <c r="E1380" s="1" t="s">
        <v>203</v>
      </c>
      <c r="F1380" s="1" t="s">
        <v>30</v>
      </c>
      <c r="G1380" s="1" t="s">
        <v>24</v>
      </c>
      <c r="H1380" s="1">
        <v>1</v>
      </c>
      <c r="I1380" s="1" t="s">
        <v>1492</v>
      </c>
      <c r="J1380" s="1" t="s">
        <v>56</v>
      </c>
      <c r="K1380" s="1">
        <v>708640000</v>
      </c>
      <c r="L1380" s="1">
        <v>0</v>
      </c>
      <c r="M1380" s="1">
        <v>0</v>
      </c>
      <c r="N1380" s="1">
        <v>77950400</v>
      </c>
      <c r="O1380" s="1">
        <v>0</v>
      </c>
      <c r="P1380" s="1">
        <v>0</v>
      </c>
      <c r="Q1380" s="1">
        <v>0</v>
      </c>
      <c r="R1380" s="1">
        <v>786590400</v>
      </c>
      <c r="S1380" s="1">
        <v>132640000</v>
      </c>
      <c r="T1380" s="1">
        <v>18.717543463536</v>
      </c>
      <c r="U1380" t="str">
        <f t="shared" si="21"/>
        <v>Week 3</v>
      </c>
    </row>
    <row r="1381" spans="1:21" x14ac:dyDescent="0.25">
      <c r="A1381" s="1">
        <v>1380</v>
      </c>
      <c r="B1381" s="1" t="s">
        <v>1493</v>
      </c>
      <c r="C1381" s="2">
        <v>46041</v>
      </c>
      <c r="D1381" s="1" t="s">
        <v>33</v>
      </c>
      <c r="E1381" s="1" t="s">
        <v>34</v>
      </c>
      <c r="F1381" s="1" t="s">
        <v>30</v>
      </c>
      <c r="G1381" s="1" t="s">
        <v>24</v>
      </c>
      <c r="H1381" s="1">
        <v>1</v>
      </c>
      <c r="I1381" s="1" t="s">
        <v>1494</v>
      </c>
      <c r="J1381" s="1"/>
      <c r="K1381" s="1">
        <v>56105</v>
      </c>
      <c r="L1381" s="1">
        <v>0</v>
      </c>
      <c r="M1381" s="1">
        <v>0</v>
      </c>
      <c r="N1381" s="1">
        <v>6171.55</v>
      </c>
      <c r="O1381" s="1">
        <v>0</v>
      </c>
      <c r="P1381" s="1">
        <v>0</v>
      </c>
      <c r="Q1381" s="1">
        <v>0</v>
      </c>
      <c r="R1381" s="1">
        <v>62276.55</v>
      </c>
      <c r="S1381" s="1">
        <v>14127.5</v>
      </c>
      <c r="T1381" s="1">
        <v>25.180465199179999</v>
      </c>
      <c r="U1381" t="str">
        <f t="shared" si="21"/>
        <v>Week 3</v>
      </c>
    </row>
    <row r="1382" spans="1:21" x14ac:dyDescent="0.25">
      <c r="A1382" s="1">
        <v>1381</v>
      </c>
      <c r="B1382" s="1" t="s">
        <v>2269</v>
      </c>
      <c r="C1382" s="2">
        <v>46041</v>
      </c>
      <c r="D1382" s="1" t="s">
        <v>2210</v>
      </c>
      <c r="E1382" s="1" t="s">
        <v>1486</v>
      </c>
      <c r="F1382" s="1" t="s">
        <v>23</v>
      </c>
      <c r="G1382" s="1" t="s">
        <v>24</v>
      </c>
      <c r="H1382" s="1">
        <v>1</v>
      </c>
      <c r="I1382" s="1" t="s">
        <v>2270</v>
      </c>
      <c r="J1382" s="1" t="s">
        <v>26</v>
      </c>
      <c r="K1382" s="1">
        <v>2385000</v>
      </c>
      <c r="L1382" s="1">
        <v>0</v>
      </c>
      <c r="M1382" s="1">
        <v>0</v>
      </c>
      <c r="N1382" s="1">
        <v>0</v>
      </c>
      <c r="O1382" s="1">
        <v>0</v>
      </c>
      <c r="P1382" s="1">
        <v>0</v>
      </c>
      <c r="Q1382" s="1">
        <v>0</v>
      </c>
      <c r="R1382" s="1">
        <v>2385000</v>
      </c>
      <c r="S1382" s="1">
        <v>119250</v>
      </c>
      <c r="T1382" s="1">
        <v>5</v>
      </c>
      <c r="U1382" t="str">
        <f t="shared" si="21"/>
        <v>Week 3</v>
      </c>
    </row>
    <row r="1383" spans="1:21" x14ac:dyDescent="0.25">
      <c r="A1383" s="1">
        <v>1382</v>
      </c>
      <c r="B1383" s="1" t="s">
        <v>1495</v>
      </c>
      <c r="C1383" s="2">
        <v>46041</v>
      </c>
      <c r="D1383" s="1" t="s">
        <v>306</v>
      </c>
      <c r="E1383" s="1" t="s">
        <v>99</v>
      </c>
      <c r="F1383" s="1" t="s">
        <v>30</v>
      </c>
      <c r="G1383" s="1" t="s">
        <v>24</v>
      </c>
      <c r="H1383" s="1">
        <v>1</v>
      </c>
      <c r="I1383" s="1" t="s">
        <v>1496</v>
      </c>
      <c r="J1383" s="1"/>
      <c r="K1383" s="1">
        <v>8540000</v>
      </c>
      <c r="L1383" s="1">
        <v>0</v>
      </c>
      <c r="M1383" s="1">
        <v>0</v>
      </c>
      <c r="N1383" s="1">
        <v>939400</v>
      </c>
      <c r="O1383" s="1">
        <v>0</v>
      </c>
      <c r="P1383" s="1">
        <v>0</v>
      </c>
      <c r="Q1383" s="1">
        <v>0</v>
      </c>
      <c r="R1383" s="1">
        <v>9479400</v>
      </c>
      <c r="S1383" s="1">
        <v>50131.081081049997</v>
      </c>
      <c r="T1383" s="1">
        <v>0.58701500094906001</v>
      </c>
      <c r="U1383" t="str">
        <f t="shared" si="21"/>
        <v>Week 3</v>
      </c>
    </row>
    <row r="1384" spans="1:21" x14ac:dyDescent="0.25">
      <c r="A1384" s="1">
        <v>1383</v>
      </c>
      <c r="B1384" s="1" t="s">
        <v>1497</v>
      </c>
      <c r="C1384" s="2">
        <v>46041</v>
      </c>
      <c r="D1384" s="1" t="s">
        <v>98</v>
      </c>
      <c r="E1384" s="1" t="s">
        <v>99</v>
      </c>
      <c r="F1384" s="1" t="s">
        <v>30</v>
      </c>
      <c r="G1384" s="1" t="s">
        <v>24</v>
      </c>
      <c r="H1384" s="1">
        <v>1</v>
      </c>
      <c r="I1384" s="1" t="s">
        <v>1498</v>
      </c>
      <c r="J1384" s="1"/>
      <c r="K1384" s="1">
        <v>3206828</v>
      </c>
      <c r="L1384" s="1">
        <v>0</v>
      </c>
      <c r="M1384" s="1">
        <v>0</v>
      </c>
      <c r="N1384" s="1">
        <v>352751.08</v>
      </c>
      <c r="O1384" s="1">
        <v>0</v>
      </c>
      <c r="P1384" s="1">
        <v>0</v>
      </c>
      <c r="Q1384" s="1">
        <v>0</v>
      </c>
      <c r="R1384" s="1">
        <v>3559579.08</v>
      </c>
      <c r="S1384" s="1">
        <v>271111.96396396001</v>
      </c>
      <c r="T1384" s="1">
        <v>8.4542097039180994</v>
      </c>
      <c r="U1384" t="str">
        <f t="shared" si="21"/>
        <v>Week 3</v>
      </c>
    </row>
    <row r="1385" spans="1:21" x14ac:dyDescent="0.25">
      <c r="A1385" s="1">
        <v>1384</v>
      </c>
      <c r="B1385" s="1" t="s">
        <v>1499</v>
      </c>
      <c r="C1385" s="2">
        <v>46041</v>
      </c>
      <c r="D1385" s="1" t="s">
        <v>37</v>
      </c>
      <c r="E1385" s="1" t="s">
        <v>34</v>
      </c>
      <c r="F1385" s="1" t="s">
        <v>23</v>
      </c>
      <c r="G1385" s="1" t="s">
        <v>24</v>
      </c>
      <c r="H1385" s="1">
        <v>1</v>
      </c>
      <c r="I1385" s="1" t="s">
        <v>1500</v>
      </c>
      <c r="J1385" s="1"/>
      <c r="K1385" s="1">
        <v>537000</v>
      </c>
      <c r="L1385" s="1">
        <v>0</v>
      </c>
      <c r="M1385" s="1">
        <v>0</v>
      </c>
      <c r="N1385" s="1">
        <v>59070</v>
      </c>
      <c r="O1385" s="1">
        <v>0</v>
      </c>
      <c r="P1385" s="1">
        <v>0</v>
      </c>
      <c r="Q1385" s="1">
        <v>0</v>
      </c>
      <c r="R1385" s="1">
        <v>596070</v>
      </c>
      <c r="S1385" s="1">
        <v>158261.26126130001</v>
      </c>
      <c r="T1385" s="1">
        <v>29.47137081216</v>
      </c>
      <c r="U1385" t="str">
        <f t="shared" si="21"/>
        <v>Week 3</v>
      </c>
    </row>
    <row r="1386" spans="1:21" x14ac:dyDescent="0.25">
      <c r="A1386" s="1">
        <v>1385</v>
      </c>
      <c r="B1386" s="1" t="s">
        <v>1501</v>
      </c>
      <c r="C1386" s="2">
        <v>46041</v>
      </c>
      <c r="D1386" s="1" t="s">
        <v>98</v>
      </c>
      <c r="E1386" s="1" t="s">
        <v>99</v>
      </c>
      <c r="F1386" s="1" t="s">
        <v>23</v>
      </c>
      <c r="G1386" s="1" t="s">
        <v>24</v>
      </c>
      <c r="H1386" s="1">
        <v>1</v>
      </c>
      <c r="I1386" s="1" t="s">
        <v>1502</v>
      </c>
      <c r="J1386" s="1"/>
      <c r="K1386" s="1">
        <v>89485000</v>
      </c>
      <c r="L1386" s="1">
        <v>0</v>
      </c>
      <c r="M1386" s="1">
        <v>0</v>
      </c>
      <c r="N1386" s="1">
        <v>9843350</v>
      </c>
      <c r="O1386" s="1">
        <v>0</v>
      </c>
      <c r="P1386" s="1">
        <v>0</v>
      </c>
      <c r="Q1386" s="1">
        <v>0</v>
      </c>
      <c r="R1386" s="1">
        <v>99328350</v>
      </c>
      <c r="S1386" s="1">
        <v>28834189.189195</v>
      </c>
      <c r="T1386" s="1">
        <v>32.222371558580001</v>
      </c>
      <c r="U1386" t="str">
        <f t="shared" si="21"/>
        <v>Week 3</v>
      </c>
    </row>
    <row r="1387" spans="1:21" x14ac:dyDescent="0.25">
      <c r="A1387" s="1">
        <v>1386</v>
      </c>
      <c r="B1387" s="1" t="s">
        <v>1503</v>
      </c>
      <c r="C1387" s="2">
        <v>46039</v>
      </c>
      <c r="D1387" s="1" t="s">
        <v>184</v>
      </c>
      <c r="E1387" s="1" t="s">
        <v>116</v>
      </c>
      <c r="F1387" s="1" t="s">
        <v>260</v>
      </c>
      <c r="G1387" s="1" t="s">
        <v>24</v>
      </c>
      <c r="H1387" s="1">
        <v>1</v>
      </c>
      <c r="I1387" s="1" t="s">
        <v>1438</v>
      </c>
      <c r="J1387" s="1" t="s">
        <v>26</v>
      </c>
      <c r="K1387" s="1">
        <v>55300000</v>
      </c>
      <c r="L1387" s="1">
        <v>0</v>
      </c>
      <c r="M1387" s="1">
        <v>0</v>
      </c>
      <c r="N1387" s="1">
        <v>6083000</v>
      </c>
      <c r="O1387" s="1">
        <v>0</v>
      </c>
      <c r="P1387" s="1">
        <v>0</v>
      </c>
      <c r="Q1387" s="1">
        <v>0</v>
      </c>
      <c r="R1387" s="1">
        <v>61383000</v>
      </c>
      <c r="S1387" s="1">
        <v>53335000</v>
      </c>
      <c r="T1387" s="1">
        <v>96.446654611211997</v>
      </c>
      <c r="U1387" t="str">
        <f t="shared" si="21"/>
        <v>Week 3</v>
      </c>
    </row>
    <row r="1388" spans="1:21" x14ac:dyDescent="0.25">
      <c r="A1388" s="1">
        <v>1387</v>
      </c>
      <c r="B1388" s="1" t="s">
        <v>1504</v>
      </c>
      <c r="C1388" s="2">
        <v>46039</v>
      </c>
      <c r="D1388" s="1" t="s">
        <v>421</v>
      </c>
      <c r="E1388" s="1" t="s">
        <v>203</v>
      </c>
      <c r="F1388" s="1" t="s">
        <v>23</v>
      </c>
      <c r="G1388" s="1" t="s">
        <v>24</v>
      </c>
      <c r="H1388" s="1">
        <v>1</v>
      </c>
      <c r="I1388" s="1" t="s">
        <v>1505</v>
      </c>
      <c r="J1388" s="1" t="s">
        <v>26</v>
      </c>
      <c r="K1388" s="1">
        <v>16759139.689999999</v>
      </c>
      <c r="L1388" s="1">
        <v>0</v>
      </c>
      <c r="M1388" s="1">
        <v>0</v>
      </c>
      <c r="N1388" s="1">
        <v>1843505.3659000001</v>
      </c>
      <c r="O1388" s="1">
        <v>0</v>
      </c>
      <c r="P1388" s="1">
        <v>0</v>
      </c>
      <c r="Q1388" s="1">
        <v>0</v>
      </c>
      <c r="R1388" s="1">
        <v>18602645.0559</v>
      </c>
      <c r="S1388" s="1">
        <v>3907139.69</v>
      </c>
      <c r="T1388" s="1">
        <v>23.313486027753999</v>
      </c>
      <c r="U1388" t="str">
        <f t="shared" si="21"/>
        <v>Week 3</v>
      </c>
    </row>
    <row r="1389" spans="1:21" x14ac:dyDescent="0.25">
      <c r="A1389" s="1">
        <v>1388</v>
      </c>
      <c r="B1389" s="1" t="s">
        <v>1507</v>
      </c>
      <c r="C1389" s="2">
        <v>46039</v>
      </c>
      <c r="D1389" s="1" t="s">
        <v>21</v>
      </c>
      <c r="E1389" s="1" t="s">
        <v>22</v>
      </c>
      <c r="F1389" s="1" t="s">
        <v>30</v>
      </c>
      <c r="G1389" s="1" t="s">
        <v>24</v>
      </c>
      <c r="H1389" s="1">
        <v>1</v>
      </c>
      <c r="I1389" s="1" t="s">
        <v>1508</v>
      </c>
      <c r="J1389" s="1" t="s">
        <v>26</v>
      </c>
      <c r="K1389" s="1">
        <v>6002500</v>
      </c>
      <c r="L1389" s="1">
        <v>0</v>
      </c>
      <c r="M1389" s="1">
        <v>0</v>
      </c>
      <c r="N1389" s="1">
        <v>660275</v>
      </c>
      <c r="O1389" s="1">
        <v>0</v>
      </c>
      <c r="P1389" s="1">
        <v>0</v>
      </c>
      <c r="Q1389" s="1">
        <v>0</v>
      </c>
      <c r="R1389" s="1">
        <v>6662775</v>
      </c>
      <c r="S1389" s="1">
        <v>708185</v>
      </c>
      <c r="T1389" s="1">
        <v>11.798167430236999</v>
      </c>
      <c r="U1389" t="str">
        <f t="shared" si="21"/>
        <v>Week 3</v>
      </c>
    </row>
    <row r="1390" spans="1:21" x14ac:dyDescent="0.25">
      <c r="A1390" s="1">
        <v>1389</v>
      </c>
      <c r="B1390" s="1" t="s">
        <v>1509</v>
      </c>
      <c r="C1390" s="2">
        <v>46039</v>
      </c>
      <c r="D1390" s="1" t="s">
        <v>98</v>
      </c>
      <c r="E1390" s="1" t="s">
        <v>99</v>
      </c>
      <c r="F1390" s="1" t="s">
        <v>23</v>
      </c>
      <c r="G1390" s="1" t="s">
        <v>24</v>
      </c>
      <c r="H1390" s="1">
        <v>1</v>
      </c>
      <c r="I1390" s="1" t="s">
        <v>1510</v>
      </c>
      <c r="J1390" s="1"/>
      <c r="K1390" s="1">
        <v>40750000</v>
      </c>
      <c r="L1390" s="1">
        <v>0</v>
      </c>
      <c r="M1390" s="1">
        <v>0</v>
      </c>
      <c r="N1390" s="1">
        <v>4482500</v>
      </c>
      <c r="O1390" s="1">
        <v>0</v>
      </c>
      <c r="P1390" s="1">
        <v>0</v>
      </c>
      <c r="Q1390" s="1">
        <v>0</v>
      </c>
      <c r="R1390" s="1">
        <v>45232500</v>
      </c>
      <c r="S1390" s="1">
        <v>9663514.5044999998</v>
      </c>
      <c r="T1390" s="1">
        <v>23.714146023312999</v>
      </c>
      <c r="U1390" t="str">
        <f t="shared" si="21"/>
        <v>Week 3</v>
      </c>
    </row>
    <row r="1391" spans="1:21" x14ac:dyDescent="0.25">
      <c r="A1391" s="1">
        <v>1390</v>
      </c>
      <c r="B1391" s="1" t="s">
        <v>1511</v>
      </c>
      <c r="C1391" s="2">
        <v>46037</v>
      </c>
      <c r="D1391" s="1" t="s">
        <v>33</v>
      </c>
      <c r="E1391" s="1" t="s">
        <v>34</v>
      </c>
      <c r="F1391" s="1" t="s">
        <v>30</v>
      </c>
      <c r="G1391" s="1" t="s">
        <v>24</v>
      </c>
      <c r="H1391" s="1">
        <v>1</v>
      </c>
      <c r="I1391" s="1" t="s">
        <v>1512</v>
      </c>
      <c r="J1391" s="1" t="s">
        <v>56</v>
      </c>
      <c r="K1391" s="1">
        <v>1919429720</v>
      </c>
      <c r="L1391" s="1">
        <v>0</v>
      </c>
      <c r="M1391" s="1">
        <v>0</v>
      </c>
      <c r="N1391" s="1">
        <v>211137269.19999999</v>
      </c>
      <c r="O1391" s="1">
        <v>0</v>
      </c>
      <c r="P1391" s="1">
        <v>0</v>
      </c>
      <c r="Q1391" s="1">
        <v>0</v>
      </c>
      <c r="R1391" s="1">
        <v>2130566989.2</v>
      </c>
      <c r="S1391" s="1">
        <v>473297640</v>
      </c>
      <c r="T1391" s="1">
        <v>24.658242761814002</v>
      </c>
      <c r="U1391" t="str">
        <f t="shared" si="21"/>
        <v>Week 3</v>
      </c>
    </row>
    <row r="1392" spans="1:21" x14ac:dyDescent="0.25">
      <c r="A1392" s="1">
        <v>1391</v>
      </c>
      <c r="B1392" s="1" t="s">
        <v>1513</v>
      </c>
      <c r="C1392" s="2">
        <v>46037</v>
      </c>
      <c r="D1392" s="1" t="s">
        <v>21</v>
      </c>
      <c r="E1392" s="1" t="s">
        <v>22</v>
      </c>
      <c r="F1392" s="1" t="s">
        <v>30</v>
      </c>
      <c r="G1392" s="1" t="s">
        <v>24</v>
      </c>
      <c r="H1392" s="1">
        <v>1</v>
      </c>
      <c r="I1392" s="1" t="s">
        <v>1481</v>
      </c>
      <c r="J1392" s="1" t="s">
        <v>26</v>
      </c>
      <c r="K1392" s="1">
        <v>63700</v>
      </c>
      <c r="L1392" s="1">
        <v>0</v>
      </c>
      <c r="M1392" s="1">
        <v>0</v>
      </c>
      <c r="N1392" s="1">
        <v>7007</v>
      </c>
      <c r="O1392" s="1">
        <v>0</v>
      </c>
      <c r="P1392" s="1">
        <v>0</v>
      </c>
      <c r="Q1392" s="1">
        <v>0</v>
      </c>
      <c r="R1392" s="1">
        <v>70707</v>
      </c>
      <c r="S1392" s="1">
        <v>47200</v>
      </c>
      <c r="T1392" s="1">
        <v>74.097331240187998</v>
      </c>
      <c r="U1392" t="str">
        <f t="shared" si="21"/>
        <v>Week 3</v>
      </c>
    </row>
    <row r="1393" spans="1:21" x14ac:dyDescent="0.25">
      <c r="A1393" s="1">
        <v>1392</v>
      </c>
      <c r="B1393" s="1" t="s">
        <v>1514</v>
      </c>
      <c r="C1393" s="2">
        <v>46037</v>
      </c>
      <c r="D1393" s="1" t="s">
        <v>21</v>
      </c>
      <c r="E1393" s="1" t="s">
        <v>22</v>
      </c>
      <c r="F1393" s="1" t="s">
        <v>30</v>
      </c>
      <c r="G1393" s="1" t="s">
        <v>24</v>
      </c>
      <c r="H1393" s="1">
        <v>1</v>
      </c>
      <c r="I1393" s="1" t="s">
        <v>1172</v>
      </c>
      <c r="J1393" s="1" t="s">
        <v>26</v>
      </c>
      <c r="K1393" s="1">
        <v>15097390</v>
      </c>
      <c r="L1393" s="1">
        <v>0</v>
      </c>
      <c r="M1393" s="1">
        <v>0</v>
      </c>
      <c r="N1393" s="1">
        <v>1660712.9</v>
      </c>
      <c r="O1393" s="1">
        <v>0</v>
      </c>
      <c r="P1393" s="1">
        <v>0</v>
      </c>
      <c r="Q1393" s="1">
        <v>0</v>
      </c>
      <c r="R1393" s="1">
        <v>16758102.9</v>
      </c>
      <c r="S1393" s="1">
        <v>7704740</v>
      </c>
      <c r="T1393" s="1">
        <v>51.033589249533001</v>
      </c>
      <c r="U1393" t="str">
        <f t="shared" si="21"/>
        <v>Week 3</v>
      </c>
    </row>
    <row r="1394" spans="1:21" x14ac:dyDescent="0.25">
      <c r="A1394" s="1">
        <v>1393</v>
      </c>
      <c r="B1394" s="1" t="s">
        <v>1515</v>
      </c>
      <c r="C1394" s="2">
        <v>46037</v>
      </c>
      <c r="D1394" s="1" t="s">
        <v>21</v>
      </c>
      <c r="E1394" s="1" t="s">
        <v>22</v>
      </c>
      <c r="F1394" s="1" t="s">
        <v>30</v>
      </c>
      <c r="G1394" s="1" t="s">
        <v>24</v>
      </c>
      <c r="H1394" s="1">
        <v>1</v>
      </c>
      <c r="I1394" s="1" t="s">
        <v>1516</v>
      </c>
      <c r="J1394" s="1" t="s">
        <v>26</v>
      </c>
      <c r="K1394" s="1">
        <v>449820</v>
      </c>
      <c r="L1394" s="1">
        <v>0</v>
      </c>
      <c r="M1394" s="1">
        <v>0</v>
      </c>
      <c r="N1394" s="1">
        <v>49480.2</v>
      </c>
      <c r="O1394" s="1">
        <v>0</v>
      </c>
      <c r="P1394" s="1">
        <v>0</v>
      </c>
      <c r="Q1394" s="1">
        <v>0</v>
      </c>
      <c r="R1394" s="1">
        <v>499300.2</v>
      </c>
      <c r="S1394" s="1">
        <v>244820</v>
      </c>
      <c r="T1394" s="1">
        <v>54.426214930416997</v>
      </c>
      <c r="U1394" t="str">
        <f t="shared" si="21"/>
        <v>Week 3</v>
      </c>
    </row>
    <row r="1395" spans="1:21" x14ac:dyDescent="0.25">
      <c r="A1395" s="1">
        <v>1394</v>
      </c>
      <c r="B1395" s="1" t="s">
        <v>1517</v>
      </c>
      <c r="C1395" s="2">
        <v>46037</v>
      </c>
      <c r="D1395" s="1" t="s">
        <v>202</v>
      </c>
      <c r="E1395" s="1" t="s">
        <v>22</v>
      </c>
      <c r="F1395" s="1" t="s">
        <v>23</v>
      </c>
      <c r="G1395" s="1" t="s">
        <v>24</v>
      </c>
      <c r="H1395" s="1">
        <v>1</v>
      </c>
      <c r="I1395" s="1" t="s">
        <v>1518</v>
      </c>
      <c r="J1395" s="1" t="s">
        <v>26</v>
      </c>
      <c r="K1395" s="1">
        <v>51000000</v>
      </c>
      <c r="L1395" s="1">
        <v>0</v>
      </c>
      <c r="M1395" s="1">
        <v>0</v>
      </c>
      <c r="N1395" s="1">
        <v>5610000</v>
      </c>
      <c r="O1395" s="1">
        <v>0</v>
      </c>
      <c r="P1395" s="1">
        <v>0</v>
      </c>
      <c r="Q1395" s="1">
        <v>0</v>
      </c>
      <c r="R1395" s="1">
        <v>56610000</v>
      </c>
      <c r="S1395" s="1">
        <v>10859000</v>
      </c>
      <c r="T1395" s="1">
        <v>21.292156862744999</v>
      </c>
      <c r="U1395" t="str">
        <f t="shared" si="21"/>
        <v>Week 3</v>
      </c>
    </row>
    <row r="1396" spans="1:21" x14ac:dyDescent="0.25">
      <c r="A1396" s="1">
        <v>1395</v>
      </c>
      <c r="B1396" s="1" t="s">
        <v>1519</v>
      </c>
      <c r="C1396" s="2">
        <v>46037</v>
      </c>
      <c r="D1396" s="1" t="s">
        <v>21</v>
      </c>
      <c r="E1396" s="1" t="s">
        <v>22</v>
      </c>
      <c r="F1396" s="1" t="s">
        <v>30</v>
      </c>
      <c r="G1396" s="1" t="s">
        <v>24</v>
      </c>
      <c r="H1396" s="1">
        <v>1</v>
      </c>
      <c r="I1396" s="1" t="s">
        <v>1520</v>
      </c>
      <c r="J1396" s="1" t="s">
        <v>26</v>
      </c>
      <c r="K1396" s="1">
        <v>3196647.3</v>
      </c>
      <c r="L1396" s="1">
        <v>0</v>
      </c>
      <c r="M1396" s="1">
        <v>0</v>
      </c>
      <c r="N1396" s="1">
        <v>351631.20299999998</v>
      </c>
      <c r="O1396" s="1">
        <v>0</v>
      </c>
      <c r="P1396" s="1">
        <v>0</v>
      </c>
      <c r="Q1396" s="1">
        <v>0</v>
      </c>
      <c r="R1396" s="1">
        <v>3548278.503</v>
      </c>
      <c r="S1396" s="1">
        <v>784269.24594595004</v>
      </c>
      <c r="T1396" s="1">
        <v>24.534118792084001</v>
      </c>
      <c r="U1396" t="str">
        <f t="shared" si="21"/>
        <v>Week 3</v>
      </c>
    </row>
    <row r="1397" spans="1:21" x14ac:dyDescent="0.25">
      <c r="A1397" s="1">
        <v>1396</v>
      </c>
      <c r="B1397" s="1" t="s">
        <v>1521</v>
      </c>
      <c r="C1397" s="2">
        <v>46037</v>
      </c>
      <c r="D1397" s="1" t="s">
        <v>98</v>
      </c>
      <c r="E1397" s="1" t="s">
        <v>99</v>
      </c>
      <c r="F1397" s="1" t="s">
        <v>23</v>
      </c>
      <c r="G1397" s="1" t="s">
        <v>24</v>
      </c>
      <c r="H1397" s="1">
        <v>1</v>
      </c>
      <c r="I1397" s="1" t="s">
        <v>729</v>
      </c>
      <c r="J1397" s="1"/>
      <c r="K1397" s="1">
        <v>222374700</v>
      </c>
      <c r="L1397" s="1">
        <v>0</v>
      </c>
      <c r="M1397" s="1">
        <v>0</v>
      </c>
      <c r="N1397" s="1">
        <v>0</v>
      </c>
      <c r="O1397" s="1">
        <v>0</v>
      </c>
      <c r="P1397" s="1">
        <v>0</v>
      </c>
      <c r="Q1397" s="1">
        <v>0</v>
      </c>
      <c r="R1397" s="1">
        <v>222374700</v>
      </c>
      <c r="S1397" s="1">
        <v>56538493.995494999</v>
      </c>
      <c r="T1397" s="1">
        <v>25.424877018606999</v>
      </c>
      <c r="U1397" t="str">
        <f t="shared" si="21"/>
        <v>Week 3</v>
      </c>
    </row>
    <row r="1398" spans="1:21" x14ac:dyDescent="0.25">
      <c r="A1398" s="1">
        <v>1397</v>
      </c>
      <c r="B1398" s="1" t="s">
        <v>1522</v>
      </c>
      <c r="C1398" s="2">
        <v>46036</v>
      </c>
      <c r="D1398" s="1" t="s">
        <v>28</v>
      </c>
      <c r="E1398" s="1" t="s">
        <v>1523</v>
      </c>
      <c r="F1398" s="1" t="s">
        <v>23</v>
      </c>
      <c r="G1398" s="1" t="s">
        <v>24</v>
      </c>
      <c r="H1398" s="1">
        <v>1</v>
      </c>
      <c r="I1398" s="1" t="s">
        <v>1524</v>
      </c>
      <c r="J1398" s="1"/>
      <c r="K1398" s="1">
        <v>22103900</v>
      </c>
      <c r="L1398" s="1">
        <v>0</v>
      </c>
      <c r="M1398" s="1">
        <v>0</v>
      </c>
      <c r="N1398" s="1">
        <v>2431429</v>
      </c>
      <c r="O1398" s="1">
        <v>0</v>
      </c>
      <c r="P1398" s="1">
        <v>0</v>
      </c>
      <c r="Q1398" s="1">
        <v>0</v>
      </c>
      <c r="R1398" s="1">
        <v>24535329</v>
      </c>
      <c r="S1398" s="1">
        <v>6609147.7477476997</v>
      </c>
      <c r="T1398" s="1">
        <v>29.900369381636999</v>
      </c>
      <c r="U1398" t="str">
        <f t="shared" si="21"/>
        <v>Week 2</v>
      </c>
    </row>
    <row r="1399" spans="1:21" x14ac:dyDescent="0.25">
      <c r="A1399" s="1">
        <v>1398</v>
      </c>
      <c r="B1399" s="1" t="s">
        <v>1525</v>
      </c>
      <c r="C1399" s="2">
        <v>46036</v>
      </c>
      <c r="D1399" s="1" t="s">
        <v>202</v>
      </c>
      <c r="E1399" s="1" t="s">
        <v>203</v>
      </c>
      <c r="F1399" s="1" t="s">
        <v>23</v>
      </c>
      <c r="G1399" s="1" t="s">
        <v>24</v>
      </c>
      <c r="H1399" s="1">
        <v>1</v>
      </c>
      <c r="I1399" s="1" t="s">
        <v>1526</v>
      </c>
      <c r="J1399" s="1" t="s">
        <v>26</v>
      </c>
      <c r="K1399" s="1">
        <v>60000000</v>
      </c>
      <c r="L1399" s="1">
        <v>0</v>
      </c>
      <c r="M1399" s="1">
        <v>0</v>
      </c>
      <c r="N1399" s="1">
        <v>6600000</v>
      </c>
      <c r="O1399" s="1">
        <v>0</v>
      </c>
      <c r="P1399" s="1">
        <v>0</v>
      </c>
      <c r="Q1399" s="1">
        <v>0</v>
      </c>
      <c r="R1399" s="1">
        <v>66600000</v>
      </c>
      <c r="S1399" s="1">
        <v>14000000</v>
      </c>
      <c r="T1399" s="1">
        <v>23.333333333333002</v>
      </c>
      <c r="U1399" t="str">
        <f t="shared" si="21"/>
        <v>Week 2</v>
      </c>
    </row>
    <row r="1400" spans="1:21" x14ac:dyDescent="0.25">
      <c r="A1400" s="1">
        <v>1399</v>
      </c>
      <c r="B1400" s="1" t="s">
        <v>1527</v>
      </c>
      <c r="C1400" s="2">
        <v>46036</v>
      </c>
      <c r="D1400" s="1" t="s">
        <v>169</v>
      </c>
      <c r="E1400" s="1" t="s">
        <v>99</v>
      </c>
      <c r="F1400" s="1" t="s">
        <v>30</v>
      </c>
      <c r="G1400" s="1" t="s">
        <v>24</v>
      </c>
      <c r="H1400" s="1">
        <v>1</v>
      </c>
      <c r="I1400" s="1" t="s">
        <v>1528</v>
      </c>
      <c r="J1400" s="1"/>
      <c r="K1400" s="1">
        <v>16834600</v>
      </c>
      <c r="L1400" s="1">
        <v>0</v>
      </c>
      <c r="M1400" s="1">
        <v>0</v>
      </c>
      <c r="N1400" s="1">
        <v>1851806</v>
      </c>
      <c r="O1400" s="1">
        <v>0</v>
      </c>
      <c r="P1400" s="1">
        <v>0</v>
      </c>
      <c r="Q1400" s="1">
        <v>0</v>
      </c>
      <c r="R1400" s="1">
        <v>18686406</v>
      </c>
      <c r="S1400" s="1">
        <v>1427100</v>
      </c>
      <c r="T1400" s="1">
        <v>8.4771838950731997</v>
      </c>
      <c r="U1400" t="str">
        <f t="shared" si="21"/>
        <v>Week 2</v>
      </c>
    </row>
    <row r="1401" spans="1:21" x14ac:dyDescent="0.25">
      <c r="A1401" s="1">
        <v>1400</v>
      </c>
      <c r="B1401" s="1" t="s">
        <v>1529</v>
      </c>
      <c r="C1401" s="2">
        <v>46036</v>
      </c>
      <c r="D1401" s="1" t="s">
        <v>53</v>
      </c>
      <c r="E1401" s="1" t="s">
        <v>1530</v>
      </c>
      <c r="F1401" s="1" t="s">
        <v>30</v>
      </c>
      <c r="G1401" s="1" t="s">
        <v>24</v>
      </c>
      <c r="H1401" s="1">
        <v>1</v>
      </c>
      <c r="I1401" s="1" t="s">
        <v>1531</v>
      </c>
      <c r="J1401" s="1"/>
      <c r="K1401" s="1">
        <v>253368800</v>
      </c>
      <c r="L1401" s="1">
        <v>0</v>
      </c>
      <c r="M1401" s="1">
        <v>0</v>
      </c>
      <c r="N1401" s="1">
        <v>27870568</v>
      </c>
      <c r="O1401" s="1">
        <v>0</v>
      </c>
      <c r="P1401" s="1">
        <v>0</v>
      </c>
      <c r="Q1401" s="1">
        <v>0</v>
      </c>
      <c r="R1401" s="1">
        <v>281239368</v>
      </c>
      <c r="S1401" s="1">
        <v>77729164</v>
      </c>
      <c r="T1401" s="1">
        <v>30.678269779072998</v>
      </c>
      <c r="U1401" t="str">
        <f t="shared" si="21"/>
        <v>Week 2</v>
      </c>
    </row>
    <row r="1402" spans="1:21" x14ac:dyDescent="0.25">
      <c r="A1402" s="1">
        <v>1401</v>
      </c>
      <c r="B1402" s="1" t="s">
        <v>1532</v>
      </c>
      <c r="C1402" s="2">
        <v>46036</v>
      </c>
      <c r="D1402" s="1" t="s">
        <v>112</v>
      </c>
      <c r="E1402" s="1" t="s">
        <v>34</v>
      </c>
      <c r="F1402" s="1" t="s">
        <v>23</v>
      </c>
      <c r="G1402" s="1" t="s">
        <v>24</v>
      </c>
      <c r="H1402" s="1">
        <v>1</v>
      </c>
      <c r="I1402" s="1" t="s">
        <v>1473</v>
      </c>
      <c r="J1402" s="1"/>
      <c r="K1402" s="1">
        <v>6604800</v>
      </c>
      <c r="L1402" s="1">
        <v>0</v>
      </c>
      <c r="M1402" s="1">
        <v>0</v>
      </c>
      <c r="N1402" s="1">
        <v>726528</v>
      </c>
      <c r="O1402" s="1">
        <v>0</v>
      </c>
      <c r="P1402" s="1">
        <v>0</v>
      </c>
      <c r="Q1402" s="1">
        <v>0</v>
      </c>
      <c r="R1402" s="1">
        <v>7331328</v>
      </c>
      <c r="S1402" s="1">
        <v>2849129.7297296999</v>
      </c>
      <c r="T1402" s="1">
        <v>43.137259716110997</v>
      </c>
      <c r="U1402" t="str">
        <f t="shared" si="21"/>
        <v>Week 2</v>
      </c>
    </row>
    <row r="1403" spans="1:21" x14ac:dyDescent="0.25">
      <c r="A1403" s="1">
        <v>1402</v>
      </c>
      <c r="B1403" s="1" t="s">
        <v>1533</v>
      </c>
      <c r="C1403" s="2">
        <v>46036</v>
      </c>
      <c r="D1403" s="1" t="s">
        <v>33</v>
      </c>
      <c r="E1403" s="1" t="s">
        <v>34</v>
      </c>
      <c r="F1403" s="1" t="s">
        <v>30</v>
      </c>
      <c r="G1403" s="1" t="s">
        <v>24</v>
      </c>
      <c r="H1403" s="1">
        <v>1</v>
      </c>
      <c r="I1403" s="1" t="s">
        <v>1534</v>
      </c>
      <c r="J1403" s="1"/>
      <c r="K1403" s="1">
        <v>11421704</v>
      </c>
      <c r="L1403" s="1">
        <v>0</v>
      </c>
      <c r="M1403" s="1">
        <v>0</v>
      </c>
      <c r="N1403" s="1">
        <v>1256387.44</v>
      </c>
      <c r="O1403" s="1">
        <v>0</v>
      </c>
      <c r="P1403" s="1">
        <v>0</v>
      </c>
      <c r="Q1403" s="1">
        <v>0</v>
      </c>
      <c r="R1403" s="1">
        <v>12678091.439999999</v>
      </c>
      <c r="S1403" s="1">
        <v>2933215.51156</v>
      </c>
      <c r="T1403" s="1">
        <v>25.681067479597999</v>
      </c>
      <c r="U1403" t="str">
        <f t="shared" si="21"/>
        <v>Week 2</v>
      </c>
    </row>
    <row r="1404" spans="1:21" x14ac:dyDescent="0.25">
      <c r="A1404" s="1">
        <v>1403</v>
      </c>
      <c r="B1404" s="1" t="s">
        <v>1535</v>
      </c>
      <c r="C1404" s="2">
        <v>46036</v>
      </c>
      <c r="D1404" s="1" t="s">
        <v>184</v>
      </c>
      <c r="E1404" s="1" t="s">
        <v>116</v>
      </c>
      <c r="F1404" s="1" t="s">
        <v>23</v>
      </c>
      <c r="G1404" s="1" t="s">
        <v>24</v>
      </c>
      <c r="H1404" s="1">
        <v>1</v>
      </c>
      <c r="I1404" s="1" t="s">
        <v>973</v>
      </c>
      <c r="J1404" s="1" t="s">
        <v>26</v>
      </c>
      <c r="K1404" s="1">
        <v>9200000</v>
      </c>
      <c r="L1404" s="1">
        <v>0</v>
      </c>
      <c r="M1404" s="1">
        <v>0</v>
      </c>
      <c r="N1404" s="1">
        <v>1012000</v>
      </c>
      <c r="O1404" s="1">
        <v>0</v>
      </c>
      <c r="P1404" s="1">
        <v>0</v>
      </c>
      <c r="Q1404" s="1">
        <v>0</v>
      </c>
      <c r="R1404" s="1">
        <v>10212000</v>
      </c>
      <c r="S1404" s="1">
        <v>1600000</v>
      </c>
      <c r="T1404" s="1">
        <v>17.391304347826001</v>
      </c>
      <c r="U1404" t="str">
        <f t="shared" si="21"/>
        <v>Week 2</v>
      </c>
    </row>
    <row r="1405" spans="1:21" x14ac:dyDescent="0.25">
      <c r="A1405" s="1">
        <v>1404</v>
      </c>
      <c r="B1405" s="1" t="s">
        <v>1536</v>
      </c>
      <c r="C1405" s="2">
        <v>46036</v>
      </c>
      <c r="D1405" s="1" t="s">
        <v>202</v>
      </c>
      <c r="E1405" s="1" t="s">
        <v>203</v>
      </c>
      <c r="F1405" s="1" t="s">
        <v>30</v>
      </c>
      <c r="G1405" s="1" t="s">
        <v>24</v>
      </c>
      <c r="H1405" s="1">
        <v>1</v>
      </c>
      <c r="I1405" s="1" t="s">
        <v>1537</v>
      </c>
      <c r="J1405" s="1" t="s">
        <v>26</v>
      </c>
      <c r="K1405" s="1">
        <v>8927800</v>
      </c>
      <c r="L1405" s="1">
        <v>0</v>
      </c>
      <c r="M1405" s="1">
        <v>0</v>
      </c>
      <c r="N1405" s="1">
        <v>982058</v>
      </c>
      <c r="O1405" s="1">
        <v>0</v>
      </c>
      <c r="P1405" s="1">
        <v>0</v>
      </c>
      <c r="Q1405" s="1">
        <v>0</v>
      </c>
      <c r="R1405" s="1">
        <v>9909858</v>
      </c>
      <c r="S1405" s="1">
        <v>2270142.3423422999</v>
      </c>
      <c r="T1405" s="1">
        <v>25.427791195392999</v>
      </c>
      <c r="U1405" t="str">
        <f t="shared" si="21"/>
        <v>Week 2</v>
      </c>
    </row>
    <row r="1406" spans="1:21" x14ac:dyDescent="0.25">
      <c r="A1406" s="1">
        <v>1405</v>
      </c>
      <c r="B1406" s="1" t="s">
        <v>1538</v>
      </c>
      <c r="C1406" s="2">
        <v>46036</v>
      </c>
      <c r="D1406" s="1" t="s">
        <v>184</v>
      </c>
      <c r="E1406" s="1" t="s">
        <v>116</v>
      </c>
      <c r="F1406" s="1" t="s">
        <v>23</v>
      </c>
      <c r="G1406" s="1" t="s">
        <v>24</v>
      </c>
      <c r="H1406" s="1">
        <v>1</v>
      </c>
      <c r="I1406" s="1" t="s">
        <v>973</v>
      </c>
      <c r="J1406" s="1" t="s">
        <v>26</v>
      </c>
      <c r="K1406" s="1">
        <v>34999500</v>
      </c>
      <c r="L1406" s="1">
        <v>0</v>
      </c>
      <c r="M1406" s="1">
        <v>0</v>
      </c>
      <c r="N1406" s="1">
        <v>3849945</v>
      </c>
      <c r="O1406" s="1">
        <v>0</v>
      </c>
      <c r="P1406" s="1">
        <v>0</v>
      </c>
      <c r="Q1406" s="1">
        <v>0</v>
      </c>
      <c r="R1406" s="1">
        <v>38849445</v>
      </c>
      <c r="S1406" s="1">
        <v>7300164.5441440996</v>
      </c>
      <c r="T1406" s="1">
        <v>20.857910953425002</v>
      </c>
      <c r="U1406" t="str">
        <f t="shared" si="21"/>
        <v>Week 2</v>
      </c>
    </row>
    <row r="1407" spans="1:21" x14ac:dyDescent="0.25">
      <c r="A1407" s="1">
        <v>1406</v>
      </c>
      <c r="B1407" s="1" t="s">
        <v>1539</v>
      </c>
      <c r="C1407" s="2">
        <v>46036</v>
      </c>
      <c r="D1407" s="1" t="s">
        <v>202</v>
      </c>
      <c r="E1407" s="1" t="s">
        <v>22</v>
      </c>
      <c r="F1407" s="1" t="s">
        <v>23</v>
      </c>
      <c r="G1407" s="1" t="s">
        <v>24</v>
      </c>
      <c r="H1407" s="1">
        <v>1</v>
      </c>
      <c r="I1407" s="1" t="s">
        <v>800</v>
      </c>
      <c r="J1407" s="1" t="s">
        <v>26</v>
      </c>
      <c r="K1407" s="1">
        <v>30647000</v>
      </c>
      <c r="L1407" s="1">
        <v>0</v>
      </c>
      <c r="M1407" s="1">
        <v>0</v>
      </c>
      <c r="N1407" s="1">
        <v>3371170</v>
      </c>
      <c r="O1407" s="1">
        <v>0</v>
      </c>
      <c r="P1407" s="1">
        <v>0</v>
      </c>
      <c r="Q1407" s="1">
        <v>0</v>
      </c>
      <c r="R1407" s="1">
        <v>34018170</v>
      </c>
      <c r="S1407" s="1">
        <v>6279750</v>
      </c>
      <c r="T1407" s="1">
        <v>20.490586354291999</v>
      </c>
      <c r="U1407" t="str">
        <f t="shared" si="21"/>
        <v>Week 2</v>
      </c>
    </row>
    <row r="1408" spans="1:21" x14ac:dyDescent="0.25">
      <c r="A1408" s="1">
        <v>1407</v>
      </c>
      <c r="B1408" s="1" t="s">
        <v>1540</v>
      </c>
      <c r="C1408" s="2">
        <v>46036</v>
      </c>
      <c r="D1408" s="1" t="s">
        <v>202</v>
      </c>
      <c r="E1408" s="1" t="s">
        <v>203</v>
      </c>
      <c r="F1408" s="1" t="s">
        <v>23</v>
      </c>
      <c r="G1408" s="1" t="s">
        <v>24</v>
      </c>
      <c r="H1408" s="1">
        <v>1</v>
      </c>
      <c r="I1408" s="1" t="s">
        <v>1541</v>
      </c>
      <c r="J1408" s="1" t="s">
        <v>26</v>
      </c>
      <c r="K1408" s="1">
        <v>11215000</v>
      </c>
      <c r="L1408" s="1">
        <v>0</v>
      </c>
      <c r="M1408" s="1">
        <v>0</v>
      </c>
      <c r="N1408" s="1">
        <v>1233650</v>
      </c>
      <c r="O1408" s="1">
        <v>0</v>
      </c>
      <c r="P1408" s="1">
        <v>0</v>
      </c>
      <c r="Q1408" s="1">
        <v>0</v>
      </c>
      <c r="R1408" s="1">
        <v>12448650</v>
      </c>
      <c r="S1408" s="1">
        <v>2487981.9900000002</v>
      </c>
      <c r="T1408" s="1">
        <v>22.184413642443001</v>
      </c>
      <c r="U1408" t="str">
        <f t="shared" si="21"/>
        <v>Week 2</v>
      </c>
    </row>
    <row r="1409" spans="1:21" x14ac:dyDescent="0.25">
      <c r="A1409" s="1">
        <v>1408</v>
      </c>
      <c r="B1409" s="1" t="s">
        <v>1542</v>
      </c>
      <c r="C1409" s="2">
        <v>46036</v>
      </c>
      <c r="D1409" s="1" t="s">
        <v>2979</v>
      </c>
      <c r="E1409" s="1" t="s">
        <v>203</v>
      </c>
      <c r="F1409" s="1" t="s">
        <v>23</v>
      </c>
      <c r="G1409" s="1" t="s">
        <v>24</v>
      </c>
      <c r="H1409" s="1">
        <v>1</v>
      </c>
      <c r="I1409" s="1" t="s">
        <v>198</v>
      </c>
      <c r="J1409" s="1"/>
      <c r="K1409" s="1">
        <v>77502000</v>
      </c>
      <c r="L1409" s="1">
        <v>0</v>
      </c>
      <c r="M1409" s="1">
        <v>0</v>
      </c>
      <c r="N1409" s="1">
        <v>8525220</v>
      </c>
      <c r="O1409" s="1">
        <v>0</v>
      </c>
      <c r="P1409" s="1">
        <v>0</v>
      </c>
      <c r="Q1409" s="1">
        <v>0</v>
      </c>
      <c r="R1409" s="1">
        <v>86027220</v>
      </c>
      <c r="S1409" s="1">
        <v>13391134.054053999</v>
      </c>
      <c r="T1409" s="1">
        <v>17.278436755249999</v>
      </c>
      <c r="U1409" t="str">
        <f t="shared" si="21"/>
        <v>Week 2</v>
      </c>
    </row>
    <row r="1410" spans="1:21" x14ac:dyDescent="0.25">
      <c r="A1410" s="1">
        <v>1409</v>
      </c>
      <c r="B1410" s="1" t="s">
        <v>1543</v>
      </c>
      <c r="C1410" s="2">
        <v>46036</v>
      </c>
      <c r="D1410" s="1" t="s">
        <v>248</v>
      </c>
      <c r="E1410" s="1" t="s">
        <v>99</v>
      </c>
      <c r="F1410" s="1" t="s">
        <v>23</v>
      </c>
      <c r="G1410" s="1" t="s">
        <v>24</v>
      </c>
      <c r="H1410" s="1">
        <v>1</v>
      </c>
      <c r="I1410" s="1" t="s">
        <v>1544</v>
      </c>
      <c r="J1410" s="1"/>
      <c r="K1410" s="1">
        <v>43300000</v>
      </c>
      <c r="L1410" s="1">
        <v>0</v>
      </c>
      <c r="M1410" s="1">
        <v>0</v>
      </c>
      <c r="N1410" s="1">
        <v>4763000</v>
      </c>
      <c r="O1410" s="1">
        <v>0</v>
      </c>
      <c r="P1410" s="1">
        <v>0</v>
      </c>
      <c r="Q1410" s="1">
        <v>0</v>
      </c>
      <c r="R1410" s="1">
        <v>48063000</v>
      </c>
      <c r="S1410" s="1">
        <v>8816217.5500000007</v>
      </c>
      <c r="T1410" s="1">
        <v>20.360779561200999</v>
      </c>
      <c r="U1410" t="str">
        <f t="shared" si="21"/>
        <v>Week 2</v>
      </c>
    </row>
    <row r="1411" spans="1:21" x14ac:dyDescent="0.25">
      <c r="A1411" s="1">
        <v>1410</v>
      </c>
      <c r="B1411" s="1" t="s">
        <v>1545</v>
      </c>
      <c r="C1411" s="2">
        <v>46036</v>
      </c>
      <c r="D1411" s="1" t="s">
        <v>202</v>
      </c>
      <c r="E1411" s="1" t="s">
        <v>203</v>
      </c>
      <c r="F1411" s="1" t="s">
        <v>23</v>
      </c>
      <c r="G1411" s="1" t="s">
        <v>24</v>
      </c>
      <c r="H1411" s="1">
        <v>1</v>
      </c>
      <c r="I1411" s="1" t="s">
        <v>1546</v>
      </c>
      <c r="J1411" s="1" t="s">
        <v>26</v>
      </c>
      <c r="K1411" s="1">
        <v>10100000</v>
      </c>
      <c r="L1411" s="1">
        <v>0</v>
      </c>
      <c r="M1411" s="1">
        <v>0</v>
      </c>
      <c r="N1411" s="1">
        <v>1111000</v>
      </c>
      <c r="O1411" s="1">
        <v>0</v>
      </c>
      <c r="P1411" s="1">
        <v>0</v>
      </c>
      <c r="Q1411" s="1">
        <v>0</v>
      </c>
      <c r="R1411" s="1">
        <v>11211000</v>
      </c>
      <c r="S1411" s="1">
        <v>10097775</v>
      </c>
      <c r="T1411" s="1">
        <v>99.977970297029998</v>
      </c>
      <c r="U1411" t="str">
        <f t="shared" ref="U1411:U1474" si="22">"Week "&amp;IF(DAY(C1411)&gt;=24,4,INT((DAY(C1411)-1)/7)+1)</f>
        <v>Week 2</v>
      </c>
    </row>
    <row r="1412" spans="1:21" x14ac:dyDescent="0.25">
      <c r="A1412" s="1">
        <v>1411</v>
      </c>
      <c r="B1412" s="1" t="s">
        <v>1547</v>
      </c>
      <c r="C1412" s="2">
        <v>46036</v>
      </c>
      <c r="D1412" s="1" t="s">
        <v>112</v>
      </c>
      <c r="E1412" s="1" t="s">
        <v>34</v>
      </c>
      <c r="F1412" s="1" t="s">
        <v>30</v>
      </c>
      <c r="G1412" s="1" t="s">
        <v>24</v>
      </c>
      <c r="H1412" s="1">
        <v>1</v>
      </c>
      <c r="I1412" s="1" t="s">
        <v>1548</v>
      </c>
      <c r="J1412" s="1"/>
      <c r="K1412" s="1">
        <v>28325000</v>
      </c>
      <c r="L1412" s="1">
        <v>0</v>
      </c>
      <c r="M1412" s="1">
        <v>0</v>
      </c>
      <c r="N1412" s="1">
        <v>3115750</v>
      </c>
      <c r="O1412" s="1">
        <v>0</v>
      </c>
      <c r="P1412" s="1">
        <v>0</v>
      </c>
      <c r="Q1412" s="1">
        <v>0</v>
      </c>
      <c r="R1412" s="1">
        <v>31440750</v>
      </c>
      <c r="S1412" s="1">
        <v>5325000</v>
      </c>
      <c r="T1412" s="1">
        <v>18.799646954987001</v>
      </c>
      <c r="U1412" t="str">
        <f t="shared" si="22"/>
        <v>Week 2</v>
      </c>
    </row>
    <row r="1413" spans="1:21" x14ac:dyDescent="0.25">
      <c r="A1413" s="1">
        <v>1412</v>
      </c>
      <c r="B1413" s="1" t="s">
        <v>1549</v>
      </c>
      <c r="C1413" s="2">
        <v>46036</v>
      </c>
      <c r="D1413" s="1" t="s">
        <v>33</v>
      </c>
      <c r="E1413" s="1" t="s">
        <v>34</v>
      </c>
      <c r="F1413" s="1" t="s">
        <v>30</v>
      </c>
      <c r="G1413" s="1" t="s">
        <v>24</v>
      </c>
      <c r="H1413" s="1">
        <v>1</v>
      </c>
      <c r="I1413" s="1" t="s">
        <v>1550</v>
      </c>
      <c r="J1413" s="1"/>
      <c r="K1413" s="1">
        <v>3540250</v>
      </c>
      <c r="L1413" s="1">
        <v>0</v>
      </c>
      <c r="M1413" s="1">
        <v>0</v>
      </c>
      <c r="N1413" s="1">
        <v>389427.5</v>
      </c>
      <c r="O1413" s="1">
        <v>0</v>
      </c>
      <c r="P1413" s="1">
        <v>0</v>
      </c>
      <c r="Q1413" s="1">
        <v>0</v>
      </c>
      <c r="R1413" s="1">
        <v>3929677.5</v>
      </c>
      <c r="S1413" s="1">
        <v>3540250</v>
      </c>
      <c r="T1413" s="1">
        <v>100</v>
      </c>
      <c r="U1413" t="str">
        <f t="shared" si="22"/>
        <v>Week 2</v>
      </c>
    </row>
    <row r="1414" spans="1:21" x14ac:dyDescent="0.25">
      <c r="A1414" s="1">
        <v>1413</v>
      </c>
      <c r="B1414" s="1" t="s">
        <v>1551</v>
      </c>
      <c r="C1414" s="2">
        <v>46036</v>
      </c>
      <c r="D1414" s="1" t="s">
        <v>33</v>
      </c>
      <c r="E1414" s="1" t="s">
        <v>34</v>
      </c>
      <c r="F1414" s="1" t="s">
        <v>23</v>
      </c>
      <c r="G1414" s="1" t="s">
        <v>24</v>
      </c>
      <c r="H1414" s="1">
        <v>1</v>
      </c>
      <c r="I1414" s="1" t="s">
        <v>1552</v>
      </c>
      <c r="J1414" s="1"/>
      <c r="K1414" s="1">
        <v>58500000</v>
      </c>
      <c r="L1414" s="1">
        <v>0</v>
      </c>
      <c r="M1414" s="1">
        <v>0</v>
      </c>
      <c r="N1414" s="1">
        <v>6435000</v>
      </c>
      <c r="O1414" s="1">
        <v>0</v>
      </c>
      <c r="P1414" s="1">
        <v>0</v>
      </c>
      <c r="Q1414" s="1">
        <v>0</v>
      </c>
      <c r="R1414" s="1">
        <v>64935000</v>
      </c>
      <c r="S1414" s="1">
        <v>25860000</v>
      </c>
      <c r="T1414" s="1">
        <v>44.205128205127998</v>
      </c>
      <c r="U1414" t="str">
        <f t="shared" si="22"/>
        <v>Week 2</v>
      </c>
    </row>
    <row r="1415" spans="1:21" x14ac:dyDescent="0.25">
      <c r="A1415" s="1">
        <v>1414</v>
      </c>
      <c r="B1415" s="1" t="s">
        <v>1553</v>
      </c>
      <c r="C1415" s="2">
        <v>46035</v>
      </c>
      <c r="D1415" s="1" t="s">
        <v>112</v>
      </c>
      <c r="E1415" s="1" t="s">
        <v>34</v>
      </c>
      <c r="F1415" s="1" t="s">
        <v>23</v>
      </c>
      <c r="G1415" s="1" t="s">
        <v>24</v>
      </c>
      <c r="H1415" s="1">
        <v>1</v>
      </c>
      <c r="I1415" s="1" t="s">
        <v>1473</v>
      </c>
      <c r="J1415" s="1"/>
      <c r="K1415" s="1">
        <v>1500000</v>
      </c>
      <c r="L1415" s="1">
        <v>0</v>
      </c>
      <c r="M1415" s="1">
        <v>0</v>
      </c>
      <c r="N1415" s="1">
        <v>165000</v>
      </c>
      <c r="O1415" s="1">
        <v>0</v>
      </c>
      <c r="P1415" s="1">
        <v>0</v>
      </c>
      <c r="Q1415" s="1">
        <v>0</v>
      </c>
      <c r="R1415" s="1">
        <v>1665000</v>
      </c>
      <c r="S1415" s="1">
        <v>600000</v>
      </c>
      <c r="T1415" s="1">
        <v>40</v>
      </c>
      <c r="U1415" t="str">
        <f t="shared" si="22"/>
        <v>Week 2</v>
      </c>
    </row>
    <row r="1416" spans="1:21" x14ac:dyDescent="0.25">
      <c r="A1416" s="1">
        <v>1415</v>
      </c>
      <c r="B1416" s="1" t="s">
        <v>1554</v>
      </c>
      <c r="C1416" s="2">
        <v>46035</v>
      </c>
      <c r="D1416" s="1" t="s">
        <v>202</v>
      </c>
      <c r="E1416" s="1" t="s">
        <v>203</v>
      </c>
      <c r="F1416" s="1" t="s">
        <v>23</v>
      </c>
      <c r="G1416" s="1" t="s">
        <v>24</v>
      </c>
      <c r="H1416" s="1">
        <v>1</v>
      </c>
      <c r="I1416" s="1" t="s">
        <v>1541</v>
      </c>
      <c r="J1416" s="1" t="s">
        <v>26</v>
      </c>
      <c r="K1416" s="1">
        <v>2884000</v>
      </c>
      <c r="L1416" s="1">
        <v>0</v>
      </c>
      <c r="M1416" s="1">
        <v>0</v>
      </c>
      <c r="N1416" s="1">
        <v>317240</v>
      </c>
      <c r="O1416" s="1">
        <v>0</v>
      </c>
      <c r="P1416" s="1">
        <v>0</v>
      </c>
      <c r="Q1416" s="1">
        <v>0</v>
      </c>
      <c r="R1416" s="1">
        <v>3201240</v>
      </c>
      <c r="S1416" s="1">
        <v>626549.54963422997</v>
      </c>
      <c r="T1416" s="1">
        <v>21.725019058053</v>
      </c>
      <c r="U1416" t="str">
        <f t="shared" si="22"/>
        <v>Week 2</v>
      </c>
    </row>
    <row r="1417" spans="1:21" x14ac:dyDescent="0.25">
      <c r="A1417" s="1">
        <v>1416</v>
      </c>
      <c r="B1417" s="1" t="s">
        <v>1555</v>
      </c>
      <c r="C1417" s="2">
        <v>46035</v>
      </c>
      <c r="D1417" s="1" t="s">
        <v>53</v>
      </c>
      <c r="E1417" s="1" t="s">
        <v>54</v>
      </c>
      <c r="F1417" s="1" t="s">
        <v>30</v>
      </c>
      <c r="G1417" s="1" t="s">
        <v>24</v>
      </c>
      <c r="H1417" s="1">
        <v>1</v>
      </c>
      <c r="I1417" s="1" t="s">
        <v>1556</v>
      </c>
      <c r="J1417" s="1"/>
      <c r="K1417" s="1">
        <v>2923585</v>
      </c>
      <c r="L1417" s="1">
        <v>0</v>
      </c>
      <c r="M1417" s="1">
        <v>0</v>
      </c>
      <c r="N1417" s="1">
        <v>321594.34999999998</v>
      </c>
      <c r="O1417" s="1">
        <v>0</v>
      </c>
      <c r="P1417" s="1">
        <v>0</v>
      </c>
      <c r="Q1417" s="1">
        <v>0</v>
      </c>
      <c r="R1417" s="1">
        <v>3245179.35</v>
      </c>
      <c r="S1417" s="1">
        <v>536985</v>
      </c>
      <c r="T1417" s="1">
        <v>18.367346938775999</v>
      </c>
      <c r="U1417" t="str">
        <f t="shared" si="22"/>
        <v>Week 2</v>
      </c>
    </row>
    <row r="1418" spans="1:21" x14ac:dyDescent="0.25">
      <c r="A1418" s="1">
        <v>1417</v>
      </c>
      <c r="B1418" s="1" t="s">
        <v>1557</v>
      </c>
      <c r="C1418" s="2">
        <v>46035</v>
      </c>
      <c r="D1418" s="1" t="s">
        <v>1558</v>
      </c>
      <c r="E1418" s="1" t="s">
        <v>1281</v>
      </c>
      <c r="F1418" s="1" t="s">
        <v>30</v>
      </c>
      <c r="G1418" s="1" t="s">
        <v>24</v>
      </c>
      <c r="H1418" s="1">
        <v>1</v>
      </c>
      <c r="I1418" s="1" t="s">
        <v>1559</v>
      </c>
      <c r="J1418" s="1"/>
      <c r="K1418" s="1">
        <v>8381110</v>
      </c>
      <c r="L1418" s="1">
        <v>0</v>
      </c>
      <c r="M1418" s="1">
        <v>0</v>
      </c>
      <c r="N1418" s="1">
        <v>921922.1</v>
      </c>
      <c r="O1418" s="1">
        <v>0</v>
      </c>
      <c r="P1418" s="1">
        <v>0</v>
      </c>
      <c r="Q1418" s="1">
        <v>0</v>
      </c>
      <c r="R1418" s="1">
        <v>9303032.0999999996</v>
      </c>
      <c r="S1418" s="1">
        <v>753950.27027028997</v>
      </c>
      <c r="T1418" s="1">
        <v>8.9958283600893996</v>
      </c>
      <c r="U1418" t="str">
        <f t="shared" si="22"/>
        <v>Week 2</v>
      </c>
    </row>
    <row r="1419" spans="1:21" x14ac:dyDescent="0.25">
      <c r="A1419" s="1">
        <v>1418</v>
      </c>
      <c r="B1419" s="1" t="s">
        <v>1560</v>
      </c>
      <c r="C1419" s="2">
        <v>46035</v>
      </c>
      <c r="D1419" s="1" t="s">
        <v>1561</v>
      </c>
      <c r="E1419" s="1" t="s">
        <v>1486</v>
      </c>
      <c r="F1419" s="1" t="s">
        <v>23</v>
      </c>
      <c r="G1419" s="1" t="s">
        <v>24</v>
      </c>
      <c r="H1419" s="1">
        <v>1</v>
      </c>
      <c r="I1419" s="1" t="s">
        <v>1562</v>
      </c>
      <c r="J1419" s="1"/>
      <c r="K1419" s="1">
        <v>4015420</v>
      </c>
      <c r="L1419" s="1">
        <v>0</v>
      </c>
      <c r="M1419" s="1">
        <v>0</v>
      </c>
      <c r="N1419" s="1">
        <v>441696.2</v>
      </c>
      <c r="O1419" s="1">
        <v>0</v>
      </c>
      <c r="P1419" s="1">
        <v>0</v>
      </c>
      <c r="Q1419" s="1">
        <v>0</v>
      </c>
      <c r="R1419" s="1">
        <v>4457116.2</v>
      </c>
      <c r="S1419" s="1">
        <v>1407235</v>
      </c>
      <c r="T1419" s="1">
        <v>35.045773542992002</v>
      </c>
      <c r="U1419" t="str">
        <f t="shared" si="22"/>
        <v>Week 2</v>
      </c>
    </row>
    <row r="1420" spans="1:21" x14ac:dyDescent="0.25">
      <c r="A1420" s="1">
        <v>1419</v>
      </c>
      <c r="B1420" s="1" t="s">
        <v>1563</v>
      </c>
      <c r="C1420" s="2">
        <v>46035</v>
      </c>
      <c r="D1420" s="1" t="s">
        <v>1558</v>
      </c>
      <c r="E1420" s="1" t="s">
        <v>1281</v>
      </c>
      <c r="F1420" s="1" t="s">
        <v>30</v>
      </c>
      <c r="G1420" s="1" t="s">
        <v>24</v>
      </c>
      <c r="H1420" s="1">
        <v>1</v>
      </c>
      <c r="I1420" s="1" t="s">
        <v>1564</v>
      </c>
      <c r="J1420" s="1"/>
      <c r="K1420" s="1">
        <v>1149545000</v>
      </c>
      <c r="L1420" s="1">
        <v>0</v>
      </c>
      <c r="M1420" s="1">
        <v>0</v>
      </c>
      <c r="N1420" s="1">
        <v>126449950</v>
      </c>
      <c r="O1420" s="1">
        <v>0</v>
      </c>
      <c r="P1420" s="1">
        <v>0</v>
      </c>
      <c r="Q1420" s="1">
        <v>0</v>
      </c>
      <c r="R1420" s="1">
        <v>1275994950</v>
      </c>
      <c r="S1420" s="1">
        <v>42055000</v>
      </c>
      <c r="T1420" s="1">
        <v>3.6584039772258001</v>
      </c>
      <c r="U1420" t="str">
        <f t="shared" si="22"/>
        <v>Week 2</v>
      </c>
    </row>
    <row r="1421" spans="1:21" x14ac:dyDescent="0.25">
      <c r="A1421" s="1">
        <v>1420</v>
      </c>
      <c r="B1421" s="1" t="s">
        <v>1565</v>
      </c>
      <c r="C1421" s="2">
        <v>46035</v>
      </c>
      <c r="D1421" s="1" t="s">
        <v>53</v>
      </c>
      <c r="E1421" s="1" t="s">
        <v>54</v>
      </c>
      <c r="F1421" s="1" t="s">
        <v>30</v>
      </c>
      <c r="G1421" s="1" t="s">
        <v>24</v>
      </c>
      <c r="H1421" s="1">
        <v>1</v>
      </c>
      <c r="I1421" s="1" t="s">
        <v>1556</v>
      </c>
      <c r="J1421" s="1"/>
      <c r="K1421" s="1">
        <v>6312425</v>
      </c>
      <c r="L1421" s="1">
        <v>0</v>
      </c>
      <c r="M1421" s="1">
        <v>0</v>
      </c>
      <c r="N1421" s="1">
        <v>694366.75</v>
      </c>
      <c r="O1421" s="1">
        <v>0</v>
      </c>
      <c r="P1421" s="1">
        <v>0</v>
      </c>
      <c r="Q1421" s="1">
        <v>0</v>
      </c>
      <c r="R1421" s="1">
        <v>7006791.75</v>
      </c>
      <c r="S1421" s="1">
        <v>1192425</v>
      </c>
      <c r="T1421" s="1">
        <v>18.890125427232999</v>
      </c>
      <c r="U1421" t="str">
        <f t="shared" si="22"/>
        <v>Week 2</v>
      </c>
    </row>
    <row r="1422" spans="1:21" x14ac:dyDescent="0.25">
      <c r="A1422" s="1">
        <v>1421</v>
      </c>
      <c r="B1422" s="1" t="s">
        <v>1566</v>
      </c>
      <c r="C1422" s="2">
        <v>46034</v>
      </c>
      <c r="D1422" s="1" t="s">
        <v>33</v>
      </c>
      <c r="E1422" s="1" t="s">
        <v>34</v>
      </c>
      <c r="F1422" s="1" t="s">
        <v>30</v>
      </c>
      <c r="G1422" s="1" t="s">
        <v>24</v>
      </c>
      <c r="H1422" s="1">
        <v>1</v>
      </c>
      <c r="I1422" s="1" t="s">
        <v>1567</v>
      </c>
      <c r="J1422" s="1"/>
      <c r="K1422" s="1">
        <v>3750000</v>
      </c>
      <c r="L1422" s="1">
        <v>0</v>
      </c>
      <c r="M1422" s="1">
        <v>0</v>
      </c>
      <c r="N1422" s="1">
        <v>412500</v>
      </c>
      <c r="O1422" s="1">
        <v>0</v>
      </c>
      <c r="P1422" s="1">
        <v>0</v>
      </c>
      <c r="Q1422" s="1">
        <v>0</v>
      </c>
      <c r="R1422" s="1">
        <v>4162500</v>
      </c>
      <c r="S1422" s="1">
        <v>2100000</v>
      </c>
      <c r="T1422" s="1">
        <v>56</v>
      </c>
      <c r="U1422" t="str">
        <f t="shared" si="22"/>
        <v>Week 2</v>
      </c>
    </row>
    <row r="1423" spans="1:21" x14ac:dyDescent="0.25">
      <c r="A1423" s="1">
        <v>1422</v>
      </c>
      <c r="B1423" s="1" t="s">
        <v>1568</v>
      </c>
      <c r="C1423" s="2">
        <v>46034</v>
      </c>
      <c r="D1423" s="1" t="s">
        <v>21</v>
      </c>
      <c r="E1423" s="1" t="s">
        <v>22</v>
      </c>
      <c r="F1423" s="1" t="s">
        <v>865</v>
      </c>
      <c r="G1423" s="1" t="s">
        <v>24</v>
      </c>
      <c r="H1423" s="1">
        <v>1</v>
      </c>
      <c r="I1423" s="1" t="s">
        <v>1569</v>
      </c>
      <c r="J1423" s="1"/>
      <c r="K1423" s="1">
        <v>9957894</v>
      </c>
      <c r="L1423" s="1">
        <v>0</v>
      </c>
      <c r="M1423" s="1">
        <v>0</v>
      </c>
      <c r="N1423" s="1">
        <v>1095368.3400000001</v>
      </c>
      <c r="O1423" s="1">
        <v>0</v>
      </c>
      <c r="P1423" s="1">
        <v>0</v>
      </c>
      <c r="Q1423" s="1">
        <v>0</v>
      </c>
      <c r="R1423" s="1">
        <v>11053262.34</v>
      </c>
      <c r="S1423" s="1">
        <v>6382894</v>
      </c>
      <c r="T1423" s="1">
        <v>64.098834552767997</v>
      </c>
      <c r="U1423" t="str">
        <f t="shared" si="22"/>
        <v>Week 2</v>
      </c>
    </row>
    <row r="1424" spans="1:21" x14ac:dyDescent="0.25">
      <c r="A1424" s="1">
        <v>1423</v>
      </c>
      <c r="B1424" s="1" t="s">
        <v>1570</v>
      </c>
      <c r="C1424" s="2">
        <v>46034</v>
      </c>
      <c r="D1424" s="1" t="s">
        <v>1469</v>
      </c>
      <c r="E1424" s="1" t="s">
        <v>1486</v>
      </c>
      <c r="F1424" s="1" t="s">
        <v>30</v>
      </c>
      <c r="G1424" s="1" t="s">
        <v>24</v>
      </c>
      <c r="H1424" s="1">
        <v>1</v>
      </c>
      <c r="I1424" s="1" t="s">
        <v>1571</v>
      </c>
      <c r="J1424" s="1"/>
      <c r="K1424" s="1">
        <v>1100000</v>
      </c>
      <c r="L1424" s="1">
        <v>0</v>
      </c>
      <c r="M1424" s="1">
        <v>0</v>
      </c>
      <c r="N1424" s="1">
        <v>121000</v>
      </c>
      <c r="O1424" s="1">
        <v>0</v>
      </c>
      <c r="P1424" s="1">
        <v>0</v>
      </c>
      <c r="Q1424" s="1">
        <v>0</v>
      </c>
      <c r="R1424" s="1">
        <v>1221000</v>
      </c>
      <c r="S1424" s="1">
        <v>250000</v>
      </c>
      <c r="T1424" s="1">
        <v>22.727272727273</v>
      </c>
      <c r="U1424" t="str">
        <f t="shared" si="22"/>
        <v>Week 2</v>
      </c>
    </row>
    <row r="1425" spans="1:21" x14ac:dyDescent="0.25">
      <c r="A1425" s="1">
        <v>1424</v>
      </c>
      <c r="B1425" s="1" t="s">
        <v>1572</v>
      </c>
      <c r="C1425" s="2">
        <v>46034</v>
      </c>
      <c r="D1425" s="1" t="s">
        <v>202</v>
      </c>
      <c r="E1425" s="1" t="s">
        <v>203</v>
      </c>
      <c r="F1425" s="1" t="s">
        <v>23</v>
      </c>
      <c r="G1425" s="1" t="s">
        <v>24</v>
      </c>
      <c r="H1425" s="1">
        <v>1</v>
      </c>
      <c r="I1425" s="1" t="s">
        <v>1573</v>
      </c>
      <c r="J1425" s="1" t="s">
        <v>26</v>
      </c>
      <c r="K1425" s="1">
        <v>3775000</v>
      </c>
      <c r="L1425" s="1">
        <v>0</v>
      </c>
      <c r="M1425" s="1">
        <v>0</v>
      </c>
      <c r="N1425" s="1">
        <v>415250</v>
      </c>
      <c r="O1425" s="1">
        <v>0</v>
      </c>
      <c r="P1425" s="1">
        <v>0</v>
      </c>
      <c r="Q1425" s="1">
        <v>0</v>
      </c>
      <c r="R1425" s="1">
        <v>4190250</v>
      </c>
      <c r="S1425" s="1">
        <v>575000</v>
      </c>
      <c r="T1425" s="1">
        <v>15.23178807947</v>
      </c>
      <c r="U1425" t="str">
        <f t="shared" si="22"/>
        <v>Week 2</v>
      </c>
    </row>
    <row r="1426" spans="1:21" x14ac:dyDescent="0.25">
      <c r="A1426" s="1">
        <v>1425</v>
      </c>
      <c r="B1426" s="1" t="s">
        <v>1574</v>
      </c>
      <c r="C1426" s="2">
        <v>46034</v>
      </c>
      <c r="D1426" s="1" t="s">
        <v>53</v>
      </c>
      <c r="E1426" s="1" t="s">
        <v>1530</v>
      </c>
      <c r="F1426" s="1" t="s">
        <v>30</v>
      </c>
      <c r="G1426" s="1" t="s">
        <v>24</v>
      </c>
      <c r="H1426" s="1">
        <v>1</v>
      </c>
      <c r="I1426" s="1" t="s">
        <v>1575</v>
      </c>
      <c r="J1426" s="1"/>
      <c r="K1426" s="1">
        <v>4752000</v>
      </c>
      <c r="L1426" s="1">
        <v>0</v>
      </c>
      <c r="M1426" s="1">
        <v>0</v>
      </c>
      <c r="N1426" s="1">
        <v>522720</v>
      </c>
      <c r="O1426" s="1">
        <v>0</v>
      </c>
      <c r="P1426" s="1">
        <v>0</v>
      </c>
      <c r="Q1426" s="1">
        <v>0</v>
      </c>
      <c r="R1426" s="1">
        <v>5274720</v>
      </c>
      <c r="S1426" s="1">
        <v>1553801.8</v>
      </c>
      <c r="T1426" s="1">
        <v>32.697849326598998</v>
      </c>
      <c r="U1426" t="str">
        <f t="shared" si="22"/>
        <v>Week 2</v>
      </c>
    </row>
    <row r="1427" spans="1:21" x14ac:dyDescent="0.25">
      <c r="A1427" s="1">
        <v>1426</v>
      </c>
      <c r="B1427" s="1" t="s">
        <v>1577</v>
      </c>
      <c r="C1427" s="2">
        <v>46034</v>
      </c>
      <c r="D1427" s="1" t="s">
        <v>184</v>
      </c>
      <c r="E1427" s="1" t="s">
        <v>116</v>
      </c>
      <c r="F1427" s="1" t="s">
        <v>30</v>
      </c>
      <c r="G1427" s="1" t="s">
        <v>24</v>
      </c>
      <c r="H1427" s="1">
        <v>1</v>
      </c>
      <c r="I1427" s="1" t="s">
        <v>1578</v>
      </c>
      <c r="J1427" s="1"/>
      <c r="K1427" s="1">
        <v>714350</v>
      </c>
      <c r="L1427" s="1">
        <v>0</v>
      </c>
      <c r="M1427" s="1">
        <v>0</v>
      </c>
      <c r="N1427" s="1">
        <v>78578.5</v>
      </c>
      <c r="O1427" s="1">
        <v>0</v>
      </c>
      <c r="P1427" s="1">
        <v>0</v>
      </c>
      <c r="Q1427" s="1">
        <v>0</v>
      </c>
      <c r="R1427" s="1">
        <v>792928.5</v>
      </c>
      <c r="S1427" s="1">
        <v>21430.5</v>
      </c>
      <c r="T1427" s="1">
        <v>3</v>
      </c>
      <c r="U1427" t="str">
        <f t="shared" si="22"/>
        <v>Week 2</v>
      </c>
    </row>
    <row r="1428" spans="1:21" x14ac:dyDescent="0.25">
      <c r="A1428" s="1">
        <v>1427</v>
      </c>
      <c r="B1428" s="1" t="s">
        <v>1579</v>
      </c>
      <c r="C1428" s="2">
        <v>46034</v>
      </c>
      <c r="D1428" s="1" t="s">
        <v>53</v>
      </c>
      <c r="E1428" s="1" t="s">
        <v>1530</v>
      </c>
      <c r="F1428" s="1" t="s">
        <v>30</v>
      </c>
      <c r="G1428" s="1" t="s">
        <v>24</v>
      </c>
      <c r="H1428" s="1">
        <v>1</v>
      </c>
      <c r="I1428" s="1" t="s">
        <v>1580</v>
      </c>
      <c r="J1428" s="1" t="s">
        <v>56</v>
      </c>
      <c r="K1428" s="1">
        <v>193016870</v>
      </c>
      <c r="L1428" s="1">
        <v>0</v>
      </c>
      <c r="M1428" s="1">
        <v>0</v>
      </c>
      <c r="N1428" s="1">
        <v>21231855.699999999</v>
      </c>
      <c r="O1428" s="1">
        <v>0</v>
      </c>
      <c r="P1428" s="1">
        <v>0</v>
      </c>
      <c r="Q1428" s="1">
        <v>0</v>
      </c>
      <c r="R1428" s="1">
        <v>214248725.69999999</v>
      </c>
      <c r="S1428" s="1">
        <v>5365157.1621625004</v>
      </c>
      <c r="T1428" s="1">
        <v>2.7796312115944</v>
      </c>
      <c r="U1428" t="str">
        <f t="shared" si="22"/>
        <v>Week 2</v>
      </c>
    </row>
    <row r="1429" spans="1:21" x14ac:dyDescent="0.25">
      <c r="A1429" s="1">
        <v>1428</v>
      </c>
      <c r="B1429" s="1" t="s">
        <v>1581</v>
      </c>
      <c r="C1429" s="2">
        <v>46034</v>
      </c>
      <c r="D1429" s="1" t="s">
        <v>33</v>
      </c>
      <c r="E1429" s="1" t="s">
        <v>34</v>
      </c>
      <c r="F1429" s="1" t="s">
        <v>30</v>
      </c>
      <c r="G1429" s="1" t="s">
        <v>24</v>
      </c>
      <c r="H1429" s="1">
        <v>1</v>
      </c>
      <c r="I1429" s="1" t="s">
        <v>1582</v>
      </c>
      <c r="J1429" s="1"/>
      <c r="K1429" s="1">
        <v>69216000</v>
      </c>
      <c r="L1429" s="1">
        <v>0</v>
      </c>
      <c r="M1429" s="1">
        <v>0</v>
      </c>
      <c r="N1429" s="1">
        <v>7613760</v>
      </c>
      <c r="O1429" s="1">
        <v>0</v>
      </c>
      <c r="P1429" s="1">
        <v>0</v>
      </c>
      <c r="Q1429" s="1">
        <v>0</v>
      </c>
      <c r="R1429" s="1">
        <v>76829760</v>
      </c>
      <c r="S1429" s="1">
        <v>12216000</v>
      </c>
      <c r="T1429" s="1">
        <v>17.649098474340999</v>
      </c>
      <c r="U1429" t="str">
        <f t="shared" si="22"/>
        <v>Week 2</v>
      </c>
    </row>
    <row r="1430" spans="1:21" x14ac:dyDescent="0.25">
      <c r="A1430" s="1">
        <v>1429</v>
      </c>
      <c r="B1430" s="1" t="s">
        <v>1583</v>
      </c>
      <c r="C1430" s="2">
        <v>46034</v>
      </c>
      <c r="D1430" s="1" t="s">
        <v>33</v>
      </c>
      <c r="E1430" s="1" t="s">
        <v>34</v>
      </c>
      <c r="F1430" s="1" t="s">
        <v>30</v>
      </c>
      <c r="G1430" s="1" t="s">
        <v>24</v>
      </c>
      <c r="H1430" s="1">
        <v>1</v>
      </c>
      <c r="I1430" s="1" t="s">
        <v>1584</v>
      </c>
      <c r="J1430" s="1"/>
      <c r="K1430" s="1">
        <v>63942400</v>
      </c>
      <c r="L1430" s="1">
        <v>0</v>
      </c>
      <c r="M1430" s="1">
        <v>0</v>
      </c>
      <c r="N1430" s="1">
        <v>7033664</v>
      </c>
      <c r="O1430" s="1">
        <v>0</v>
      </c>
      <c r="P1430" s="1">
        <v>0</v>
      </c>
      <c r="Q1430" s="1">
        <v>0</v>
      </c>
      <c r="R1430" s="1">
        <v>70976064</v>
      </c>
      <c r="S1430" s="1">
        <v>11452400</v>
      </c>
      <c r="T1430" s="1">
        <v>17.910494445000001</v>
      </c>
      <c r="U1430" t="str">
        <f t="shared" si="22"/>
        <v>Week 2</v>
      </c>
    </row>
    <row r="1431" spans="1:21" x14ac:dyDescent="0.25">
      <c r="A1431" s="1">
        <v>1430</v>
      </c>
      <c r="B1431" s="1" t="s">
        <v>1585</v>
      </c>
      <c r="C1431" s="2">
        <v>46034</v>
      </c>
      <c r="D1431" s="1" t="s">
        <v>53</v>
      </c>
      <c r="E1431" s="1" t="s">
        <v>1530</v>
      </c>
      <c r="F1431" s="1" t="s">
        <v>260</v>
      </c>
      <c r="G1431" s="1" t="s">
        <v>24</v>
      </c>
      <c r="H1431" s="1">
        <v>1</v>
      </c>
      <c r="I1431" s="1" t="s">
        <v>1586</v>
      </c>
      <c r="J1431" s="1"/>
      <c r="K1431" s="1">
        <v>9433790</v>
      </c>
      <c r="L1431" s="1">
        <v>0</v>
      </c>
      <c r="M1431" s="1">
        <v>0</v>
      </c>
      <c r="N1431" s="1">
        <v>1037716.9</v>
      </c>
      <c r="O1431" s="1">
        <v>0</v>
      </c>
      <c r="P1431" s="1">
        <v>0</v>
      </c>
      <c r="Q1431" s="1">
        <v>0</v>
      </c>
      <c r="R1431" s="1">
        <v>10471506.9</v>
      </c>
      <c r="S1431" s="1">
        <v>2080452.3423423001</v>
      </c>
      <c r="T1431" s="1">
        <v>22.053197520215001</v>
      </c>
      <c r="U1431" t="str">
        <f t="shared" si="22"/>
        <v>Week 2</v>
      </c>
    </row>
    <row r="1432" spans="1:21" x14ac:dyDescent="0.25">
      <c r="A1432" s="1">
        <v>1431</v>
      </c>
      <c r="B1432" s="1" t="s">
        <v>1587</v>
      </c>
      <c r="C1432" s="2">
        <v>46034</v>
      </c>
      <c r="D1432" s="1" t="s">
        <v>53</v>
      </c>
      <c r="E1432" s="1" t="s">
        <v>1530</v>
      </c>
      <c r="F1432" s="1" t="s">
        <v>23</v>
      </c>
      <c r="G1432" s="1" t="s">
        <v>24</v>
      </c>
      <c r="H1432" s="1">
        <v>1</v>
      </c>
      <c r="I1432" s="1" t="s">
        <v>1588</v>
      </c>
      <c r="J1432" s="1"/>
      <c r="K1432" s="1">
        <v>144002000</v>
      </c>
      <c r="L1432" s="1">
        <v>0</v>
      </c>
      <c r="M1432" s="1">
        <v>0</v>
      </c>
      <c r="N1432" s="1">
        <v>15840220</v>
      </c>
      <c r="O1432" s="1">
        <v>0</v>
      </c>
      <c r="P1432" s="1">
        <v>0</v>
      </c>
      <c r="Q1432" s="1">
        <v>0</v>
      </c>
      <c r="R1432" s="1">
        <v>159842220</v>
      </c>
      <c r="S1432" s="1">
        <v>36757930</v>
      </c>
      <c r="T1432" s="1">
        <v>25.525985750198</v>
      </c>
      <c r="U1432" t="str">
        <f t="shared" si="22"/>
        <v>Week 2</v>
      </c>
    </row>
    <row r="1433" spans="1:21" x14ac:dyDescent="0.25">
      <c r="A1433" s="1">
        <v>1432</v>
      </c>
      <c r="B1433" s="1" t="s">
        <v>1589</v>
      </c>
      <c r="C1433" s="2">
        <v>46032</v>
      </c>
      <c r="D1433" s="1" t="s">
        <v>53</v>
      </c>
      <c r="E1433" s="1" t="s">
        <v>22</v>
      </c>
      <c r="F1433" s="1" t="s">
        <v>23</v>
      </c>
      <c r="G1433" s="1" t="s">
        <v>24</v>
      </c>
      <c r="H1433" s="1">
        <v>1</v>
      </c>
      <c r="I1433" s="1" t="s">
        <v>266</v>
      </c>
      <c r="J1433" s="1"/>
      <c r="K1433" s="1">
        <v>6907000</v>
      </c>
      <c r="L1433" s="1">
        <v>0</v>
      </c>
      <c r="M1433" s="1">
        <v>0</v>
      </c>
      <c r="N1433" s="1">
        <v>759770</v>
      </c>
      <c r="O1433" s="1">
        <v>0</v>
      </c>
      <c r="P1433" s="1">
        <v>0</v>
      </c>
      <c r="Q1433" s="1">
        <v>0</v>
      </c>
      <c r="R1433" s="1">
        <v>7666770</v>
      </c>
      <c r="S1433" s="1">
        <v>2931884.82</v>
      </c>
      <c r="T1433" s="1">
        <v>42.448021137975999</v>
      </c>
      <c r="U1433" t="str">
        <f t="shared" si="22"/>
        <v>Week 2</v>
      </c>
    </row>
    <row r="1434" spans="1:21" x14ac:dyDescent="0.25">
      <c r="A1434" s="1">
        <v>1433</v>
      </c>
      <c r="B1434" s="1" t="s">
        <v>1590</v>
      </c>
      <c r="C1434" s="2">
        <v>46032</v>
      </c>
      <c r="D1434" s="1" t="s">
        <v>33</v>
      </c>
      <c r="E1434" s="1" t="s">
        <v>1530</v>
      </c>
      <c r="F1434" s="1" t="s">
        <v>30</v>
      </c>
      <c r="G1434" s="1" t="s">
        <v>24</v>
      </c>
      <c r="H1434" s="1">
        <v>1</v>
      </c>
      <c r="I1434" s="1" t="s">
        <v>1591</v>
      </c>
      <c r="J1434" s="1"/>
      <c r="K1434" s="1">
        <v>350452</v>
      </c>
      <c r="L1434" s="1">
        <v>0</v>
      </c>
      <c r="M1434" s="1">
        <v>0</v>
      </c>
      <c r="N1434" s="1">
        <v>38549.72</v>
      </c>
      <c r="O1434" s="1">
        <v>0</v>
      </c>
      <c r="P1434" s="1">
        <v>0</v>
      </c>
      <c r="Q1434" s="1">
        <v>0</v>
      </c>
      <c r="R1434" s="1">
        <v>389001.72</v>
      </c>
      <c r="S1434" s="1">
        <v>-216548</v>
      </c>
      <c r="T1434" s="1">
        <v>-61.791058404574997</v>
      </c>
      <c r="U1434" t="str">
        <f t="shared" si="22"/>
        <v>Week 2</v>
      </c>
    </row>
    <row r="1435" spans="1:21" x14ac:dyDescent="0.25">
      <c r="A1435" s="1">
        <v>1434</v>
      </c>
      <c r="B1435" s="1" t="s">
        <v>1592</v>
      </c>
      <c r="C1435" s="2">
        <v>46032</v>
      </c>
      <c r="D1435" s="1" t="s">
        <v>21</v>
      </c>
      <c r="E1435" s="1" t="s">
        <v>22</v>
      </c>
      <c r="F1435" s="1" t="s">
        <v>23</v>
      </c>
      <c r="G1435" s="1" t="s">
        <v>24</v>
      </c>
      <c r="H1435" s="1">
        <v>1</v>
      </c>
      <c r="I1435" s="1" t="s">
        <v>1593</v>
      </c>
      <c r="J1435" s="1" t="s">
        <v>26</v>
      </c>
      <c r="K1435" s="1">
        <v>2157812.5</v>
      </c>
      <c r="L1435" s="1">
        <v>0</v>
      </c>
      <c r="M1435" s="1">
        <v>0</v>
      </c>
      <c r="N1435" s="1">
        <v>237359.375</v>
      </c>
      <c r="O1435" s="1">
        <v>0</v>
      </c>
      <c r="P1435" s="1">
        <v>0</v>
      </c>
      <c r="Q1435" s="1">
        <v>0</v>
      </c>
      <c r="R1435" s="1">
        <v>2395171.875</v>
      </c>
      <c r="S1435" s="1">
        <v>360312.5</v>
      </c>
      <c r="T1435" s="1">
        <v>16.698044895003999</v>
      </c>
      <c r="U1435" t="str">
        <f t="shared" si="22"/>
        <v>Week 2</v>
      </c>
    </row>
    <row r="1436" spans="1:21" x14ac:dyDescent="0.25">
      <c r="A1436" s="1">
        <v>1435</v>
      </c>
      <c r="B1436" s="1" t="s">
        <v>1594</v>
      </c>
      <c r="C1436" s="2">
        <v>46032</v>
      </c>
      <c r="D1436" s="1" t="s">
        <v>321</v>
      </c>
      <c r="E1436" s="1" t="s">
        <v>203</v>
      </c>
      <c r="F1436" s="1" t="s">
        <v>30</v>
      </c>
      <c r="G1436" s="1" t="s">
        <v>24</v>
      </c>
      <c r="H1436" s="1">
        <v>1</v>
      </c>
      <c r="I1436" s="1" t="s">
        <v>1595</v>
      </c>
      <c r="J1436" s="1" t="s">
        <v>26</v>
      </c>
      <c r="K1436" s="1">
        <v>10036125</v>
      </c>
      <c r="L1436" s="1">
        <v>0</v>
      </c>
      <c r="M1436" s="1">
        <v>0</v>
      </c>
      <c r="N1436" s="1">
        <v>1103973.75</v>
      </c>
      <c r="O1436" s="1">
        <v>0</v>
      </c>
      <c r="P1436" s="1">
        <v>0</v>
      </c>
      <c r="Q1436" s="1">
        <v>0</v>
      </c>
      <c r="R1436" s="1">
        <v>11140098.75</v>
      </c>
      <c r="S1436" s="1">
        <v>3270525</v>
      </c>
      <c r="T1436" s="1">
        <v>32.587527556700998</v>
      </c>
      <c r="U1436" t="str">
        <f t="shared" si="22"/>
        <v>Week 2</v>
      </c>
    </row>
    <row r="1437" spans="1:21" x14ac:dyDescent="0.25">
      <c r="A1437" s="1">
        <v>1436</v>
      </c>
      <c r="B1437" s="1" t="s">
        <v>1596</v>
      </c>
      <c r="C1437" s="2">
        <v>46032</v>
      </c>
      <c r="D1437" s="1" t="s">
        <v>169</v>
      </c>
      <c r="E1437" s="1" t="s">
        <v>99</v>
      </c>
      <c r="F1437" s="1" t="s">
        <v>30</v>
      </c>
      <c r="G1437" s="1" t="s">
        <v>24</v>
      </c>
      <c r="H1437" s="1">
        <v>1</v>
      </c>
      <c r="I1437" s="1" t="s">
        <v>1597</v>
      </c>
      <c r="J1437" s="1"/>
      <c r="K1437" s="1">
        <v>23373000</v>
      </c>
      <c r="L1437" s="1">
        <v>0</v>
      </c>
      <c r="M1437" s="1">
        <v>0</v>
      </c>
      <c r="N1437" s="1">
        <v>2571030</v>
      </c>
      <c r="O1437" s="1">
        <v>0</v>
      </c>
      <c r="P1437" s="1">
        <v>0</v>
      </c>
      <c r="Q1437" s="1">
        <v>0</v>
      </c>
      <c r="R1437" s="1">
        <v>25944030</v>
      </c>
      <c r="S1437" s="1">
        <v>5580207.2072069999</v>
      </c>
      <c r="T1437" s="1">
        <v>0</v>
      </c>
      <c r="U1437" t="str">
        <f t="shared" si="22"/>
        <v>Week 2</v>
      </c>
    </row>
    <row r="1438" spans="1:21" x14ac:dyDescent="0.25">
      <c r="A1438" s="1">
        <v>1437</v>
      </c>
      <c r="B1438" s="1" t="s">
        <v>1598</v>
      </c>
      <c r="C1438" s="2">
        <v>46032</v>
      </c>
      <c r="D1438" s="1" t="s">
        <v>21</v>
      </c>
      <c r="E1438" s="1" t="s">
        <v>22</v>
      </c>
      <c r="F1438" s="1" t="s">
        <v>30</v>
      </c>
      <c r="G1438" s="1" t="s">
        <v>24</v>
      </c>
      <c r="H1438" s="1">
        <v>1</v>
      </c>
      <c r="I1438" s="1" t="s">
        <v>1599</v>
      </c>
      <c r="J1438" s="1" t="s">
        <v>26</v>
      </c>
      <c r="K1438" s="1">
        <v>9408000</v>
      </c>
      <c r="L1438" s="1">
        <v>0</v>
      </c>
      <c r="M1438" s="1">
        <v>0</v>
      </c>
      <c r="N1438" s="1">
        <v>1034880</v>
      </c>
      <c r="O1438" s="1">
        <v>0</v>
      </c>
      <c r="P1438" s="1">
        <v>0</v>
      </c>
      <c r="Q1438" s="1">
        <v>0</v>
      </c>
      <c r="R1438" s="1">
        <v>10442880</v>
      </c>
      <c r="S1438" s="1">
        <v>1208000</v>
      </c>
      <c r="T1438" s="1">
        <v>12.840136054422</v>
      </c>
      <c r="U1438" t="str">
        <f t="shared" si="22"/>
        <v>Week 2</v>
      </c>
    </row>
    <row r="1439" spans="1:21" x14ac:dyDescent="0.25">
      <c r="A1439" s="1">
        <v>1438</v>
      </c>
      <c r="B1439" s="1" t="s">
        <v>1600</v>
      </c>
      <c r="C1439" s="2">
        <v>46032</v>
      </c>
      <c r="D1439" s="1" t="s">
        <v>202</v>
      </c>
      <c r="E1439" s="1" t="s">
        <v>203</v>
      </c>
      <c r="F1439" s="1" t="s">
        <v>23</v>
      </c>
      <c r="G1439" s="1" t="s">
        <v>24</v>
      </c>
      <c r="H1439" s="1">
        <v>1</v>
      </c>
      <c r="I1439" s="1" t="s">
        <v>1601</v>
      </c>
      <c r="J1439" s="1" t="s">
        <v>26</v>
      </c>
      <c r="K1439" s="1">
        <v>730000</v>
      </c>
      <c r="L1439" s="1">
        <v>0</v>
      </c>
      <c r="M1439" s="1">
        <v>0</v>
      </c>
      <c r="N1439" s="1">
        <v>80300</v>
      </c>
      <c r="O1439" s="1">
        <v>0</v>
      </c>
      <c r="P1439" s="1">
        <v>0</v>
      </c>
      <c r="Q1439" s="1">
        <v>0</v>
      </c>
      <c r="R1439" s="1">
        <v>810300</v>
      </c>
      <c r="S1439" s="1">
        <v>289864.86486486002</v>
      </c>
      <c r="T1439" s="1">
        <v>39.707515734913002</v>
      </c>
      <c r="U1439" t="str">
        <f t="shared" si="22"/>
        <v>Week 2</v>
      </c>
    </row>
    <row r="1440" spans="1:21" x14ac:dyDescent="0.25">
      <c r="A1440" s="1">
        <v>1439</v>
      </c>
      <c r="B1440" s="1" t="s">
        <v>1602</v>
      </c>
      <c r="C1440" s="2">
        <v>46032</v>
      </c>
      <c r="D1440" s="1" t="s">
        <v>112</v>
      </c>
      <c r="E1440" s="1" t="s">
        <v>1530</v>
      </c>
      <c r="F1440" s="1" t="s">
        <v>23</v>
      </c>
      <c r="G1440" s="1" t="s">
        <v>24</v>
      </c>
      <c r="H1440" s="1">
        <v>1</v>
      </c>
      <c r="I1440" s="1" t="s">
        <v>1603</v>
      </c>
      <c r="J1440" s="1"/>
      <c r="K1440" s="1">
        <v>13519193.75</v>
      </c>
      <c r="L1440" s="1">
        <v>0</v>
      </c>
      <c r="M1440" s="1">
        <v>0</v>
      </c>
      <c r="N1440" s="1">
        <v>0</v>
      </c>
      <c r="O1440" s="1">
        <v>0</v>
      </c>
      <c r="P1440" s="1">
        <v>0</v>
      </c>
      <c r="Q1440" s="1">
        <v>0</v>
      </c>
      <c r="R1440" s="1">
        <v>13519193.75</v>
      </c>
      <c r="S1440" s="1">
        <v>5696114.8761267997</v>
      </c>
      <c r="T1440" s="1">
        <v>42.133539776562003</v>
      </c>
      <c r="U1440" t="str">
        <f t="shared" si="22"/>
        <v>Week 2</v>
      </c>
    </row>
    <row r="1441" spans="1:21" x14ac:dyDescent="0.25">
      <c r="A1441" s="1">
        <v>1440</v>
      </c>
      <c r="B1441" s="1" t="s">
        <v>2271</v>
      </c>
      <c r="C1441" s="2">
        <v>46031</v>
      </c>
      <c r="D1441" s="1" t="s">
        <v>2210</v>
      </c>
      <c r="E1441" s="1" t="s">
        <v>1486</v>
      </c>
      <c r="F1441" s="1" t="s">
        <v>260</v>
      </c>
      <c r="G1441" s="1" t="s">
        <v>24</v>
      </c>
      <c r="H1441" s="1">
        <v>1</v>
      </c>
      <c r="I1441" s="1" t="s">
        <v>2272</v>
      </c>
      <c r="J1441" s="1" t="s">
        <v>56</v>
      </c>
      <c r="K1441" s="1">
        <v>40500000</v>
      </c>
      <c r="L1441" s="1">
        <v>0</v>
      </c>
      <c r="M1441" s="1">
        <v>0</v>
      </c>
      <c r="N1441" s="1">
        <v>4455000</v>
      </c>
      <c r="O1441" s="1">
        <v>0</v>
      </c>
      <c r="P1441" s="1">
        <v>0</v>
      </c>
      <c r="Q1441" s="1">
        <v>0</v>
      </c>
      <c r="R1441" s="1">
        <v>44955000</v>
      </c>
      <c r="S1441" s="1">
        <v>2025000</v>
      </c>
      <c r="T1441" s="1">
        <v>5</v>
      </c>
      <c r="U1441" t="str">
        <f t="shared" si="22"/>
        <v>Week 2</v>
      </c>
    </row>
    <row r="1442" spans="1:21" x14ac:dyDescent="0.25">
      <c r="A1442" s="1">
        <v>1441</v>
      </c>
      <c r="B1442" s="1" t="s">
        <v>1604</v>
      </c>
      <c r="C1442" s="2">
        <v>46031</v>
      </c>
      <c r="D1442" s="1" t="s">
        <v>33</v>
      </c>
      <c r="E1442" s="1" t="s">
        <v>1530</v>
      </c>
      <c r="F1442" s="1" t="s">
        <v>30</v>
      </c>
      <c r="G1442" s="1" t="s">
        <v>24</v>
      </c>
      <c r="H1442" s="1">
        <v>1</v>
      </c>
      <c r="I1442" s="1" t="s">
        <v>1605</v>
      </c>
      <c r="J1442" s="1" t="s">
        <v>56</v>
      </c>
      <c r="K1442" s="1">
        <v>130157398</v>
      </c>
      <c r="L1442" s="1">
        <v>0</v>
      </c>
      <c r="M1442" s="1">
        <v>0</v>
      </c>
      <c r="N1442" s="1">
        <v>14317313.779999999</v>
      </c>
      <c r="O1442" s="1">
        <v>0</v>
      </c>
      <c r="P1442" s="1">
        <v>0</v>
      </c>
      <c r="Q1442" s="1">
        <v>0</v>
      </c>
      <c r="R1442" s="1">
        <v>144474711.78</v>
      </c>
      <c r="S1442" s="1">
        <v>0</v>
      </c>
      <c r="T1442" s="1">
        <v>0</v>
      </c>
      <c r="U1442" t="str">
        <f t="shared" si="22"/>
        <v>Week 2</v>
      </c>
    </row>
    <row r="1443" spans="1:21" x14ac:dyDescent="0.25">
      <c r="A1443" s="1">
        <v>1442</v>
      </c>
      <c r="B1443" s="1" t="s">
        <v>1606</v>
      </c>
      <c r="C1443" s="2">
        <v>46031</v>
      </c>
      <c r="D1443" s="1" t="s">
        <v>306</v>
      </c>
      <c r="E1443" s="1" t="s">
        <v>99</v>
      </c>
      <c r="F1443" s="1" t="s">
        <v>39</v>
      </c>
      <c r="G1443" s="1" t="s">
        <v>24</v>
      </c>
      <c r="H1443" s="1">
        <v>1</v>
      </c>
      <c r="I1443" s="1" t="s">
        <v>3385</v>
      </c>
      <c r="J1443" s="1"/>
      <c r="K1443" s="1">
        <v>5600000</v>
      </c>
      <c r="L1443" s="1">
        <v>0</v>
      </c>
      <c r="M1443" s="1">
        <v>0</v>
      </c>
      <c r="N1443" s="1">
        <v>616000</v>
      </c>
      <c r="O1443" s="1">
        <v>0</v>
      </c>
      <c r="P1443" s="1">
        <v>0</v>
      </c>
      <c r="Q1443" s="1">
        <v>0</v>
      </c>
      <c r="R1443" s="1">
        <v>6216000</v>
      </c>
      <c r="S1443" s="1">
        <v>1750000</v>
      </c>
      <c r="T1443" s="1">
        <v>31.25</v>
      </c>
      <c r="U1443" t="str">
        <f t="shared" si="22"/>
        <v>Week 2</v>
      </c>
    </row>
    <row r="1444" spans="1:21" x14ac:dyDescent="0.25">
      <c r="A1444" s="1">
        <v>1443</v>
      </c>
      <c r="B1444" s="1" t="s">
        <v>1607</v>
      </c>
      <c r="C1444" s="2">
        <v>46031</v>
      </c>
      <c r="D1444" s="1" t="s">
        <v>53</v>
      </c>
      <c r="E1444" s="1" t="s">
        <v>1530</v>
      </c>
      <c r="F1444" s="1" t="s">
        <v>30</v>
      </c>
      <c r="G1444" s="1" t="s">
        <v>24</v>
      </c>
      <c r="H1444" s="1">
        <v>1</v>
      </c>
      <c r="I1444" s="1" t="s">
        <v>1575</v>
      </c>
      <c r="J1444" s="1"/>
      <c r="K1444" s="1">
        <v>3502000</v>
      </c>
      <c r="L1444" s="1">
        <v>0</v>
      </c>
      <c r="M1444" s="1">
        <v>0</v>
      </c>
      <c r="N1444" s="1">
        <v>385220</v>
      </c>
      <c r="O1444" s="1">
        <v>0</v>
      </c>
      <c r="P1444" s="1">
        <v>0</v>
      </c>
      <c r="Q1444" s="1">
        <v>0</v>
      </c>
      <c r="R1444" s="1">
        <v>3887220</v>
      </c>
      <c r="S1444" s="1">
        <v>102000</v>
      </c>
      <c r="T1444" s="1">
        <v>2.9126213592233001</v>
      </c>
      <c r="U1444" t="str">
        <f t="shared" si="22"/>
        <v>Week 2</v>
      </c>
    </row>
    <row r="1445" spans="1:21" x14ac:dyDescent="0.25">
      <c r="A1445" s="1">
        <v>1444</v>
      </c>
      <c r="B1445" s="1" t="s">
        <v>1608</v>
      </c>
      <c r="C1445" s="2">
        <v>46031</v>
      </c>
      <c r="D1445" s="1" t="s">
        <v>53</v>
      </c>
      <c r="E1445" s="1" t="s">
        <v>1530</v>
      </c>
      <c r="F1445" s="1" t="s">
        <v>30</v>
      </c>
      <c r="G1445" s="1" t="s">
        <v>24</v>
      </c>
      <c r="H1445" s="1">
        <v>1</v>
      </c>
      <c r="I1445" s="1" t="s">
        <v>1609</v>
      </c>
      <c r="J1445" s="1"/>
      <c r="K1445" s="1">
        <v>26754000</v>
      </c>
      <c r="L1445" s="1">
        <v>0</v>
      </c>
      <c r="M1445" s="1">
        <v>0</v>
      </c>
      <c r="N1445" s="1">
        <v>2942940</v>
      </c>
      <c r="O1445" s="1">
        <v>0</v>
      </c>
      <c r="P1445" s="1">
        <v>0</v>
      </c>
      <c r="Q1445" s="1">
        <v>0</v>
      </c>
      <c r="R1445" s="1">
        <v>29696940</v>
      </c>
      <c r="S1445" s="1">
        <v>14437500</v>
      </c>
      <c r="T1445" s="1">
        <v>53.963893249607999</v>
      </c>
      <c r="U1445" t="str">
        <f t="shared" si="22"/>
        <v>Week 2</v>
      </c>
    </row>
    <row r="1446" spans="1:21" x14ac:dyDescent="0.25">
      <c r="A1446" s="1">
        <v>1445</v>
      </c>
      <c r="B1446" s="1" t="s">
        <v>1610</v>
      </c>
      <c r="C1446" s="2">
        <v>46031</v>
      </c>
      <c r="D1446" s="1" t="s">
        <v>33</v>
      </c>
      <c r="E1446" s="1" t="s">
        <v>1530</v>
      </c>
      <c r="F1446" s="1" t="s">
        <v>30</v>
      </c>
      <c r="G1446" s="1" t="s">
        <v>24</v>
      </c>
      <c r="H1446" s="1">
        <v>1</v>
      </c>
      <c r="I1446" s="1" t="s">
        <v>1611</v>
      </c>
      <c r="J1446" s="1"/>
      <c r="K1446" s="1">
        <v>4305400</v>
      </c>
      <c r="L1446" s="1">
        <v>0</v>
      </c>
      <c r="M1446" s="1">
        <v>0</v>
      </c>
      <c r="N1446" s="1">
        <v>473594</v>
      </c>
      <c r="O1446" s="1">
        <v>0</v>
      </c>
      <c r="P1446" s="1">
        <v>0</v>
      </c>
      <c r="Q1446" s="1">
        <v>0</v>
      </c>
      <c r="R1446" s="1">
        <v>4778994</v>
      </c>
      <c r="S1446" s="1">
        <v>384445.05</v>
      </c>
      <c r="T1446" s="1">
        <v>8.9293689320388001</v>
      </c>
      <c r="U1446" t="str">
        <f t="shared" si="22"/>
        <v>Week 2</v>
      </c>
    </row>
    <row r="1447" spans="1:21" x14ac:dyDescent="0.25">
      <c r="A1447" s="1">
        <v>1446</v>
      </c>
      <c r="B1447" s="1" t="s">
        <v>1612</v>
      </c>
      <c r="C1447" s="2">
        <v>46031</v>
      </c>
      <c r="D1447" s="1" t="s">
        <v>53</v>
      </c>
      <c r="E1447" s="1" t="s">
        <v>1530</v>
      </c>
      <c r="F1447" s="1" t="s">
        <v>30</v>
      </c>
      <c r="G1447" s="1" t="s">
        <v>24</v>
      </c>
      <c r="H1447" s="1">
        <v>1</v>
      </c>
      <c r="I1447" s="1" t="s">
        <v>1575</v>
      </c>
      <c r="J1447" s="1"/>
      <c r="K1447" s="1">
        <v>4621240</v>
      </c>
      <c r="L1447" s="1">
        <v>0</v>
      </c>
      <c r="M1447" s="1">
        <v>0</v>
      </c>
      <c r="N1447" s="1">
        <v>508336.4</v>
      </c>
      <c r="O1447" s="1">
        <v>0</v>
      </c>
      <c r="P1447" s="1">
        <v>0</v>
      </c>
      <c r="Q1447" s="1">
        <v>0</v>
      </c>
      <c r="R1447" s="1">
        <v>5129576.4000000004</v>
      </c>
      <c r="S1447" s="1">
        <v>2421240</v>
      </c>
      <c r="T1447" s="1">
        <v>52.393729821432999</v>
      </c>
      <c r="U1447" t="str">
        <f t="shared" si="22"/>
        <v>Week 2</v>
      </c>
    </row>
    <row r="1448" spans="1:21" x14ac:dyDescent="0.25">
      <c r="A1448" s="1">
        <v>1447</v>
      </c>
      <c r="B1448" s="1" t="s">
        <v>1613</v>
      </c>
      <c r="C1448" s="2">
        <v>46031</v>
      </c>
      <c r="D1448" s="1" t="s">
        <v>202</v>
      </c>
      <c r="E1448" s="1" t="s">
        <v>203</v>
      </c>
      <c r="F1448" s="1" t="s">
        <v>30</v>
      </c>
      <c r="G1448" s="1" t="s">
        <v>24</v>
      </c>
      <c r="H1448" s="1">
        <v>1</v>
      </c>
      <c r="I1448" s="1" t="s">
        <v>1614</v>
      </c>
      <c r="J1448" s="1"/>
      <c r="K1448" s="1">
        <v>79356725</v>
      </c>
      <c r="L1448" s="1">
        <v>0</v>
      </c>
      <c r="M1448" s="1">
        <v>0</v>
      </c>
      <c r="N1448" s="1">
        <v>8729239.75</v>
      </c>
      <c r="O1448" s="1">
        <v>0</v>
      </c>
      <c r="P1448" s="1">
        <v>0</v>
      </c>
      <c r="Q1448" s="1">
        <v>0</v>
      </c>
      <c r="R1448" s="1">
        <v>88085964.75</v>
      </c>
      <c r="S1448" s="1">
        <v>18463932.210000001</v>
      </c>
      <c r="T1448" s="1">
        <v>23.267003785754</v>
      </c>
      <c r="U1448" t="str">
        <f t="shared" si="22"/>
        <v>Week 2</v>
      </c>
    </row>
    <row r="1449" spans="1:21" x14ac:dyDescent="0.25">
      <c r="A1449" s="1">
        <v>1448</v>
      </c>
      <c r="B1449" s="1" t="s">
        <v>1615</v>
      </c>
      <c r="C1449" s="2">
        <v>46031</v>
      </c>
      <c r="D1449" s="1" t="s">
        <v>21</v>
      </c>
      <c r="E1449" s="1" t="s">
        <v>22</v>
      </c>
      <c r="F1449" s="1" t="s">
        <v>30</v>
      </c>
      <c r="G1449" s="1" t="s">
        <v>24</v>
      </c>
      <c r="H1449" s="1">
        <v>1</v>
      </c>
      <c r="I1449" s="1" t="s">
        <v>1616</v>
      </c>
      <c r="J1449" s="1" t="s">
        <v>26</v>
      </c>
      <c r="K1449" s="1">
        <v>432670</v>
      </c>
      <c r="L1449" s="1">
        <v>0</v>
      </c>
      <c r="M1449" s="1">
        <v>0</v>
      </c>
      <c r="N1449" s="1">
        <v>47593.7</v>
      </c>
      <c r="O1449" s="1">
        <v>0</v>
      </c>
      <c r="P1449" s="1">
        <v>0</v>
      </c>
      <c r="Q1449" s="1">
        <v>0</v>
      </c>
      <c r="R1449" s="1">
        <v>480263.7</v>
      </c>
      <c r="S1449" s="1">
        <v>345570.86486486002</v>
      </c>
      <c r="T1449" s="1">
        <v>79.869384257023995</v>
      </c>
      <c r="U1449" t="str">
        <f t="shared" si="22"/>
        <v>Week 2</v>
      </c>
    </row>
    <row r="1450" spans="1:21" x14ac:dyDescent="0.25">
      <c r="A1450" s="1">
        <v>1449</v>
      </c>
      <c r="B1450" s="1" t="s">
        <v>1617</v>
      </c>
      <c r="C1450" s="2">
        <v>46031</v>
      </c>
      <c r="D1450" s="1" t="s">
        <v>21</v>
      </c>
      <c r="E1450" s="1" t="s">
        <v>22</v>
      </c>
      <c r="F1450" s="1" t="s">
        <v>30</v>
      </c>
      <c r="G1450" s="1" t="s">
        <v>24</v>
      </c>
      <c r="H1450" s="1">
        <v>1</v>
      </c>
      <c r="I1450" s="1" t="s">
        <v>1172</v>
      </c>
      <c r="J1450" s="1" t="s">
        <v>26</v>
      </c>
      <c r="K1450" s="1">
        <v>86879969.900000006</v>
      </c>
      <c r="L1450" s="1">
        <v>0</v>
      </c>
      <c r="M1450" s="1">
        <v>0</v>
      </c>
      <c r="N1450" s="1">
        <v>9556796.6889999993</v>
      </c>
      <c r="O1450" s="1">
        <v>0</v>
      </c>
      <c r="P1450" s="1">
        <v>0</v>
      </c>
      <c r="Q1450" s="1">
        <v>0</v>
      </c>
      <c r="R1450" s="1">
        <v>96436766.589000002</v>
      </c>
      <c r="S1450" s="1">
        <v>36860345.875165001</v>
      </c>
      <c r="T1450" s="1">
        <v>42.426747980682002</v>
      </c>
      <c r="U1450" t="str">
        <f t="shared" si="22"/>
        <v>Week 2</v>
      </c>
    </row>
    <row r="1451" spans="1:21" x14ac:dyDescent="0.25">
      <c r="A1451" s="1">
        <v>1450</v>
      </c>
      <c r="B1451" s="1" t="s">
        <v>1618</v>
      </c>
      <c r="C1451" s="2">
        <v>46031</v>
      </c>
      <c r="D1451" s="1" t="s">
        <v>202</v>
      </c>
      <c r="E1451" s="1" t="s">
        <v>203</v>
      </c>
      <c r="F1451" s="1" t="s">
        <v>23</v>
      </c>
      <c r="G1451" s="1" t="s">
        <v>24</v>
      </c>
      <c r="H1451" s="1">
        <v>1</v>
      </c>
      <c r="I1451" s="1" t="s">
        <v>1619</v>
      </c>
      <c r="J1451" s="1"/>
      <c r="K1451" s="1">
        <v>1795000</v>
      </c>
      <c r="L1451" s="1">
        <v>0</v>
      </c>
      <c r="M1451" s="1">
        <v>0</v>
      </c>
      <c r="N1451" s="1">
        <v>197450</v>
      </c>
      <c r="O1451" s="1">
        <v>0</v>
      </c>
      <c r="P1451" s="1">
        <v>0</v>
      </c>
      <c r="Q1451" s="1">
        <v>0</v>
      </c>
      <c r="R1451" s="1">
        <v>1992450</v>
      </c>
      <c r="S1451" s="1">
        <v>288662.16216215998</v>
      </c>
      <c r="T1451" s="1">
        <v>16.081457502069998</v>
      </c>
      <c r="U1451" t="str">
        <f t="shared" si="22"/>
        <v>Week 2</v>
      </c>
    </row>
    <row r="1452" spans="1:21" x14ac:dyDescent="0.25">
      <c r="A1452" s="1">
        <v>1451</v>
      </c>
      <c r="B1452" s="1" t="s">
        <v>1620</v>
      </c>
      <c r="C1452" s="2">
        <v>46031</v>
      </c>
      <c r="D1452" s="1" t="s">
        <v>33</v>
      </c>
      <c r="E1452" s="1" t="s">
        <v>34</v>
      </c>
      <c r="F1452" s="1" t="s">
        <v>23</v>
      </c>
      <c r="G1452" s="1" t="s">
        <v>24</v>
      </c>
      <c r="H1452" s="1">
        <v>1</v>
      </c>
      <c r="I1452" s="1" t="s">
        <v>661</v>
      </c>
      <c r="J1452" s="1"/>
      <c r="K1452" s="1">
        <v>164115433.16079</v>
      </c>
      <c r="L1452" s="1">
        <v>0</v>
      </c>
      <c r="M1452" s="1">
        <v>0</v>
      </c>
      <c r="N1452" s="1">
        <v>18052697.647686999</v>
      </c>
      <c r="O1452" s="1">
        <v>0</v>
      </c>
      <c r="P1452" s="1">
        <v>0</v>
      </c>
      <c r="Q1452" s="1">
        <v>0</v>
      </c>
      <c r="R1452" s="1">
        <v>182168130.80847999</v>
      </c>
      <c r="S1452" s="1">
        <v>62128274.245834</v>
      </c>
      <c r="T1452" s="1">
        <v>37.856448384696002</v>
      </c>
      <c r="U1452" t="str">
        <f t="shared" si="22"/>
        <v>Week 2</v>
      </c>
    </row>
    <row r="1453" spans="1:21" x14ac:dyDescent="0.25">
      <c r="A1453" s="1">
        <v>1452</v>
      </c>
      <c r="B1453" s="1" t="s">
        <v>2273</v>
      </c>
      <c r="C1453" s="2">
        <v>46030</v>
      </c>
      <c r="D1453" s="1" t="s">
        <v>2210</v>
      </c>
      <c r="E1453" s="1" t="s">
        <v>1486</v>
      </c>
      <c r="F1453" s="1" t="s">
        <v>30</v>
      </c>
      <c r="G1453" s="1" t="s">
        <v>24</v>
      </c>
      <c r="H1453" s="1">
        <v>1</v>
      </c>
      <c r="I1453" s="1" t="s">
        <v>2274</v>
      </c>
      <c r="J1453" s="1"/>
      <c r="K1453" s="1">
        <v>461333.34</v>
      </c>
      <c r="L1453" s="1">
        <v>0</v>
      </c>
      <c r="M1453" s="1">
        <v>0</v>
      </c>
      <c r="N1453" s="1">
        <v>50746.667399999998</v>
      </c>
      <c r="O1453" s="1">
        <v>0</v>
      </c>
      <c r="P1453" s="1">
        <v>0</v>
      </c>
      <c r="Q1453" s="1">
        <v>0</v>
      </c>
      <c r="R1453" s="1">
        <v>512080.0074</v>
      </c>
      <c r="S1453" s="1">
        <v>23066.667000000001</v>
      </c>
      <c r="T1453" s="1">
        <v>5</v>
      </c>
      <c r="U1453" t="str">
        <f t="shared" si="22"/>
        <v>Week 2</v>
      </c>
    </row>
    <row r="1454" spans="1:21" x14ac:dyDescent="0.25">
      <c r="A1454" s="1">
        <v>1453</v>
      </c>
      <c r="B1454" s="1" t="s">
        <v>1621</v>
      </c>
      <c r="C1454" s="2">
        <v>46030</v>
      </c>
      <c r="D1454" s="1" t="s">
        <v>21</v>
      </c>
      <c r="E1454" s="1" t="s">
        <v>22</v>
      </c>
      <c r="F1454" s="1" t="s">
        <v>30</v>
      </c>
      <c r="G1454" s="1" t="s">
        <v>24</v>
      </c>
      <c r="H1454" s="1">
        <v>1</v>
      </c>
      <c r="I1454" s="1" t="s">
        <v>1622</v>
      </c>
      <c r="J1454" s="1" t="s">
        <v>26</v>
      </c>
      <c r="K1454" s="1">
        <v>1896045.2</v>
      </c>
      <c r="L1454" s="1">
        <v>0</v>
      </c>
      <c r="M1454" s="1">
        <v>0</v>
      </c>
      <c r="N1454" s="1">
        <v>208564.97200000001</v>
      </c>
      <c r="O1454" s="1">
        <v>0</v>
      </c>
      <c r="P1454" s="1">
        <v>0</v>
      </c>
      <c r="Q1454" s="1">
        <v>0</v>
      </c>
      <c r="R1454" s="1">
        <v>2104610.1719999998</v>
      </c>
      <c r="S1454" s="1">
        <v>459138.72846846998</v>
      </c>
      <c r="T1454" s="1">
        <v>24.215600370099999</v>
      </c>
      <c r="U1454" t="str">
        <f t="shared" si="22"/>
        <v>Week 2</v>
      </c>
    </row>
    <row r="1455" spans="1:21" x14ac:dyDescent="0.25">
      <c r="A1455" s="1">
        <v>1454</v>
      </c>
      <c r="B1455" s="1" t="s">
        <v>2275</v>
      </c>
      <c r="C1455" s="2">
        <v>46030</v>
      </c>
      <c r="D1455" s="1" t="s">
        <v>2210</v>
      </c>
      <c r="E1455" s="1" t="s">
        <v>1486</v>
      </c>
      <c r="F1455" s="1" t="s">
        <v>23</v>
      </c>
      <c r="G1455" s="1" t="s">
        <v>24</v>
      </c>
      <c r="H1455" s="1">
        <v>1</v>
      </c>
      <c r="I1455" s="1" t="s">
        <v>2276</v>
      </c>
      <c r="J1455" s="1"/>
      <c r="K1455" s="1">
        <v>92000000</v>
      </c>
      <c r="L1455" s="1">
        <v>0</v>
      </c>
      <c r="M1455" s="1">
        <v>0</v>
      </c>
      <c r="N1455" s="1">
        <v>10120000</v>
      </c>
      <c r="O1455" s="1">
        <v>0</v>
      </c>
      <c r="P1455" s="1">
        <v>0</v>
      </c>
      <c r="Q1455" s="1">
        <v>0</v>
      </c>
      <c r="R1455" s="1">
        <v>102120000</v>
      </c>
      <c r="S1455" s="1">
        <v>4600000</v>
      </c>
      <c r="T1455" s="1">
        <v>5</v>
      </c>
      <c r="U1455" t="str">
        <f t="shared" si="22"/>
        <v>Week 2</v>
      </c>
    </row>
    <row r="1456" spans="1:21" x14ac:dyDescent="0.25">
      <c r="A1456" s="1">
        <v>1455</v>
      </c>
      <c r="B1456" s="1" t="s">
        <v>1623</v>
      </c>
      <c r="C1456" s="2">
        <v>46030</v>
      </c>
      <c r="D1456" s="1" t="s">
        <v>33</v>
      </c>
      <c r="E1456" s="1" t="s">
        <v>1530</v>
      </c>
      <c r="F1456" s="1" t="s">
        <v>30</v>
      </c>
      <c r="G1456" s="1" t="s">
        <v>24</v>
      </c>
      <c r="H1456" s="1">
        <v>1</v>
      </c>
      <c r="I1456" s="1" t="s">
        <v>1624</v>
      </c>
      <c r="J1456" s="1"/>
      <c r="K1456" s="1">
        <v>6684700</v>
      </c>
      <c r="L1456" s="1">
        <v>0</v>
      </c>
      <c r="M1456" s="1">
        <v>0</v>
      </c>
      <c r="N1456" s="1">
        <v>735317</v>
      </c>
      <c r="O1456" s="1">
        <v>0</v>
      </c>
      <c r="P1456" s="1">
        <v>0</v>
      </c>
      <c r="Q1456" s="1">
        <v>0</v>
      </c>
      <c r="R1456" s="1">
        <v>7420017</v>
      </c>
      <c r="S1456" s="1">
        <v>603700</v>
      </c>
      <c r="T1456" s="1">
        <v>9.0310709530719002</v>
      </c>
      <c r="U1456" t="str">
        <f t="shared" si="22"/>
        <v>Week 2</v>
      </c>
    </row>
    <row r="1457" spans="1:21" x14ac:dyDescent="0.25">
      <c r="A1457" s="1">
        <v>1456</v>
      </c>
      <c r="B1457" s="1" t="s">
        <v>1625</v>
      </c>
      <c r="C1457" s="2">
        <v>46030</v>
      </c>
      <c r="D1457" s="1" t="s">
        <v>202</v>
      </c>
      <c r="E1457" s="1" t="s">
        <v>203</v>
      </c>
      <c r="F1457" s="1" t="s">
        <v>30</v>
      </c>
      <c r="G1457" s="1" t="s">
        <v>24</v>
      </c>
      <c r="H1457" s="1">
        <v>1</v>
      </c>
      <c r="I1457" s="1" t="s">
        <v>1626</v>
      </c>
      <c r="J1457" s="1"/>
      <c r="K1457" s="1">
        <v>1225000</v>
      </c>
      <c r="L1457" s="1">
        <v>0</v>
      </c>
      <c r="M1457" s="1">
        <v>0</v>
      </c>
      <c r="N1457" s="1">
        <v>134750</v>
      </c>
      <c r="O1457" s="1">
        <v>0</v>
      </c>
      <c r="P1457" s="1">
        <v>0</v>
      </c>
      <c r="Q1457" s="1">
        <v>0</v>
      </c>
      <c r="R1457" s="1">
        <v>1359750</v>
      </c>
      <c r="S1457" s="1">
        <v>245000</v>
      </c>
      <c r="T1457" s="1">
        <v>20</v>
      </c>
      <c r="U1457" t="str">
        <f t="shared" si="22"/>
        <v>Week 2</v>
      </c>
    </row>
    <row r="1458" spans="1:21" x14ac:dyDescent="0.25">
      <c r="A1458" s="1">
        <v>1457</v>
      </c>
      <c r="B1458" s="1" t="s">
        <v>1627</v>
      </c>
      <c r="C1458" s="2">
        <v>46030</v>
      </c>
      <c r="D1458" s="1" t="s">
        <v>33</v>
      </c>
      <c r="E1458" s="1" t="s">
        <v>1530</v>
      </c>
      <c r="F1458" s="1" t="s">
        <v>30</v>
      </c>
      <c r="G1458" s="1" t="s">
        <v>24</v>
      </c>
      <c r="H1458" s="1">
        <v>1</v>
      </c>
      <c r="I1458" s="1" t="s">
        <v>1628</v>
      </c>
      <c r="J1458" s="1"/>
      <c r="K1458" s="1">
        <v>16892000</v>
      </c>
      <c r="L1458" s="1">
        <v>0</v>
      </c>
      <c r="M1458" s="1">
        <v>0</v>
      </c>
      <c r="N1458" s="1">
        <v>1858120</v>
      </c>
      <c r="O1458" s="1">
        <v>0</v>
      </c>
      <c r="P1458" s="1">
        <v>0</v>
      </c>
      <c r="Q1458" s="1">
        <v>0</v>
      </c>
      <c r="R1458" s="1">
        <v>18750120</v>
      </c>
      <c r="S1458" s="1">
        <v>-2126000</v>
      </c>
      <c r="T1458" s="1">
        <v>-12.585839450628001</v>
      </c>
      <c r="U1458" t="str">
        <f t="shared" si="22"/>
        <v>Week 2</v>
      </c>
    </row>
    <row r="1459" spans="1:21" x14ac:dyDescent="0.25">
      <c r="A1459" s="1">
        <v>1458</v>
      </c>
      <c r="B1459" s="1" t="s">
        <v>1629</v>
      </c>
      <c r="C1459" s="2">
        <v>46030</v>
      </c>
      <c r="D1459" s="1" t="s">
        <v>169</v>
      </c>
      <c r="E1459" s="1" t="s">
        <v>1281</v>
      </c>
      <c r="F1459" s="1" t="s">
        <v>23</v>
      </c>
      <c r="G1459" s="1" t="s">
        <v>24</v>
      </c>
      <c r="H1459" s="1">
        <v>1</v>
      </c>
      <c r="I1459" s="1" t="s">
        <v>1630</v>
      </c>
      <c r="J1459" s="1"/>
      <c r="K1459" s="1">
        <v>1225000</v>
      </c>
      <c r="L1459" s="1">
        <v>0</v>
      </c>
      <c r="M1459" s="1">
        <v>0</v>
      </c>
      <c r="N1459" s="1">
        <v>134750</v>
      </c>
      <c r="O1459" s="1">
        <v>0</v>
      </c>
      <c r="P1459" s="1">
        <v>0</v>
      </c>
      <c r="Q1459" s="1">
        <v>0</v>
      </c>
      <c r="R1459" s="1">
        <v>1359750</v>
      </c>
      <c r="S1459" s="1">
        <v>245000</v>
      </c>
      <c r="T1459" s="1">
        <v>20</v>
      </c>
      <c r="U1459" t="str">
        <f t="shared" si="22"/>
        <v>Week 2</v>
      </c>
    </row>
    <row r="1460" spans="1:21" x14ac:dyDescent="0.25">
      <c r="A1460" s="1">
        <v>1459</v>
      </c>
      <c r="B1460" s="1" t="s">
        <v>1631</v>
      </c>
      <c r="C1460" s="2">
        <v>46030</v>
      </c>
      <c r="D1460" s="1" t="s">
        <v>248</v>
      </c>
      <c r="E1460" s="1" t="s">
        <v>99</v>
      </c>
      <c r="F1460" s="1" t="s">
        <v>30</v>
      </c>
      <c r="G1460" s="1" t="s">
        <v>24</v>
      </c>
      <c r="H1460" s="1">
        <v>1</v>
      </c>
      <c r="I1460" s="1" t="s">
        <v>1632</v>
      </c>
      <c r="J1460" s="1" t="s">
        <v>26</v>
      </c>
      <c r="K1460" s="1">
        <v>2303000</v>
      </c>
      <c r="L1460" s="1">
        <v>0</v>
      </c>
      <c r="M1460" s="1">
        <v>0</v>
      </c>
      <c r="N1460" s="1">
        <v>253330</v>
      </c>
      <c r="O1460" s="1">
        <v>0</v>
      </c>
      <c r="P1460" s="1">
        <v>0</v>
      </c>
      <c r="Q1460" s="1">
        <v>0</v>
      </c>
      <c r="R1460" s="1">
        <v>2556330</v>
      </c>
      <c r="S1460" s="1">
        <v>353000</v>
      </c>
      <c r="T1460" s="1">
        <v>15.327833260964001</v>
      </c>
      <c r="U1460" t="str">
        <f t="shared" si="22"/>
        <v>Week 2</v>
      </c>
    </row>
    <row r="1461" spans="1:21" x14ac:dyDescent="0.25">
      <c r="A1461" s="1">
        <v>1460</v>
      </c>
      <c r="B1461" s="1" t="s">
        <v>1633</v>
      </c>
      <c r="C1461" s="2">
        <v>46030</v>
      </c>
      <c r="D1461" s="1" t="s">
        <v>169</v>
      </c>
      <c r="E1461" s="1" t="s">
        <v>1281</v>
      </c>
      <c r="F1461" s="1" t="s">
        <v>23</v>
      </c>
      <c r="G1461" s="1" t="s">
        <v>24</v>
      </c>
      <c r="H1461" s="1">
        <v>1</v>
      </c>
      <c r="I1461" s="1" t="s">
        <v>1634</v>
      </c>
      <c r="J1461" s="1"/>
      <c r="K1461" s="1">
        <v>2880000</v>
      </c>
      <c r="L1461" s="1">
        <v>0</v>
      </c>
      <c r="M1461" s="1">
        <v>0</v>
      </c>
      <c r="N1461" s="1">
        <v>316800</v>
      </c>
      <c r="O1461" s="1">
        <v>0</v>
      </c>
      <c r="P1461" s="1">
        <v>0</v>
      </c>
      <c r="Q1461" s="1">
        <v>0</v>
      </c>
      <c r="R1461" s="1">
        <v>3196800</v>
      </c>
      <c r="S1461" s="1">
        <v>1112468.4684685001</v>
      </c>
      <c r="T1461" s="1">
        <v>38.627377377377002</v>
      </c>
      <c r="U1461" t="str">
        <f t="shared" si="22"/>
        <v>Week 2</v>
      </c>
    </row>
    <row r="1462" spans="1:21" x14ac:dyDescent="0.25">
      <c r="A1462" s="1">
        <v>1461</v>
      </c>
      <c r="B1462" s="1" t="s">
        <v>1635</v>
      </c>
      <c r="C1462" s="2">
        <v>46030</v>
      </c>
      <c r="D1462" s="1" t="s">
        <v>21</v>
      </c>
      <c r="E1462" s="1" t="s">
        <v>22</v>
      </c>
      <c r="F1462" s="1" t="s">
        <v>30</v>
      </c>
      <c r="G1462" s="1" t="s">
        <v>24</v>
      </c>
      <c r="H1462" s="1">
        <v>1</v>
      </c>
      <c r="I1462" s="1" t="s">
        <v>1636</v>
      </c>
      <c r="J1462" s="1" t="s">
        <v>26</v>
      </c>
      <c r="K1462" s="1">
        <v>2770950</v>
      </c>
      <c r="L1462" s="1">
        <v>0</v>
      </c>
      <c r="M1462" s="1">
        <v>0</v>
      </c>
      <c r="N1462" s="1">
        <v>304804.5</v>
      </c>
      <c r="O1462" s="1">
        <v>0</v>
      </c>
      <c r="P1462" s="1">
        <v>0</v>
      </c>
      <c r="Q1462" s="1">
        <v>0</v>
      </c>
      <c r="R1462" s="1">
        <v>3075754.5</v>
      </c>
      <c r="S1462" s="1">
        <v>710950</v>
      </c>
      <c r="T1462" s="1">
        <v>25.657265558742999</v>
      </c>
      <c r="U1462" t="str">
        <f t="shared" si="22"/>
        <v>Week 2</v>
      </c>
    </row>
    <row r="1463" spans="1:21" x14ac:dyDescent="0.25">
      <c r="A1463" s="1">
        <v>1462</v>
      </c>
      <c r="B1463" s="1" t="s">
        <v>1637</v>
      </c>
      <c r="C1463" s="2">
        <v>46029</v>
      </c>
      <c r="D1463" s="1" t="s">
        <v>53</v>
      </c>
      <c r="E1463" s="1" t="s">
        <v>1530</v>
      </c>
      <c r="F1463" s="1" t="s">
        <v>23</v>
      </c>
      <c r="G1463" s="1" t="s">
        <v>24</v>
      </c>
      <c r="H1463" s="1">
        <v>1</v>
      </c>
      <c r="I1463" s="1" t="s">
        <v>1638</v>
      </c>
      <c r="J1463" s="1"/>
      <c r="K1463" s="1">
        <v>14212785.119999999</v>
      </c>
      <c r="L1463" s="1">
        <v>0</v>
      </c>
      <c r="M1463" s="1">
        <v>0</v>
      </c>
      <c r="N1463" s="1">
        <v>1563406.3632</v>
      </c>
      <c r="O1463" s="1">
        <v>0</v>
      </c>
      <c r="P1463" s="1">
        <v>0</v>
      </c>
      <c r="Q1463" s="1">
        <v>0</v>
      </c>
      <c r="R1463" s="1">
        <v>15776191.483200001</v>
      </c>
      <c r="S1463" s="1">
        <v>5607550.2271170998</v>
      </c>
      <c r="T1463" s="1">
        <v>39.454267265508001</v>
      </c>
      <c r="U1463" t="str">
        <f t="shared" si="22"/>
        <v>Week 1</v>
      </c>
    </row>
    <row r="1464" spans="1:21" x14ac:dyDescent="0.25">
      <c r="A1464" s="1">
        <v>1463</v>
      </c>
      <c r="B1464" s="1" t="s">
        <v>1639</v>
      </c>
      <c r="C1464" s="2">
        <v>46029</v>
      </c>
      <c r="D1464" s="1" t="s">
        <v>115</v>
      </c>
      <c r="E1464" s="1" t="s">
        <v>99</v>
      </c>
      <c r="F1464" s="1" t="s">
        <v>30</v>
      </c>
      <c r="G1464" s="1" t="s">
        <v>24</v>
      </c>
      <c r="H1464" s="1">
        <v>1</v>
      </c>
      <c r="I1464" s="1" t="s">
        <v>1640</v>
      </c>
      <c r="J1464" s="1" t="s">
        <v>26</v>
      </c>
      <c r="K1464" s="1">
        <v>1264428</v>
      </c>
      <c r="L1464" s="1">
        <v>0</v>
      </c>
      <c r="M1464" s="1">
        <v>0</v>
      </c>
      <c r="N1464" s="1">
        <v>139087.07999999999</v>
      </c>
      <c r="O1464" s="1">
        <v>0</v>
      </c>
      <c r="P1464" s="1">
        <v>0</v>
      </c>
      <c r="Q1464" s="1">
        <v>0</v>
      </c>
      <c r="R1464" s="1">
        <v>1403515.08</v>
      </c>
      <c r="S1464" s="1">
        <v>264428</v>
      </c>
      <c r="T1464" s="1">
        <v>20.912855457170998</v>
      </c>
      <c r="U1464" t="str">
        <f t="shared" si="22"/>
        <v>Week 1</v>
      </c>
    </row>
    <row r="1465" spans="1:21" x14ac:dyDescent="0.25">
      <c r="A1465" s="1">
        <v>1464</v>
      </c>
      <c r="B1465" s="1" t="s">
        <v>1641</v>
      </c>
      <c r="C1465" s="2">
        <v>46029</v>
      </c>
      <c r="D1465" s="1" t="s">
        <v>53</v>
      </c>
      <c r="E1465" s="1" t="s">
        <v>1530</v>
      </c>
      <c r="F1465" s="1" t="s">
        <v>30</v>
      </c>
      <c r="G1465" s="1" t="s">
        <v>24</v>
      </c>
      <c r="H1465" s="1">
        <v>1</v>
      </c>
      <c r="I1465" s="1" t="s">
        <v>1642</v>
      </c>
      <c r="J1465" s="1"/>
      <c r="K1465" s="1">
        <v>13631526</v>
      </c>
      <c r="L1465" s="1">
        <v>0</v>
      </c>
      <c r="M1465" s="1">
        <v>0</v>
      </c>
      <c r="N1465" s="1">
        <v>1499467.86</v>
      </c>
      <c r="O1465" s="1">
        <v>0</v>
      </c>
      <c r="P1465" s="1">
        <v>0</v>
      </c>
      <c r="Q1465" s="1">
        <v>0</v>
      </c>
      <c r="R1465" s="1">
        <v>15130993.859999999</v>
      </c>
      <c r="S1465" s="1">
        <v>-2734372</v>
      </c>
      <c r="T1465" s="1">
        <v>-20.059177527153</v>
      </c>
      <c r="U1465" t="str">
        <f t="shared" si="22"/>
        <v>Week 1</v>
      </c>
    </row>
    <row r="1466" spans="1:21" x14ac:dyDescent="0.25">
      <c r="A1466" s="1">
        <v>1465</v>
      </c>
      <c r="B1466" s="1" t="s">
        <v>1643</v>
      </c>
      <c r="C1466" s="2">
        <v>46029</v>
      </c>
      <c r="D1466" s="1" t="s">
        <v>21</v>
      </c>
      <c r="E1466" s="1" t="s">
        <v>22</v>
      </c>
      <c r="F1466" s="1" t="s">
        <v>865</v>
      </c>
      <c r="G1466" s="1" t="s">
        <v>24</v>
      </c>
      <c r="H1466" s="1">
        <v>1</v>
      </c>
      <c r="I1466" s="1" t="s">
        <v>1644</v>
      </c>
      <c r="J1466" s="1" t="s">
        <v>26</v>
      </c>
      <c r="K1466" s="1">
        <v>16774365.765769999</v>
      </c>
      <c r="L1466" s="1">
        <v>0</v>
      </c>
      <c r="M1466" s="1">
        <v>0</v>
      </c>
      <c r="N1466" s="1">
        <v>1845180.2342347</v>
      </c>
      <c r="O1466" s="1">
        <v>0</v>
      </c>
      <c r="P1466" s="1">
        <v>0</v>
      </c>
      <c r="Q1466" s="1">
        <v>0</v>
      </c>
      <c r="R1466" s="1">
        <v>18619546.000004999</v>
      </c>
      <c r="S1466" s="1">
        <v>4214647.3247790001</v>
      </c>
      <c r="T1466" s="1">
        <v>25.12552416962</v>
      </c>
      <c r="U1466" t="str">
        <f t="shared" si="22"/>
        <v>Week 1</v>
      </c>
    </row>
    <row r="1467" spans="1:21" x14ac:dyDescent="0.25">
      <c r="A1467" s="1">
        <v>1466</v>
      </c>
      <c r="B1467" s="1" t="s">
        <v>1645</v>
      </c>
      <c r="C1467" s="2">
        <v>46029</v>
      </c>
      <c r="D1467" s="1" t="s">
        <v>306</v>
      </c>
      <c r="E1467" s="1" t="s">
        <v>1281</v>
      </c>
      <c r="F1467" s="1" t="s">
        <v>23</v>
      </c>
      <c r="G1467" s="1" t="s">
        <v>24</v>
      </c>
      <c r="H1467" s="1">
        <v>1</v>
      </c>
      <c r="I1467" s="1" t="s">
        <v>1646</v>
      </c>
      <c r="J1467" s="1" t="s">
        <v>26</v>
      </c>
      <c r="K1467" s="1">
        <v>3970000</v>
      </c>
      <c r="L1467" s="1">
        <v>0</v>
      </c>
      <c r="M1467" s="1">
        <v>0</v>
      </c>
      <c r="N1467" s="1">
        <v>436700</v>
      </c>
      <c r="O1467" s="1">
        <v>0</v>
      </c>
      <c r="P1467" s="1">
        <v>0</v>
      </c>
      <c r="Q1467" s="1">
        <v>0</v>
      </c>
      <c r="R1467" s="1">
        <v>4406700</v>
      </c>
      <c r="S1467" s="1">
        <v>1190000</v>
      </c>
      <c r="T1467" s="1">
        <v>29.974811083123001</v>
      </c>
      <c r="U1467" t="str">
        <f t="shared" si="22"/>
        <v>Week 1</v>
      </c>
    </row>
    <row r="1468" spans="1:21" x14ac:dyDescent="0.25">
      <c r="A1468" s="1">
        <v>1467</v>
      </c>
      <c r="B1468" s="1" t="s">
        <v>1647</v>
      </c>
      <c r="C1468" s="2">
        <v>46029</v>
      </c>
      <c r="D1468" s="1" t="s">
        <v>1648</v>
      </c>
      <c r="E1468" s="1" t="s">
        <v>203</v>
      </c>
      <c r="F1468" s="1" t="s">
        <v>30</v>
      </c>
      <c r="G1468" s="1" t="s">
        <v>24</v>
      </c>
      <c r="H1468" s="1">
        <v>1</v>
      </c>
      <c r="I1468" s="1" t="s">
        <v>1649</v>
      </c>
      <c r="J1468" s="1" t="s">
        <v>26</v>
      </c>
      <c r="K1468" s="1">
        <v>13600000</v>
      </c>
      <c r="L1468" s="1">
        <v>0</v>
      </c>
      <c r="M1468" s="1">
        <v>0</v>
      </c>
      <c r="N1468" s="1">
        <v>1496000</v>
      </c>
      <c r="O1468" s="1">
        <v>0</v>
      </c>
      <c r="P1468" s="1">
        <v>0</v>
      </c>
      <c r="Q1468" s="1">
        <v>0</v>
      </c>
      <c r="R1468" s="1">
        <v>15096000</v>
      </c>
      <c r="S1468" s="1">
        <v>3600000</v>
      </c>
      <c r="T1468" s="1">
        <v>26.470588235293999</v>
      </c>
      <c r="U1468" t="str">
        <f t="shared" si="22"/>
        <v>Week 1</v>
      </c>
    </row>
    <row r="1469" spans="1:21" x14ac:dyDescent="0.25">
      <c r="A1469" s="1">
        <v>1468</v>
      </c>
      <c r="B1469" s="1" t="s">
        <v>1650</v>
      </c>
      <c r="C1469" s="2">
        <v>46029</v>
      </c>
      <c r="D1469" s="1" t="s">
        <v>21</v>
      </c>
      <c r="E1469" s="1" t="s">
        <v>22</v>
      </c>
      <c r="F1469" s="1" t="s">
        <v>30</v>
      </c>
      <c r="G1469" s="1" t="s">
        <v>24</v>
      </c>
      <c r="H1469" s="1">
        <v>1</v>
      </c>
      <c r="I1469" s="1" t="s">
        <v>1481</v>
      </c>
      <c r="J1469" s="1" t="s">
        <v>26</v>
      </c>
      <c r="K1469" s="1">
        <v>23438857.960000001</v>
      </c>
      <c r="L1469" s="1">
        <v>0</v>
      </c>
      <c r="M1469" s="1">
        <v>0</v>
      </c>
      <c r="N1469" s="1">
        <v>2578274.3755999999</v>
      </c>
      <c r="O1469" s="1">
        <v>0</v>
      </c>
      <c r="P1469" s="1">
        <v>0</v>
      </c>
      <c r="Q1469" s="1">
        <v>0</v>
      </c>
      <c r="R1469" s="1">
        <v>26017132.3356</v>
      </c>
      <c r="S1469" s="1">
        <v>5262975.2609917996</v>
      </c>
      <c r="T1469" s="1">
        <v>22.454060133704001</v>
      </c>
      <c r="U1469" t="str">
        <f t="shared" si="22"/>
        <v>Week 1</v>
      </c>
    </row>
    <row r="1470" spans="1:21" x14ac:dyDescent="0.25">
      <c r="A1470" s="1">
        <v>1469</v>
      </c>
      <c r="B1470" s="1" t="s">
        <v>1651</v>
      </c>
      <c r="C1470" s="2">
        <v>46029</v>
      </c>
      <c r="D1470" s="1" t="s">
        <v>33</v>
      </c>
      <c r="E1470" s="1" t="s">
        <v>1530</v>
      </c>
      <c r="F1470" s="1" t="s">
        <v>30</v>
      </c>
      <c r="G1470" s="1" t="s">
        <v>24</v>
      </c>
      <c r="H1470" s="1">
        <v>1</v>
      </c>
      <c r="I1470" s="1" t="s">
        <v>1652</v>
      </c>
      <c r="J1470" s="1"/>
      <c r="K1470" s="1">
        <v>15656725</v>
      </c>
      <c r="L1470" s="1">
        <v>0</v>
      </c>
      <c r="M1470" s="1">
        <v>0</v>
      </c>
      <c r="N1470" s="1">
        <v>1722239.75</v>
      </c>
      <c r="O1470" s="1">
        <v>0</v>
      </c>
      <c r="P1470" s="1">
        <v>0</v>
      </c>
      <c r="Q1470" s="1">
        <v>0</v>
      </c>
      <c r="R1470" s="1">
        <v>17378964.75</v>
      </c>
      <c r="S1470" s="1">
        <v>4051706.9819820002</v>
      </c>
      <c r="T1470" s="1">
        <v>25.878381219457001</v>
      </c>
      <c r="U1470" t="str">
        <f t="shared" si="22"/>
        <v>Week 1</v>
      </c>
    </row>
    <row r="1471" spans="1:21" x14ac:dyDescent="0.25">
      <c r="A1471" s="1">
        <v>1470</v>
      </c>
      <c r="B1471" s="1" t="s">
        <v>1653</v>
      </c>
      <c r="C1471" s="2">
        <v>46029</v>
      </c>
      <c r="D1471" s="1" t="s">
        <v>2979</v>
      </c>
      <c r="E1471" s="1" t="s">
        <v>22</v>
      </c>
      <c r="F1471" s="1" t="s">
        <v>30</v>
      </c>
      <c r="G1471" s="1" t="s">
        <v>24</v>
      </c>
      <c r="H1471" s="1">
        <v>1</v>
      </c>
      <c r="I1471" s="1" t="s">
        <v>1654</v>
      </c>
      <c r="J1471" s="1" t="s">
        <v>56</v>
      </c>
      <c r="K1471" s="1">
        <v>39687486</v>
      </c>
      <c r="L1471" s="1">
        <v>0</v>
      </c>
      <c r="M1471" s="1">
        <v>0</v>
      </c>
      <c r="N1471" s="1">
        <v>4365623.46</v>
      </c>
      <c r="O1471" s="1">
        <v>0</v>
      </c>
      <c r="P1471" s="1">
        <v>0</v>
      </c>
      <c r="Q1471" s="1">
        <v>0</v>
      </c>
      <c r="R1471" s="1">
        <v>44053109.460000001</v>
      </c>
      <c r="S1471" s="1">
        <v>3259558</v>
      </c>
      <c r="T1471" s="1">
        <v>8.2130624247652992</v>
      </c>
      <c r="U1471" t="str">
        <f t="shared" si="22"/>
        <v>Week 1</v>
      </c>
    </row>
    <row r="1472" spans="1:21" x14ac:dyDescent="0.25">
      <c r="A1472" s="1">
        <v>1471</v>
      </c>
      <c r="B1472" s="1" t="s">
        <v>1655</v>
      </c>
      <c r="C1472" s="2">
        <v>46029</v>
      </c>
      <c r="D1472" s="1" t="s">
        <v>33</v>
      </c>
      <c r="E1472" s="1" t="s">
        <v>1530</v>
      </c>
      <c r="F1472" s="1" t="s">
        <v>23</v>
      </c>
      <c r="G1472" s="1" t="s">
        <v>24</v>
      </c>
      <c r="H1472" s="1">
        <v>1</v>
      </c>
      <c r="I1472" s="1" t="s">
        <v>1656</v>
      </c>
      <c r="J1472" s="1"/>
      <c r="K1472" s="1">
        <v>30610000</v>
      </c>
      <c r="L1472" s="1">
        <v>0</v>
      </c>
      <c r="M1472" s="1">
        <v>0</v>
      </c>
      <c r="N1472" s="1">
        <v>3367100</v>
      </c>
      <c r="O1472" s="1">
        <v>0</v>
      </c>
      <c r="P1472" s="1">
        <v>0</v>
      </c>
      <c r="Q1472" s="1">
        <v>0</v>
      </c>
      <c r="R1472" s="1">
        <v>33977100</v>
      </c>
      <c r="S1472" s="1">
        <v>6220000</v>
      </c>
      <c r="T1472" s="1">
        <v>20.320156811499999</v>
      </c>
      <c r="U1472" t="str">
        <f t="shared" si="22"/>
        <v>Week 1</v>
      </c>
    </row>
    <row r="1473" spans="1:21" x14ac:dyDescent="0.25">
      <c r="A1473" s="1">
        <v>1472</v>
      </c>
      <c r="B1473" s="1" t="s">
        <v>1657</v>
      </c>
      <c r="C1473" s="2">
        <v>46029</v>
      </c>
      <c r="D1473" s="1" t="s">
        <v>202</v>
      </c>
      <c r="E1473" s="1" t="s">
        <v>203</v>
      </c>
      <c r="F1473" s="1" t="s">
        <v>39</v>
      </c>
      <c r="G1473" s="1" t="s">
        <v>24</v>
      </c>
      <c r="H1473" s="1">
        <v>1</v>
      </c>
      <c r="I1473" s="1" t="s">
        <v>1147</v>
      </c>
      <c r="J1473" s="1"/>
      <c r="K1473" s="1">
        <v>2865000</v>
      </c>
      <c r="L1473" s="1">
        <v>0</v>
      </c>
      <c r="M1473" s="1">
        <v>0</v>
      </c>
      <c r="N1473" s="1">
        <v>315150</v>
      </c>
      <c r="O1473" s="1">
        <v>0</v>
      </c>
      <c r="P1473" s="1">
        <v>0</v>
      </c>
      <c r="Q1473" s="1">
        <v>0</v>
      </c>
      <c r="R1473" s="1">
        <v>3180150</v>
      </c>
      <c r="S1473" s="1">
        <v>1198500</v>
      </c>
      <c r="T1473" s="1">
        <v>41.832460732984003</v>
      </c>
      <c r="U1473" t="str">
        <f t="shared" si="22"/>
        <v>Week 1</v>
      </c>
    </row>
    <row r="1474" spans="1:21" x14ac:dyDescent="0.25">
      <c r="A1474" s="1">
        <v>1473</v>
      </c>
      <c r="B1474" s="1" t="s">
        <v>1658</v>
      </c>
      <c r="C1474" s="2">
        <v>46029</v>
      </c>
      <c r="D1474" s="1" t="s">
        <v>28</v>
      </c>
      <c r="E1474" s="1" t="s">
        <v>1523</v>
      </c>
      <c r="F1474" s="1" t="s">
        <v>30</v>
      </c>
      <c r="G1474" s="1" t="s">
        <v>24</v>
      </c>
      <c r="H1474" s="1">
        <v>1</v>
      </c>
      <c r="I1474" s="1" t="s">
        <v>1659</v>
      </c>
      <c r="J1474" s="1" t="s">
        <v>26</v>
      </c>
      <c r="K1474" s="1">
        <v>1575900</v>
      </c>
      <c r="L1474" s="1">
        <v>0</v>
      </c>
      <c r="M1474" s="1">
        <v>0</v>
      </c>
      <c r="N1474" s="1">
        <v>173349</v>
      </c>
      <c r="O1474" s="1">
        <v>0</v>
      </c>
      <c r="P1474" s="1">
        <v>0</v>
      </c>
      <c r="Q1474" s="1">
        <v>0</v>
      </c>
      <c r="R1474" s="1">
        <v>1749249</v>
      </c>
      <c r="S1474" s="1">
        <v>45900</v>
      </c>
      <c r="T1474" s="1">
        <v>2.9126213592233001</v>
      </c>
      <c r="U1474" t="str">
        <f t="shared" si="22"/>
        <v>Week 1</v>
      </c>
    </row>
    <row r="1475" spans="1:21" x14ac:dyDescent="0.25">
      <c r="A1475" s="1">
        <v>1474</v>
      </c>
      <c r="B1475" s="1" t="s">
        <v>1660</v>
      </c>
      <c r="C1475" s="2">
        <v>46029</v>
      </c>
      <c r="D1475" s="1" t="s">
        <v>184</v>
      </c>
      <c r="E1475" s="1" t="s">
        <v>99</v>
      </c>
      <c r="F1475" s="1" t="s">
        <v>23</v>
      </c>
      <c r="G1475" s="1" t="s">
        <v>24</v>
      </c>
      <c r="H1475" s="1">
        <v>1</v>
      </c>
      <c r="I1475" s="1" t="s">
        <v>1438</v>
      </c>
      <c r="J1475" s="1"/>
      <c r="K1475" s="1">
        <v>8500000</v>
      </c>
      <c r="L1475" s="1">
        <v>0</v>
      </c>
      <c r="M1475" s="1">
        <v>0</v>
      </c>
      <c r="N1475" s="1">
        <v>935000</v>
      </c>
      <c r="O1475" s="1">
        <v>0</v>
      </c>
      <c r="P1475" s="1">
        <v>0</v>
      </c>
      <c r="Q1475" s="1">
        <v>0</v>
      </c>
      <c r="R1475" s="1">
        <v>9435000</v>
      </c>
      <c r="S1475" s="1">
        <v>5501081.0811016001</v>
      </c>
      <c r="T1475" s="1">
        <v>64.718600954135994</v>
      </c>
      <c r="U1475" t="str">
        <f t="shared" ref="U1475:U1538" si="23">"Week "&amp;IF(DAY(C1475)&gt;=24,4,INT((DAY(C1475)-1)/7)+1)</f>
        <v>Week 1</v>
      </c>
    </row>
    <row r="1476" spans="1:21" x14ac:dyDescent="0.25">
      <c r="A1476" s="1">
        <v>1475</v>
      </c>
      <c r="B1476" s="1" t="s">
        <v>1661</v>
      </c>
      <c r="C1476" s="2">
        <v>46029</v>
      </c>
      <c r="D1476" s="1" t="s">
        <v>202</v>
      </c>
      <c r="E1476" s="1" t="s">
        <v>203</v>
      </c>
      <c r="F1476" s="1" t="s">
        <v>260</v>
      </c>
      <c r="G1476" s="1" t="s">
        <v>24</v>
      </c>
      <c r="H1476" s="1">
        <v>1</v>
      </c>
      <c r="I1476" s="1" t="s">
        <v>1662</v>
      </c>
      <c r="J1476" s="1" t="s">
        <v>26</v>
      </c>
      <c r="K1476" s="1">
        <v>15850000</v>
      </c>
      <c r="L1476" s="1">
        <v>0</v>
      </c>
      <c r="M1476" s="1">
        <v>0</v>
      </c>
      <c r="N1476" s="1">
        <v>1743500</v>
      </c>
      <c r="O1476" s="1">
        <v>0</v>
      </c>
      <c r="P1476" s="1">
        <v>0</v>
      </c>
      <c r="Q1476" s="1">
        <v>0</v>
      </c>
      <c r="R1476" s="1">
        <v>17593500</v>
      </c>
      <c r="S1476" s="1">
        <v>6738602.7019999996</v>
      </c>
      <c r="T1476" s="1">
        <v>42.514843545741002</v>
      </c>
      <c r="U1476" t="str">
        <f t="shared" si="23"/>
        <v>Week 1</v>
      </c>
    </row>
    <row r="1477" spans="1:21" x14ac:dyDescent="0.25">
      <c r="A1477" s="1">
        <v>1476</v>
      </c>
      <c r="B1477" s="1" t="s">
        <v>1663</v>
      </c>
      <c r="C1477" s="2">
        <v>46029</v>
      </c>
      <c r="D1477" s="1" t="s">
        <v>53</v>
      </c>
      <c r="E1477" s="1" t="s">
        <v>1530</v>
      </c>
      <c r="F1477" s="1" t="s">
        <v>23</v>
      </c>
      <c r="G1477" s="1" t="s">
        <v>24</v>
      </c>
      <c r="H1477" s="1">
        <v>1</v>
      </c>
      <c r="I1477" s="1" t="s">
        <v>1302</v>
      </c>
      <c r="J1477" s="1"/>
      <c r="K1477" s="1">
        <v>8530000</v>
      </c>
      <c r="L1477" s="1">
        <v>0</v>
      </c>
      <c r="M1477" s="1">
        <v>0</v>
      </c>
      <c r="N1477" s="1">
        <v>938300</v>
      </c>
      <c r="O1477" s="1">
        <v>0</v>
      </c>
      <c r="P1477" s="1">
        <v>0</v>
      </c>
      <c r="Q1477" s="1">
        <v>0</v>
      </c>
      <c r="R1477" s="1">
        <v>9468300</v>
      </c>
      <c r="S1477" s="1">
        <v>2080000</v>
      </c>
      <c r="T1477" s="1">
        <v>24.384525205157999</v>
      </c>
      <c r="U1477" t="str">
        <f t="shared" si="23"/>
        <v>Week 1</v>
      </c>
    </row>
    <row r="1478" spans="1:21" x14ac:dyDescent="0.25">
      <c r="A1478" s="1">
        <v>1477</v>
      </c>
      <c r="B1478" s="1" t="s">
        <v>1664</v>
      </c>
      <c r="C1478" s="2">
        <v>46029</v>
      </c>
      <c r="D1478" s="1" t="s">
        <v>202</v>
      </c>
      <c r="E1478" s="1" t="s">
        <v>203</v>
      </c>
      <c r="F1478" s="1" t="s">
        <v>260</v>
      </c>
      <c r="G1478" s="1" t="s">
        <v>24</v>
      </c>
      <c r="H1478" s="1">
        <v>1</v>
      </c>
      <c r="I1478" s="1" t="s">
        <v>1665</v>
      </c>
      <c r="J1478" s="1" t="s">
        <v>26</v>
      </c>
      <c r="K1478" s="1">
        <v>7670000</v>
      </c>
      <c r="L1478" s="1">
        <v>0</v>
      </c>
      <c r="M1478" s="1">
        <v>0</v>
      </c>
      <c r="N1478" s="1">
        <v>843700</v>
      </c>
      <c r="O1478" s="1">
        <v>0</v>
      </c>
      <c r="P1478" s="1">
        <v>0</v>
      </c>
      <c r="Q1478" s="1">
        <v>0</v>
      </c>
      <c r="R1478" s="1">
        <v>8513700</v>
      </c>
      <c r="S1478" s="1">
        <v>3085989.0950455</v>
      </c>
      <c r="T1478" s="1">
        <v>40.234538396943002</v>
      </c>
      <c r="U1478" t="str">
        <f t="shared" si="23"/>
        <v>Week 1</v>
      </c>
    </row>
    <row r="1479" spans="1:21" x14ac:dyDescent="0.25">
      <c r="A1479" s="1">
        <v>1478</v>
      </c>
      <c r="B1479" s="1" t="s">
        <v>1666</v>
      </c>
      <c r="C1479" s="2">
        <v>46029</v>
      </c>
      <c r="D1479" s="1" t="s">
        <v>33</v>
      </c>
      <c r="E1479" s="1" t="s">
        <v>34</v>
      </c>
      <c r="F1479" s="1" t="s">
        <v>30</v>
      </c>
      <c r="G1479" s="1" t="s">
        <v>24</v>
      </c>
      <c r="H1479" s="1">
        <v>1</v>
      </c>
      <c r="I1479" s="1" t="s">
        <v>547</v>
      </c>
      <c r="J1479" s="1" t="s">
        <v>56</v>
      </c>
      <c r="K1479" s="1">
        <v>111474680.52</v>
      </c>
      <c r="L1479" s="1">
        <v>0</v>
      </c>
      <c r="M1479" s="1">
        <v>0</v>
      </c>
      <c r="N1479" s="1">
        <v>12262214.8572</v>
      </c>
      <c r="O1479" s="1">
        <v>0</v>
      </c>
      <c r="P1479" s="1">
        <v>0</v>
      </c>
      <c r="Q1479" s="1">
        <v>0</v>
      </c>
      <c r="R1479" s="1">
        <v>123736895.37720001</v>
      </c>
      <c r="S1479" s="1">
        <v>14276626.465948001</v>
      </c>
      <c r="T1479" s="1">
        <v>12.807057530330001</v>
      </c>
      <c r="U1479" t="str">
        <f t="shared" si="23"/>
        <v>Week 1</v>
      </c>
    </row>
    <row r="1480" spans="1:21" x14ac:dyDescent="0.25">
      <c r="A1480" s="1">
        <v>1479</v>
      </c>
      <c r="B1480" s="1" t="s">
        <v>1667</v>
      </c>
      <c r="C1480" s="2">
        <v>46029</v>
      </c>
      <c r="D1480" s="1" t="s">
        <v>248</v>
      </c>
      <c r="E1480" s="1" t="s">
        <v>99</v>
      </c>
      <c r="F1480" s="1" t="s">
        <v>23</v>
      </c>
      <c r="G1480" s="1" t="s">
        <v>24</v>
      </c>
      <c r="H1480" s="1">
        <v>1</v>
      </c>
      <c r="I1480" s="1" t="s">
        <v>1668</v>
      </c>
      <c r="J1480" s="1"/>
      <c r="K1480" s="1">
        <v>206060000</v>
      </c>
      <c r="L1480" s="1">
        <v>0</v>
      </c>
      <c r="M1480" s="1">
        <v>0</v>
      </c>
      <c r="N1480" s="1">
        <v>22666600</v>
      </c>
      <c r="O1480" s="1">
        <v>0</v>
      </c>
      <c r="P1480" s="1">
        <v>0</v>
      </c>
      <c r="Q1480" s="1">
        <v>0</v>
      </c>
      <c r="R1480" s="1">
        <v>228726600</v>
      </c>
      <c r="S1480" s="1">
        <v>62060000</v>
      </c>
      <c r="T1480" s="1">
        <v>30.117441521886999</v>
      </c>
      <c r="U1480" t="str">
        <f t="shared" si="23"/>
        <v>Week 1</v>
      </c>
    </row>
    <row r="1481" spans="1:21" x14ac:dyDescent="0.25">
      <c r="A1481" s="1">
        <v>1480</v>
      </c>
      <c r="B1481" s="1" t="s">
        <v>1669</v>
      </c>
      <c r="C1481" s="2">
        <v>46028</v>
      </c>
      <c r="D1481" s="1" t="s">
        <v>33</v>
      </c>
      <c r="E1481" s="1" t="s">
        <v>34</v>
      </c>
      <c r="F1481" s="1" t="s">
        <v>30</v>
      </c>
      <c r="G1481" s="1" t="s">
        <v>24</v>
      </c>
      <c r="H1481" s="1">
        <v>1</v>
      </c>
      <c r="I1481" s="1" t="s">
        <v>1670</v>
      </c>
      <c r="J1481" s="1"/>
      <c r="K1481" s="1">
        <v>254800</v>
      </c>
      <c r="L1481" s="1">
        <v>0</v>
      </c>
      <c r="M1481" s="1">
        <v>0</v>
      </c>
      <c r="N1481" s="1">
        <v>28028</v>
      </c>
      <c r="O1481" s="1">
        <v>0</v>
      </c>
      <c r="P1481" s="1">
        <v>0</v>
      </c>
      <c r="Q1481" s="1">
        <v>0</v>
      </c>
      <c r="R1481" s="1">
        <v>282828</v>
      </c>
      <c r="S1481" s="1">
        <v>136845.04504600001</v>
      </c>
      <c r="T1481" s="1">
        <v>53.706846564364</v>
      </c>
      <c r="U1481" t="str">
        <f t="shared" si="23"/>
        <v>Week 1</v>
      </c>
    </row>
    <row r="1482" spans="1:21" x14ac:dyDescent="0.25">
      <c r="A1482" s="1">
        <v>1481</v>
      </c>
      <c r="B1482" s="1" t="s">
        <v>1671</v>
      </c>
      <c r="C1482" s="2">
        <v>46028</v>
      </c>
      <c r="D1482" s="1" t="s">
        <v>33</v>
      </c>
      <c r="E1482" s="1" t="s">
        <v>34</v>
      </c>
      <c r="F1482" s="1" t="s">
        <v>30</v>
      </c>
      <c r="G1482" s="1" t="s">
        <v>24</v>
      </c>
      <c r="H1482" s="1">
        <v>1</v>
      </c>
      <c r="I1482" s="1" t="s">
        <v>1672</v>
      </c>
      <c r="J1482" s="1"/>
      <c r="K1482" s="1">
        <v>192864</v>
      </c>
      <c r="L1482" s="1">
        <v>0</v>
      </c>
      <c r="M1482" s="1">
        <v>0</v>
      </c>
      <c r="N1482" s="1">
        <v>21215.040000000001</v>
      </c>
      <c r="O1482" s="1">
        <v>0</v>
      </c>
      <c r="P1482" s="1">
        <v>0</v>
      </c>
      <c r="Q1482" s="1">
        <v>0</v>
      </c>
      <c r="R1482" s="1">
        <v>214079.04</v>
      </c>
      <c r="S1482" s="1">
        <v>112864</v>
      </c>
      <c r="T1482" s="1">
        <v>58.519993363198999</v>
      </c>
      <c r="U1482" t="str">
        <f t="shared" si="23"/>
        <v>Week 1</v>
      </c>
    </row>
    <row r="1483" spans="1:21" x14ac:dyDescent="0.25">
      <c r="A1483" s="1">
        <v>1482</v>
      </c>
      <c r="B1483" s="1" t="s">
        <v>1673</v>
      </c>
      <c r="C1483" s="2">
        <v>46028</v>
      </c>
      <c r="D1483" s="1" t="s">
        <v>33</v>
      </c>
      <c r="E1483" s="1" t="s">
        <v>34</v>
      </c>
      <c r="F1483" s="1" t="s">
        <v>30</v>
      </c>
      <c r="G1483" s="1" t="s">
        <v>24</v>
      </c>
      <c r="H1483" s="1">
        <v>1</v>
      </c>
      <c r="I1483" s="1" t="s">
        <v>1674</v>
      </c>
      <c r="J1483" s="1"/>
      <c r="K1483" s="1">
        <v>5056800</v>
      </c>
      <c r="L1483" s="1">
        <v>0</v>
      </c>
      <c r="M1483" s="1">
        <v>0</v>
      </c>
      <c r="N1483" s="1">
        <v>556248</v>
      </c>
      <c r="O1483" s="1">
        <v>0</v>
      </c>
      <c r="P1483" s="1">
        <v>0</v>
      </c>
      <c r="Q1483" s="1">
        <v>0</v>
      </c>
      <c r="R1483" s="1">
        <v>5613048</v>
      </c>
      <c r="S1483" s="1">
        <v>2269400</v>
      </c>
      <c r="T1483" s="1">
        <v>44.878183831671997</v>
      </c>
      <c r="U1483" t="str">
        <f t="shared" si="23"/>
        <v>Week 1</v>
      </c>
    </row>
    <row r="1484" spans="1:21" x14ac:dyDescent="0.25">
      <c r="A1484" s="1">
        <v>1483</v>
      </c>
      <c r="B1484" s="1" t="s">
        <v>2277</v>
      </c>
      <c r="C1484" s="2">
        <v>46028</v>
      </c>
      <c r="D1484" s="1" t="s">
        <v>2210</v>
      </c>
      <c r="E1484" s="1" t="s">
        <v>2278</v>
      </c>
      <c r="F1484" s="1" t="s">
        <v>30</v>
      </c>
      <c r="G1484" s="1" t="s">
        <v>24</v>
      </c>
      <c r="H1484" s="1">
        <v>1</v>
      </c>
      <c r="I1484" s="1" t="s">
        <v>2279</v>
      </c>
      <c r="J1484" s="1"/>
      <c r="K1484" s="1">
        <v>460340766.89999998</v>
      </c>
      <c r="L1484" s="1">
        <v>0</v>
      </c>
      <c r="M1484" s="1">
        <v>0</v>
      </c>
      <c r="N1484" s="1">
        <v>50637484.358999997</v>
      </c>
      <c r="O1484" s="1">
        <v>0</v>
      </c>
      <c r="P1484" s="1">
        <v>0</v>
      </c>
      <c r="Q1484" s="1">
        <v>0</v>
      </c>
      <c r="R1484" s="1">
        <v>510978251.259</v>
      </c>
      <c r="S1484" s="1">
        <v>21920988.899999999</v>
      </c>
      <c r="T1484" s="1">
        <v>4.7619047619048001</v>
      </c>
      <c r="U1484" t="str">
        <f t="shared" si="23"/>
        <v>Week 1</v>
      </c>
    </row>
    <row r="1485" spans="1:21" x14ac:dyDescent="0.25">
      <c r="A1485" s="1">
        <v>1484</v>
      </c>
      <c r="B1485" s="1" t="s">
        <v>2280</v>
      </c>
      <c r="C1485" s="2">
        <v>46028</v>
      </c>
      <c r="D1485" s="1" t="s">
        <v>2210</v>
      </c>
      <c r="E1485" s="1" t="s">
        <v>1675</v>
      </c>
      <c r="F1485" s="1" t="s">
        <v>23</v>
      </c>
      <c r="G1485" s="1" t="s">
        <v>24</v>
      </c>
      <c r="H1485" s="1">
        <v>1</v>
      </c>
      <c r="I1485" s="1" t="s">
        <v>2281</v>
      </c>
      <c r="J1485" s="1"/>
      <c r="K1485" s="1">
        <v>214700000</v>
      </c>
      <c r="L1485" s="1">
        <v>0</v>
      </c>
      <c r="M1485" s="1">
        <v>0</v>
      </c>
      <c r="N1485" s="1">
        <v>23617000</v>
      </c>
      <c r="O1485" s="1">
        <v>0</v>
      </c>
      <c r="P1485" s="1">
        <v>0</v>
      </c>
      <c r="Q1485" s="1">
        <v>0</v>
      </c>
      <c r="R1485" s="1">
        <v>238317000</v>
      </c>
      <c r="S1485" s="1">
        <v>164700000</v>
      </c>
      <c r="T1485" s="1">
        <v>76.711690731253</v>
      </c>
      <c r="U1485" t="str">
        <f t="shared" si="23"/>
        <v>Week 1</v>
      </c>
    </row>
    <row r="1486" spans="1:21" x14ac:dyDescent="0.25">
      <c r="A1486" s="1">
        <v>1485</v>
      </c>
      <c r="B1486" s="1" t="s">
        <v>1676</v>
      </c>
      <c r="C1486" s="2">
        <v>46028</v>
      </c>
      <c r="D1486" s="1" t="s">
        <v>21</v>
      </c>
      <c r="E1486" s="1" t="s">
        <v>22</v>
      </c>
      <c r="F1486" s="1" t="s">
        <v>30</v>
      </c>
      <c r="G1486" s="1" t="s">
        <v>24</v>
      </c>
      <c r="H1486" s="1">
        <v>1</v>
      </c>
      <c r="I1486" s="1" t="s">
        <v>1616</v>
      </c>
      <c r="J1486" s="1" t="s">
        <v>26</v>
      </c>
      <c r="K1486" s="1">
        <v>434434</v>
      </c>
      <c r="L1486" s="1">
        <v>0</v>
      </c>
      <c r="M1486" s="1">
        <v>0</v>
      </c>
      <c r="N1486" s="1">
        <v>47787.74</v>
      </c>
      <c r="O1486" s="1">
        <v>0</v>
      </c>
      <c r="P1486" s="1">
        <v>0</v>
      </c>
      <c r="Q1486" s="1">
        <v>0</v>
      </c>
      <c r="R1486" s="1">
        <v>482221.74</v>
      </c>
      <c r="S1486" s="1">
        <v>16434</v>
      </c>
      <c r="T1486" s="1">
        <v>3.7828530916088998</v>
      </c>
      <c r="U1486" t="str">
        <f t="shared" si="23"/>
        <v>Week 1</v>
      </c>
    </row>
    <row r="1487" spans="1:21" x14ac:dyDescent="0.25">
      <c r="A1487" s="1">
        <v>1486</v>
      </c>
      <c r="B1487" s="1" t="s">
        <v>1677</v>
      </c>
      <c r="C1487" s="2">
        <v>46028</v>
      </c>
      <c r="D1487" s="1" t="s">
        <v>33</v>
      </c>
      <c r="E1487" s="1" t="s">
        <v>34</v>
      </c>
      <c r="F1487" s="1" t="s">
        <v>23</v>
      </c>
      <c r="G1487" s="1" t="s">
        <v>24</v>
      </c>
      <c r="H1487" s="1">
        <v>1</v>
      </c>
      <c r="I1487" s="1" t="s">
        <v>1678</v>
      </c>
      <c r="J1487" s="1"/>
      <c r="K1487" s="1">
        <v>4392000</v>
      </c>
      <c r="L1487" s="1">
        <v>0</v>
      </c>
      <c r="M1487" s="1">
        <v>0</v>
      </c>
      <c r="N1487" s="1">
        <v>483120</v>
      </c>
      <c r="O1487" s="1">
        <v>0</v>
      </c>
      <c r="P1487" s="1">
        <v>0</v>
      </c>
      <c r="Q1487" s="1">
        <v>0</v>
      </c>
      <c r="R1487" s="1">
        <v>4875120</v>
      </c>
      <c r="S1487" s="1">
        <v>2466842.5135134999</v>
      </c>
      <c r="T1487" s="1">
        <v>56.166723896027001</v>
      </c>
      <c r="U1487" t="str">
        <f t="shared" si="23"/>
        <v>Week 1</v>
      </c>
    </row>
    <row r="1488" spans="1:21" x14ac:dyDescent="0.25">
      <c r="A1488" s="1">
        <v>1487</v>
      </c>
      <c r="B1488" s="1" t="s">
        <v>1679</v>
      </c>
      <c r="C1488" s="2">
        <v>46028</v>
      </c>
      <c r="D1488" s="1" t="s">
        <v>53</v>
      </c>
      <c r="E1488" s="1" t="s">
        <v>1530</v>
      </c>
      <c r="F1488" s="1" t="s">
        <v>23</v>
      </c>
      <c r="G1488" s="1" t="s">
        <v>24</v>
      </c>
      <c r="H1488" s="1">
        <v>1</v>
      </c>
      <c r="I1488" s="1" t="s">
        <v>1680</v>
      </c>
      <c r="J1488" s="1"/>
      <c r="K1488" s="1">
        <v>92872600</v>
      </c>
      <c r="L1488" s="1">
        <v>0</v>
      </c>
      <c r="M1488" s="1">
        <v>0</v>
      </c>
      <c r="N1488" s="1">
        <v>10215986</v>
      </c>
      <c r="O1488" s="1">
        <v>0</v>
      </c>
      <c r="P1488" s="1">
        <v>0</v>
      </c>
      <c r="Q1488" s="1">
        <v>0</v>
      </c>
      <c r="R1488" s="1">
        <v>103088586</v>
      </c>
      <c r="S1488" s="1">
        <v>70149369.332432002</v>
      </c>
      <c r="T1488" s="1">
        <v>75.532901342733993</v>
      </c>
      <c r="U1488" t="str">
        <f t="shared" si="23"/>
        <v>Week 1</v>
      </c>
    </row>
    <row r="1489" spans="1:21" x14ac:dyDescent="0.25">
      <c r="A1489" s="1">
        <v>1488</v>
      </c>
      <c r="B1489" s="1" t="s">
        <v>1681</v>
      </c>
      <c r="C1489" s="2">
        <v>46028</v>
      </c>
      <c r="D1489" s="1" t="s">
        <v>21</v>
      </c>
      <c r="E1489" s="1" t="s">
        <v>22</v>
      </c>
      <c r="F1489" s="1" t="s">
        <v>30</v>
      </c>
      <c r="G1489" s="1" t="s">
        <v>24</v>
      </c>
      <c r="H1489" s="1">
        <v>1</v>
      </c>
      <c r="I1489" s="1" t="s">
        <v>1682</v>
      </c>
      <c r="J1489" s="1" t="s">
        <v>26</v>
      </c>
      <c r="K1489" s="1">
        <v>6955550</v>
      </c>
      <c r="L1489" s="1">
        <v>0</v>
      </c>
      <c r="M1489" s="1">
        <v>0</v>
      </c>
      <c r="N1489" s="1">
        <v>765110.5</v>
      </c>
      <c r="O1489" s="1">
        <v>0</v>
      </c>
      <c r="P1489" s="1">
        <v>0</v>
      </c>
      <c r="Q1489" s="1">
        <v>0</v>
      </c>
      <c r="R1489" s="1">
        <v>7720660.5</v>
      </c>
      <c r="S1489" s="1">
        <v>2663658.1081081</v>
      </c>
      <c r="T1489" s="1">
        <v>38.295434697588</v>
      </c>
      <c r="U1489" t="str">
        <f t="shared" si="23"/>
        <v>Week 1</v>
      </c>
    </row>
    <row r="1490" spans="1:21" x14ac:dyDescent="0.25">
      <c r="A1490" s="1">
        <v>1489</v>
      </c>
      <c r="B1490" s="1" t="s">
        <v>1683</v>
      </c>
      <c r="C1490" s="2">
        <v>46028</v>
      </c>
      <c r="D1490" s="1" t="s">
        <v>21</v>
      </c>
      <c r="E1490" s="1" t="s">
        <v>22</v>
      </c>
      <c r="F1490" s="1" t="s">
        <v>23</v>
      </c>
      <c r="G1490" s="1" t="s">
        <v>24</v>
      </c>
      <c r="H1490" s="1">
        <v>1</v>
      </c>
      <c r="I1490" s="1" t="s">
        <v>361</v>
      </c>
      <c r="J1490" s="1" t="s">
        <v>26</v>
      </c>
      <c r="K1490" s="1">
        <v>3487500</v>
      </c>
      <c r="L1490" s="1">
        <v>0</v>
      </c>
      <c r="M1490" s="1">
        <v>0</v>
      </c>
      <c r="N1490" s="1">
        <v>383625</v>
      </c>
      <c r="O1490" s="1">
        <v>0</v>
      </c>
      <c r="P1490" s="1">
        <v>0</v>
      </c>
      <c r="Q1490" s="1">
        <v>0</v>
      </c>
      <c r="R1490" s="1">
        <v>3871125</v>
      </c>
      <c r="S1490" s="1">
        <v>837500</v>
      </c>
      <c r="T1490" s="1">
        <v>24.014336917563</v>
      </c>
      <c r="U1490" t="str">
        <f t="shared" si="23"/>
        <v>Week 1</v>
      </c>
    </row>
    <row r="1491" spans="1:21" x14ac:dyDescent="0.25">
      <c r="A1491" s="1">
        <v>1490</v>
      </c>
      <c r="B1491" s="1" t="s">
        <v>1684</v>
      </c>
      <c r="C1491" s="2">
        <v>46028</v>
      </c>
      <c r="D1491" s="1" t="s">
        <v>21</v>
      </c>
      <c r="E1491" s="1" t="s">
        <v>22</v>
      </c>
      <c r="F1491" s="1" t="s">
        <v>30</v>
      </c>
      <c r="G1491" s="1" t="s">
        <v>24</v>
      </c>
      <c r="H1491" s="1">
        <v>1</v>
      </c>
      <c r="I1491" s="1" t="s">
        <v>1685</v>
      </c>
      <c r="J1491" s="1" t="s">
        <v>26</v>
      </c>
      <c r="K1491" s="1">
        <v>64680</v>
      </c>
      <c r="L1491" s="1">
        <v>0</v>
      </c>
      <c r="M1491" s="1">
        <v>0</v>
      </c>
      <c r="N1491" s="1">
        <v>7114.8</v>
      </c>
      <c r="O1491" s="1">
        <v>0</v>
      </c>
      <c r="P1491" s="1">
        <v>0</v>
      </c>
      <c r="Q1491" s="1">
        <v>0</v>
      </c>
      <c r="R1491" s="1">
        <v>71794.8</v>
      </c>
      <c r="S1491" s="1">
        <v>2468.64</v>
      </c>
      <c r="T1491" s="1">
        <v>3.8166975881262002</v>
      </c>
      <c r="U1491" t="str">
        <f t="shared" si="23"/>
        <v>Week 1</v>
      </c>
    </row>
    <row r="1492" spans="1:21" x14ac:dyDescent="0.25">
      <c r="A1492" s="1">
        <v>1491</v>
      </c>
      <c r="B1492" s="1" t="s">
        <v>1686</v>
      </c>
      <c r="C1492" s="2">
        <v>46028</v>
      </c>
      <c r="D1492" s="1" t="s">
        <v>112</v>
      </c>
      <c r="E1492" s="1" t="s">
        <v>1530</v>
      </c>
      <c r="F1492" s="1" t="s">
        <v>23</v>
      </c>
      <c r="G1492" s="1" t="s">
        <v>24</v>
      </c>
      <c r="H1492" s="1">
        <v>1</v>
      </c>
      <c r="I1492" s="1" t="s">
        <v>1687</v>
      </c>
      <c r="J1492" s="1"/>
      <c r="K1492" s="1">
        <v>4005000</v>
      </c>
      <c r="L1492" s="1">
        <v>0</v>
      </c>
      <c r="M1492" s="1">
        <v>0</v>
      </c>
      <c r="N1492" s="1">
        <v>440550</v>
      </c>
      <c r="O1492" s="1">
        <v>0</v>
      </c>
      <c r="P1492" s="1">
        <v>0</v>
      </c>
      <c r="Q1492" s="1">
        <v>0</v>
      </c>
      <c r="R1492" s="1">
        <v>4445550</v>
      </c>
      <c r="S1492" s="1">
        <v>1352078</v>
      </c>
      <c r="T1492" s="1">
        <v>33.75975031211</v>
      </c>
      <c r="U1492" t="str">
        <f t="shared" si="23"/>
        <v>Week 1</v>
      </c>
    </row>
    <row r="1493" spans="1:21" x14ac:dyDescent="0.25">
      <c r="A1493" s="1">
        <v>1492</v>
      </c>
      <c r="B1493" s="1" t="s">
        <v>1688</v>
      </c>
      <c r="C1493" s="2">
        <v>46028</v>
      </c>
      <c r="D1493" s="1" t="s">
        <v>33</v>
      </c>
      <c r="E1493" s="1" t="s">
        <v>1530</v>
      </c>
      <c r="F1493" s="1" t="s">
        <v>30</v>
      </c>
      <c r="G1493" s="1" t="s">
        <v>24</v>
      </c>
      <c r="H1493" s="1">
        <v>1</v>
      </c>
      <c r="I1493" s="1" t="s">
        <v>1689</v>
      </c>
      <c r="J1493" s="1"/>
      <c r="K1493" s="1">
        <v>72572720</v>
      </c>
      <c r="L1493" s="1">
        <v>0</v>
      </c>
      <c r="M1493" s="1">
        <v>0</v>
      </c>
      <c r="N1493" s="1">
        <v>7982999.2000000002</v>
      </c>
      <c r="O1493" s="1">
        <v>0</v>
      </c>
      <c r="P1493" s="1">
        <v>0</v>
      </c>
      <c r="Q1493" s="1">
        <v>0</v>
      </c>
      <c r="R1493" s="1">
        <v>80555719.200000003</v>
      </c>
      <c r="S1493" s="1">
        <v>7069858</v>
      </c>
      <c r="T1493" s="1">
        <v>9.7417569577108001</v>
      </c>
      <c r="U1493" t="str">
        <f t="shared" si="23"/>
        <v>Week 1</v>
      </c>
    </row>
    <row r="1494" spans="1:21" x14ac:dyDescent="0.25">
      <c r="A1494" s="1">
        <v>1493</v>
      </c>
      <c r="B1494" s="1" t="s">
        <v>1690</v>
      </c>
      <c r="C1494" s="2">
        <v>46028</v>
      </c>
      <c r="D1494" s="1" t="s">
        <v>33</v>
      </c>
      <c r="E1494" s="1" t="s">
        <v>34</v>
      </c>
      <c r="F1494" s="1" t="s">
        <v>30</v>
      </c>
      <c r="G1494" s="1" t="s">
        <v>24</v>
      </c>
      <c r="H1494" s="1">
        <v>1</v>
      </c>
      <c r="I1494" s="1" t="s">
        <v>1691</v>
      </c>
      <c r="J1494" s="1"/>
      <c r="K1494" s="1">
        <v>4321800</v>
      </c>
      <c r="L1494" s="1">
        <v>0</v>
      </c>
      <c r="M1494" s="1">
        <v>0</v>
      </c>
      <c r="N1494" s="1">
        <v>475398</v>
      </c>
      <c r="O1494" s="1">
        <v>0</v>
      </c>
      <c r="P1494" s="1">
        <v>0</v>
      </c>
      <c r="Q1494" s="1">
        <v>0</v>
      </c>
      <c r="R1494" s="1">
        <v>4797198</v>
      </c>
      <c r="S1494" s="1">
        <v>2071800</v>
      </c>
      <c r="T1494" s="1">
        <v>47.938359017076003</v>
      </c>
      <c r="U1494" t="str">
        <f t="shared" si="23"/>
        <v>Week 1</v>
      </c>
    </row>
    <row r="1495" spans="1:21" x14ac:dyDescent="0.25">
      <c r="A1495" s="1">
        <v>1494</v>
      </c>
      <c r="B1495" s="1" t="s">
        <v>1692</v>
      </c>
      <c r="C1495" s="2">
        <v>46028</v>
      </c>
      <c r="D1495" s="1" t="s">
        <v>33</v>
      </c>
      <c r="E1495" s="1" t="s">
        <v>1530</v>
      </c>
      <c r="F1495" s="1" t="s">
        <v>30</v>
      </c>
      <c r="G1495" s="1" t="s">
        <v>24</v>
      </c>
      <c r="H1495" s="1">
        <v>1</v>
      </c>
      <c r="I1495" s="1" t="s">
        <v>1693</v>
      </c>
      <c r="J1495" s="1"/>
      <c r="K1495" s="1">
        <v>3740960</v>
      </c>
      <c r="L1495" s="1">
        <v>0</v>
      </c>
      <c r="M1495" s="1">
        <v>0</v>
      </c>
      <c r="N1495" s="1">
        <v>411505.6</v>
      </c>
      <c r="O1495" s="1">
        <v>0</v>
      </c>
      <c r="P1495" s="1">
        <v>0</v>
      </c>
      <c r="Q1495" s="1">
        <v>0</v>
      </c>
      <c r="R1495" s="1">
        <v>4152465.6</v>
      </c>
      <c r="S1495" s="1">
        <v>1460960</v>
      </c>
      <c r="T1495" s="1">
        <v>39.053077284974997</v>
      </c>
      <c r="U1495" t="str">
        <f t="shared" si="23"/>
        <v>Week 1</v>
      </c>
    </row>
    <row r="1496" spans="1:21" x14ac:dyDescent="0.25">
      <c r="A1496" s="1">
        <v>1495</v>
      </c>
      <c r="B1496" s="1" t="s">
        <v>1694</v>
      </c>
      <c r="C1496" s="2">
        <v>46028</v>
      </c>
      <c r="D1496" s="1" t="s">
        <v>33</v>
      </c>
      <c r="E1496" s="1" t="s">
        <v>34</v>
      </c>
      <c r="F1496" s="1" t="s">
        <v>23</v>
      </c>
      <c r="G1496" s="1" t="s">
        <v>24</v>
      </c>
      <c r="H1496" s="1">
        <v>1</v>
      </c>
      <c r="I1496" s="1" t="s">
        <v>672</v>
      </c>
      <c r="J1496" s="1"/>
      <c r="K1496" s="1">
        <v>92212500</v>
      </c>
      <c r="L1496" s="1">
        <v>0</v>
      </c>
      <c r="M1496" s="1">
        <v>0</v>
      </c>
      <c r="N1496" s="1">
        <v>10143375</v>
      </c>
      <c r="O1496" s="1">
        <v>0</v>
      </c>
      <c r="P1496" s="1">
        <v>0</v>
      </c>
      <c r="Q1496" s="1">
        <v>0</v>
      </c>
      <c r="R1496" s="1">
        <v>102355875</v>
      </c>
      <c r="S1496" s="1">
        <v>25747253.243243001</v>
      </c>
      <c r="T1496" s="1">
        <v>27.921651883685001</v>
      </c>
      <c r="U1496" t="str">
        <f t="shared" si="23"/>
        <v>Week 1</v>
      </c>
    </row>
    <row r="1497" spans="1:21" x14ac:dyDescent="0.25">
      <c r="A1497" s="1">
        <v>1496</v>
      </c>
      <c r="B1497" s="1" t="s">
        <v>1695</v>
      </c>
      <c r="C1497" s="2">
        <v>46028</v>
      </c>
      <c r="D1497" s="1" t="s">
        <v>316</v>
      </c>
      <c r="E1497" s="1" t="s">
        <v>34</v>
      </c>
      <c r="F1497" s="1" t="s">
        <v>23</v>
      </c>
      <c r="G1497" s="1" t="s">
        <v>24</v>
      </c>
      <c r="H1497" s="1">
        <v>1</v>
      </c>
      <c r="I1497" s="1" t="s">
        <v>1696</v>
      </c>
      <c r="J1497" s="1"/>
      <c r="K1497" s="1">
        <v>1750000</v>
      </c>
      <c r="L1497" s="1">
        <v>0</v>
      </c>
      <c r="M1497" s="1">
        <v>0</v>
      </c>
      <c r="N1497" s="1">
        <v>192500</v>
      </c>
      <c r="O1497" s="1">
        <v>0</v>
      </c>
      <c r="P1497" s="1">
        <v>0</v>
      </c>
      <c r="Q1497" s="1">
        <v>0</v>
      </c>
      <c r="R1497" s="1">
        <v>1942500</v>
      </c>
      <c r="S1497" s="1">
        <v>700000</v>
      </c>
      <c r="T1497" s="1">
        <v>40</v>
      </c>
      <c r="U1497" t="str">
        <f t="shared" si="23"/>
        <v>Week 1</v>
      </c>
    </row>
    <row r="1498" spans="1:21" x14ac:dyDescent="0.25">
      <c r="A1498" s="1">
        <v>1497</v>
      </c>
      <c r="B1498" s="1" t="s">
        <v>1697</v>
      </c>
      <c r="C1498" s="2">
        <v>46028</v>
      </c>
      <c r="D1498" s="1" t="s">
        <v>37</v>
      </c>
      <c r="E1498" s="1" t="s">
        <v>34</v>
      </c>
      <c r="F1498" s="1" t="s">
        <v>23</v>
      </c>
      <c r="G1498" s="1" t="s">
        <v>24</v>
      </c>
      <c r="H1498" s="1">
        <v>1</v>
      </c>
      <c r="I1498" s="1" t="s">
        <v>1698</v>
      </c>
      <c r="J1498" s="1"/>
      <c r="K1498" s="1">
        <v>23894000</v>
      </c>
      <c r="L1498" s="1">
        <v>0</v>
      </c>
      <c r="M1498" s="1">
        <v>0</v>
      </c>
      <c r="N1498" s="1">
        <v>2628340</v>
      </c>
      <c r="O1498" s="1">
        <v>0</v>
      </c>
      <c r="P1498" s="1">
        <v>0</v>
      </c>
      <c r="Q1498" s="1">
        <v>0</v>
      </c>
      <c r="R1498" s="1">
        <v>26522340</v>
      </c>
      <c r="S1498" s="1">
        <v>10422671.983783999</v>
      </c>
      <c r="T1498" s="1">
        <v>43.620456950631002</v>
      </c>
      <c r="U1498" t="str">
        <f t="shared" si="23"/>
        <v>Week 1</v>
      </c>
    </row>
    <row r="1499" spans="1:21" x14ac:dyDescent="0.25">
      <c r="A1499" s="1">
        <v>1498</v>
      </c>
      <c r="B1499" s="1" t="s">
        <v>1699</v>
      </c>
      <c r="C1499" s="2">
        <v>46028</v>
      </c>
      <c r="D1499" s="1" t="s">
        <v>169</v>
      </c>
      <c r="E1499" s="1" t="s">
        <v>99</v>
      </c>
      <c r="F1499" s="1" t="s">
        <v>30</v>
      </c>
      <c r="G1499" s="1" t="s">
        <v>24</v>
      </c>
      <c r="H1499" s="1">
        <v>1</v>
      </c>
      <c r="I1499" s="1" t="s">
        <v>2820</v>
      </c>
      <c r="J1499" s="1"/>
      <c r="K1499" s="1">
        <v>11250400</v>
      </c>
      <c r="L1499" s="1">
        <v>0</v>
      </c>
      <c r="M1499" s="1">
        <v>0</v>
      </c>
      <c r="N1499" s="1">
        <v>1237544</v>
      </c>
      <c r="O1499" s="1">
        <v>0</v>
      </c>
      <c r="P1499" s="1">
        <v>0</v>
      </c>
      <c r="Q1499" s="1">
        <v>0</v>
      </c>
      <c r="R1499" s="1">
        <v>12487944</v>
      </c>
      <c r="S1499" s="1">
        <v>2556450.4504503999</v>
      </c>
      <c r="T1499" s="1">
        <v>22.723196068143</v>
      </c>
      <c r="U1499" t="str">
        <f t="shared" si="23"/>
        <v>Week 1</v>
      </c>
    </row>
    <row r="1500" spans="1:21" x14ac:dyDescent="0.25">
      <c r="A1500" s="1">
        <v>1499</v>
      </c>
      <c r="B1500" s="1" t="s">
        <v>1700</v>
      </c>
      <c r="C1500" s="2">
        <v>46028</v>
      </c>
      <c r="D1500" s="1" t="s">
        <v>169</v>
      </c>
      <c r="E1500" s="1" t="s">
        <v>1281</v>
      </c>
      <c r="F1500" s="1" t="s">
        <v>30</v>
      </c>
      <c r="G1500" s="1" t="s">
        <v>24</v>
      </c>
      <c r="H1500" s="1">
        <v>1</v>
      </c>
      <c r="I1500" s="1" t="s">
        <v>1701</v>
      </c>
      <c r="J1500" s="1" t="s">
        <v>26</v>
      </c>
      <c r="K1500" s="1">
        <v>26233600</v>
      </c>
      <c r="L1500" s="1">
        <v>0</v>
      </c>
      <c r="M1500" s="1">
        <v>0</v>
      </c>
      <c r="N1500" s="1">
        <v>2885696</v>
      </c>
      <c r="O1500" s="1">
        <v>0</v>
      </c>
      <c r="P1500" s="1">
        <v>0</v>
      </c>
      <c r="Q1500" s="1">
        <v>0</v>
      </c>
      <c r="R1500" s="1">
        <v>29119296</v>
      </c>
      <c r="S1500" s="1">
        <v>6594590.9909910001</v>
      </c>
      <c r="T1500" s="1">
        <v>25.137956631919</v>
      </c>
      <c r="U1500" t="str">
        <f t="shared" si="23"/>
        <v>Week 1</v>
      </c>
    </row>
    <row r="1501" spans="1:21" x14ac:dyDescent="0.25">
      <c r="A1501" s="1">
        <v>1500</v>
      </c>
      <c r="B1501" s="1" t="s">
        <v>1702</v>
      </c>
      <c r="C1501" s="2">
        <v>46027</v>
      </c>
      <c r="D1501" s="1" t="s">
        <v>1558</v>
      </c>
      <c r="E1501" s="1" t="s">
        <v>54</v>
      </c>
      <c r="F1501" s="1" t="s">
        <v>30</v>
      </c>
      <c r="G1501" s="1" t="s">
        <v>24</v>
      </c>
      <c r="H1501" s="1">
        <v>1</v>
      </c>
      <c r="I1501" s="1" t="s">
        <v>1703</v>
      </c>
      <c r="J1501" s="1"/>
      <c r="K1501" s="1">
        <v>510365.5</v>
      </c>
      <c r="L1501" s="1">
        <v>0</v>
      </c>
      <c r="M1501" s="1">
        <v>0</v>
      </c>
      <c r="N1501" s="1">
        <v>56140.205000000002</v>
      </c>
      <c r="O1501" s="1">
        <v>0</v>
      </c>
      <c r="P1501" s="1">
        <v>0</v>
      </c>
      <c r="Q1501" s="1">
        <v>0</v>
      </c>
      <c r="R1501" s="1">
        <v>566505.70499999996</v>
      </c>
      <c r="S1501" s="1">
        <v>210365.5</v>
      </c>
      <c r="T1501" s="1">
        <v>41.218597260198997</v>
      </c>
      <c r="U1501" t="str">
        <f t="shared" si="23"/>
        <v>Week 1</v>
      </c>
    </row>
    <row r="1502" spans="1:21" x14ac:dyDescent="0.25">
      <c r="A1502" s="1">
        <v>1501</v>
      </c>
      <c r="B1502" s="1" t="s">
        <v>1704</v>
      </c>
      <c r="C1502" s="2">
        <v>46027</v>
      </c>
      <c r="D1502" s="1" t="s">
        <v>53</v>
      </c>
      <c r="E1502" s="1" t="s">
        <v>1530</v>
      </c>
      <c r="F1502" s="1" t="s">
        <v>30</v>
      </c>
      <c r="G1502" s="1" t="s">
        <v>24</v>
      </c>
      <c r="H1502" s="1">
        <v>1</v>
      </c>
      <c r="I1502" s="1" t="s">
        <v>1705</v>
      </c>
      <c r="J1502" s="1"/>
      <c r="K1502" s="1">
        <v>86928188</v>
      </c>
      <c r="L1502" s="1">
        <v>0</v>
      </c>
      <c r="M1502" s="1">
        <v>0</v>
      </c>
      <c r="N1502" s="1">
        <v>9562100.6799999997</v>
      </c>
      <c r="O1502" s="1">
        <v>0</v>
      </c>
      <c r="P1502" s="1">
        <v>0</v>
      </c>
      <c r="Q1502" s="1">
        <v>0</v>
      </c>
      <c r="R1502" s="1">
        <v>96490288.680000007</v>
      </c>
      <c r="S1502" s="1">
        <v>18420508.508108001</v>
      </c>
      <c r="T1502" s="1">
        <v>21.190489451026</v>
      </c>
      <c r="U1502" t="str">
        <f t="shared" si="23"/>
        <v>Week 1</v>
      </c>
    </row>
    <row r="1503" spans="1:21" x14ac:dyDescent="0.25">
      <c r="A1503" s="1">
        <v>1502</v>
      </c>
      <c r="B1503" s="1" t="s">
        <v>1706</v>
      </c>
      <c r="C1503" s="2">
        <v>46027</v>
      </c>
      <c r="D1503" s="1" t="s">
        <v>2979</v>
      </c>
      <c r="E1503" s="1" t="s">
        <v>22</v>
      </c>
      <c r="F1503" s="1" t="s">
        <v>23</v>
      </c>
      <c r="G1503" s="1" t="s">
        <v>24</v>
      </c>
      <c r="H1503" s="1">
        <v>1</v>
      </c>
      <c r="I1503" s="1" t="s">
        <v>1707</v>
      </c>
      <c r="J1503" s="1"/>
      <c r="K1503" s="1">
        <v>847058880</v>
      </c>
      <c r="L1503" s="1">
        <v>0</v>
      </c>
      <c r="M1503" s="1">
        <v>0</v>
      </c>
      <c r="N1503" s="1">
        <v>93176476.799999997</v>
      </c>
      <c r="O1503" s="1">
        <v>0</v>
      </c>
      <c r="P1503" s="1">
        <v>0</v>
      </c>
      <c r="Q1503" s="1">
        <v>0</v>
      </c>
      <c r="R1503" s="1">
        <v>940235356.79999995</v>
      </c>
      <c r="S1503" s="1">
        <v>271058880</v>
      </c>
      <c r="T1503" s="1">
        <v>32.000004533332998</v>
      </c>
      <c r="U1503" t="str">
        <f t="shared" si="23"/>
        <v>Week 1</v>
      </c>
    </row>
    <row r="1504" spans="1:21" x14ac:dyDescent="0.25">
      <c r="A1504" s="1">
        <v>1503</v>
      </c>
      <c r="B1504" s="1" t="s">
        <v>1708</v>
      </c>
      <c r="C1504" s="2">
        <v>46027</v>
      </c>
      <c r="D1504" s="1" t="s">
        <v>53</v>
      </c>
      <c r="E1504" s="1" t="s">
        <v>1530</v>
      </c>
      <c r="F1504" s="1" t="s">
        <v>23</v>
      </c>
      <c r="G1504" s="1" t="s">
        <v>24</v>
      </c>
      <c r="H1504" s="1">
        <v>1</v>
      </c>
      <c r="I1504" s="1" t="s">
        <v>1709</v>
      </c>
      <c r="J1504" s="1"/>
      <c r="K1504" s="1">
        <v>5050000</v>
      </c>
      <c r="L1504" s="1">
        <v>0</v>
      </c>
      <c r="M1504" s="1">
        <v>0</v>
      </c>
      <c r="N1504" s="1">
        <v>555500</v>
      </c>
      <c r="O1504" s="1">
        <v>0</v>
      </c>
      <c r="P1504" s="1">
        <v>0</v>
      </c>
      <c r="Q1504" s="1">
        <v>0</v>
      </c>
      <c r="R1504" s="1">
        <v>5605500</v>
      </c>
      <c r="S1504" s="1">
        <v>1050000</v>
      </c>
      <c r="T1504" s="1">
        <v>20.792079207920999</v>
      </c>
      <c r="U1504" t="str">
        <f t="shared" si="23"/>
        <v>Week 1</v>
      </c>
    </row>
    <row r="1505" spans="1:21" x14ac:dyDescent="0.25">
      <c r="A1505" s="1">
        <v>1504</v>
      </c>
      <c r="B1505" s="1" t="s">
        <v>1710</v>
      </c>
      <c r="C1505" s="2">
        <v>46027</v>
      </c>
      <c r="D1505" s="1" t="s">
        <v>33</v>
      </c>
      <c r="E1505" s="1" t="s">
        <v>34</v>
      </c>
      <c r="F1505" s="1" t="s">
        <v>23</v>
      </c>
      <c r="G1505" s="1" t="s">
        <v>24</v>
      </c>
      <c r="H1505" s="1">
        <v>1</v>
      </c>
      <c r="I1505" s="1" t="s">
        <v>1711</v>
      </c>
      <c r="J1505" s="1"/>
      <c r="K1505" s="1">
        <v>2322380.6306305998</v>
      </c>
      <c r="L1505" s="1">
        <v>0</v>
      </c>
      <c r="M1505" s="1">
        <v>0</v>
      </c>
      <c r="N1505" s="1">
        <v>255461.86936936999</v>
      </c>
      <c r="O1505" s="1">
        <v>0</v>
      </c>
      <c r="P1505" s="1">
        <v>0</v>
      </c>
      <c r="Q1505" s="1">
        <v>0</v>
      </c>
      <c r="R1505" s="1">
        <v>2577842.5</v>
      </c>
      <c r="S1505" s="1">
        <v>452420.12612610002</v>
      </c>
      <c r="T1505" s="1">
        <v>19.48087751676</v>
      </c>
      <c r="U1505" t="str">
        <f t="shared" si="23"/>
        <v>Week 1</v>
      </c>
    </row>
    <row r="1506" spans="1:21" x14ac:dyDescent="0.25">
      <c r="A1506" s="1">
        <v>1505</v>
      </c>
      <c r="B1506" s="1" t="s">
        <v>1712</v>
      </c>
      <c r="C1506" s="2">
        <v>46027</v>
      </c>
      <c r="D1506" s="1" t="s">
        <v>33</v>
      </c>
      <c r="E1506" s="1" t="s">
        <v>34</v>
      </c>
      <c r="F1506" s="1" t="s">
        <v>23</v>
      </c>
      <c r="G1506" s="1" t="s">
        <v>24</v>
      </c>
      <c r="H1506" s="1">
        <v>1</v>
      </c>
      <c r="I1506" s="1" t="s">
        <v>1713</v>
      </c>
      <c r="J1506" s="1"/>
      <c r="K1506" s="1">
        <v>51062500</v>
      </c>
      <c r="L1506" s="1">
        <v>0</v>
      </c>
      <c r="M1506" s="1">
        <v>0</v>
      </c>
      <c r="N1506" s="1">
        <v>5616875</v>
      </c>
      <c r="O1506" s="1">
        <v>0</v>
      </c>
      <c r="P1506" s="1">
        <v>0</v>
      </c>
      <c r="Q1506" s="1">
        <v>0</v>
      </c>
      <c r="R1506" s="1">
        <v>56679375</v>
      </c>
      <c r="S1506" s="1">
        <v>13062500</v>
      </c>
      <c r="T1506" s="1">
        <v>25.581395348836999</v>
      </c>
      <c r="U1506" t="str">
        <f t="shared" si="23"/>
        <v>Week 1</v>
      </c>
    </row>
    <row r="1507" spans="1:21" x14ac:dyDescent="0.25">
      <c r="A1507" s="1">
        <v>1506</v>
      </c>
      <c r="B1507" s="1" t="s">
        <v>1714</v>
      </c>
      <c r="C1507" s="2">
        <v>46027</v>
      </c>
      <c r="D1507" s="1" t="s">
        <v>21</v>
      </c>
      <c r="E1507" s="1" t="s">
        <v>22</v>
      </c>
      <c r="F1507" s="1" t="s">
        <v>23</v>
      </c>
      <c r="G1507" s="1" t="s">
        <v>24</v>
      </c>
      <c r="H1507" s="1">
        <v>1</v>
      </c>
      <c r="I1507" s="1" t="s">
        <v>1715</v>
      </c>
      <c r="J1507" s="1" t="s">
        <v>26</v>
      </c>
      <c r="K1507" s="1">
        <v>29361325</v>
      </c>
      <c r="L1507" s="1">
        <v>0</v>
      </c>
      <c r="M1507" s="1">
        <v>0</v>
      </c>
      <c r="N1507" s="1">
        <v>3229745.75</v>
      </c>
      <c r="O1507" s="1">
        <v>0</v>
      </c>
      <c r="P1507" s="1">
        <v>0</v>
      </c>
      <c r="Q1507" s="1">
        <v>0</v>
      </c>
      <c r="R1507" s="1">
        <v>32591070.75</v>
      </c>
      <c r="S1507" s="1">
        <v>10210803.266577</v>
      </c>
      <c r="T1507" s="1">
        <v>34.776370843538999</v>
      </c>
      <c r="U1507" t="str">
        <f t="shared" si="23"/>
        <v>Week 1</v>
      </c>
    </row>
    <row r="1508" spans="1:21" x14ac:dyDescent="0.25">
      <c r="A1508" s="1">
        <v>1507</v>
      </c>
      <c r="B1508" s="1" t="s">
        <v>1716</v>
      </c>
      <c r="C1508" s="2">
        <v>46027</v>
      </c>
      <c r="D1508" s="1" t="s">
        <v>33</v>
      </c>
      <c r="E1508" s="1" t="s">
        <v>34</v>
      </c>
      <c r="F1508" s="1" t="s">
        <v>23</v>
      </c>
      <c r="G1508" s="1" t="s">
        <v>24</v>
      </c>
      <c r="H1508" s="1">
        <v>1</v>
      </c>
      <c r="I1508" s="1" t="s">
        <v>1717</v>
      </c>
      <c r="J1508" s="1"/>
      <c r="K1508" s="1">
        <v>360000</v>
      </c>
      <c r="L1508" s="1">
        <v>0</v>
      </c>
      <c r="M1508" s="1">
        <v>0</v>
      </c>
      <c r="N1508" s="1">
        <v>39600</v>
      </c>
      <c r="O1508" s="1">
        <v>0</v>
      </c>
      <c r="P1508" s="1">
        <v>0</v>
      </c>
      <c r="Q1508" s="1">
        <v>0</v>
      </c>
      <c r="R1508" s="1">
        <v>399600</v>
      </c>
      <c r="S1508" s="1">
        <v>126000</v>
      </c>
      <c r="T1508" s="1">
        <v>35</v>
      </c>
      <c r="U1508" t="str">
        <f t="shared" si="23"/>
        <v>Week 1</v>
      </c>
    </row>
    <row r="1509" spans="1:21" x14ac:dyDescent="0.25">
      <c r="A1509" s="1">
        <v>1508</v>
      </c>
      <c r="B1509" s="1" t="s">
        <v>1718</v>
      </c>
      <c r="C1509" s="2">
        <v>46027</v>
      </c>
      <c r="D1509" s="1" t="s">
        <v>37</v>
      </c>
      <c r="E1509" s="1" t="s">
        <v>34</v>
      </c>
      <c r="F1509" s="1" t="s">
        <v>23</v>
      </c>
      <c r="G1509" s="1" t="s">
        <v>24</v>
      </c>
      <c r="H1509" s="1">
        <v>1</v>
      </c>
      <c r="I1509" s="1" t="s">
        <v>1719</v>
      </c>
      <c r="J1509" s="1"/>
      <c r="K1509" s="1">
        <v>14505000</v>
      </c>
      <c r="L1509" s="1">
        <v>0</v>
      </c>
      <c r="M1509" s="1">
        <v>0</v>
      </c>
      <c r="N1509" s="1">
        <v>1595550</v>
      </c>
      <c r="O1509" s="1">
        <v>0</v>
      </c>
      <c r="P1509" s="1">
        <v>0</v>
      </c>
      <c r="Q1509" s="1">
        <v>0</v>
      </c>
      <c r="R1509" s="1">
        <v>16100550</v>
      </c>
      <c r="S1509" s="1">
        <v>5497454.8688514</v>
      </c>
      <c r="T1509" s="1">
        <v>37.900412746303999</v>
      </c>
      <c r="U1509" t="str">
        <f t="shared" si="23"/>
        <v>Week 1</v>
      </c>
    </row>
    <row r="1510" spans="1:21" x14ac:dyDescent="0.25">
      <c r="A1510" s="1">
        <v>1509</v>
      </c>
      <c r="B1510" s="1" t="s">
        <v>1720</v>
      </c>
      <c r="C1510" s="2">
        <v>46027</v>
      </c>
      <c r="D1510" s="1" t="s">
        <v>53</v>
      </c>
      <c r="E1510" s="1" t="s">
        <v>1530</v>
      </c>
      <c r="F1510" s="1" t="s">
        <v>23</v>
      </c>
      <c r="G1510" s="1" t="s">
        <v>24</v>
      </c>
      <c r="H1510" s="1">
        <v>1</v>
      </c>
      <c r="I1510" s="1" t="s">
        <v>1721</v>
      </c>
      <c r="J1510" s="1"/>
      <c r="K1510" s="1">
        <v>1168226000</v>
      </c>
      <c r="L1510" s="1">
        <v>0</v>
      </c>
      <c r="M1510" s="1">
        <v>0</v>
      </c>
      <c r="N1510" s="1">
        <v>128504860</v>
      </c>
      <c r="O1510" s="1">
        <v>0</v>
      </c>
      <c r="P1510" s="1">
        <v>0</v>
      </c>
      <c r="Q1510" s="1">
        <v>0</v>
      </c>
      <c r="R1510" s="1">
        <v>1296730860</v>
      </c>
      <c r="S1510" s="1">
        <v>426963807.95621997</v>
      </c>
      <c r="T1510" s="1">
        <v>36.548048747092999</v>
      </c>
      <c r="U1510" t="str">
        <f t="shared" si="23"/>
        <v>Week 1</v>
      </c>
    </row>
    <row r="1511" spans="1:21" x14ac:dyDescent="0.25">
      <c r="A1511" s="1">
        <v>1510</v>
      </c>
      <c r="B1511" s="1" t="s">
        <v>1722</v>
      </c>
      <c r="C1511" s="2">
        <v>46027</v>
      </c>
      <c r="D1511" s="1" t="s">
        <v>53</v>
      </c>
      <c r="E1511" s="1" t="s">
        <v>22</v>
      </c>
      <c r="F1511" s="1" t="s">
        <v>23</v>
      </c>
      <c r="G1511" s="1" t="s">
        <v>24</v>
      </c>
      <c r="H1511" s="1">
        <v>1</v>
      </c>
      <c r="I1511" s="1" t="s">
        <v>1723</v>
      </c>
      <c r="J1511" s="1"/>
      <c r="K1511" s="1">
        <v>7510000</v>
      </c>
      <c r="L1511" s="1">
        <v>0</v>
      </c>
      <c r="M1511" s="1">
        <v>0</v>
      </c>
      <c r="N1511" s="1">
        <v>826100</v>
      </c>
      <c r="O1511" s="1">
        <v>0</v>
      </c>
      <c r="P1511" s="1">
        <v>0</v>
      </c>
      <c r="Q1511" s="1">
        <v>0</v>
      </c>
      <c r="R1511" s="1">
        <v>8336100</v>
      </c>
      <c r="S1511" s="1">
        <v>3128558.5585586</v>
      </c>
      <c r="T1511" s="1">
        <v>41.658569354973999</v>
      </c>
      <c r="U1511" t="str">
        <f t="shared" si="23"/>
        <v>Week 1</v>
      </c>
    </row>
    <row r="1512" spans="1:21" x14ac:dyDescent="0.25">
      <c r="A1512" s="1">
        <v>1511</v>
      </c>
      <c r="B1512" s="1" t="s">
        <v>1724</v>
      </c>
      <c r="C1512" s="2">
        <v>46027</v>
      </c>
      <c r="D1512" s="1" t="s">
        <v>53</v>
      </c>
      <c r="E1512" s="1" t="s">
        <v>1530</v>
      </c>
      <c r="F1512" s="1" t="s">
        <v>23</v>
      </c>
      <c r="G1512" s="1" t="s">
        <v>24</v>
      </c>
      <c r="H1512" s="1">
        <v>1</v>
      </c>
      <c r="I1512" s="1" t="s">
        <v>1725</v>
      </c>
      <c r="J1512" s="1"/>
      <c r="K1512" s="1">
        <v>106135000</v>
      </c>
      <c r="L1512" s="1">
        <v>0</v>
      </c>
      <c r="M1512" s="1">
        <v>0</v>
      </c>
      <c r="N1512" s="1">
        <v>11674850</v>
      </c>
      <c r="O1512" s="1">
        <v>0</v>
      </c>
      <c r="P1512" s="1">
        <v>0</v>
      </c>
      <c r="Q1512" s="1">
        <v>0</v>
      </c>
      <c r="R1512" s="1">
        <v>117809850</v>
      </c>
      <c r="S1512" s="1">
        <v>15493468.470000001</v>
      </c>
      <c r="T1512" s="1">
        <v>14.597888038818001</v>
      </c>
      <c r="U1512" t="str">
        <f t="shared" si="23"/>
        <v>Week 1</v>
      </c>
    </row>
    <row r="1513" spans="1:21" x14ac:dyDescent="0.25">
      <c r="A1513" s="1">
        <v>1512</v>
      </c>
      <c r="B1513" s="1" t="s">
        <v>1726</v>
      </c>
      <c r="C1513" s="2">
        <v>46027</v>
      </c>
      <c r="D1513" s="1" t="s">
        <v>2979</v>
      </c>
      <c r="E1513" s="1" t="s">
        <v>22</v>
      </c>
      <c r="F1513" s="1" t="s">
        <v>30</v>
      </c>
      <c r="G1513" s="1" t="s">
        <v>24</v>
      </c>
      <c r="H1513" s="1">
        <v>1</v>
      </c>
      <c r="I1513" s="1" t="s">
        <v>1727</v>
      </c>
      <c r="J1513" s="1" t="s">
        <v>56</v>
      </c>
      <c r="K1513" s="1">
        <v>91052000</v>
      </c>
      <c r="L1513" s="1">
        <v>0</v>
      </c>
      <c r="M1513" s="1">
        <v>0</v>
      </c>
      <c r="N1513" s="1">
        <v>10015720</v>
      </c>
      <c r="O1513" s="1">
        <v>0</v>
      </c>
      <c r="P1513" s="1">
        <v>0</v>
      </c>
      <c r="Q1513" s="1">
        <v>0</v>
      </c>
      <c r="R1513" s="1">
        <v>101067720</v>
      </c>
      <c r="S1513" s="1">
        <v>2652000</v>
      </c>
      <c r="T1513" s="1">
        <v>2.9126213592233001</v>
      </c>
      <c r="U1513" t="str">
        <f t="shared" si="23"/>
        <v>Week 1</v>
      </c>
    </row>
    <row r="1514" spans="1:21" x14ac:dyDescent="0.25">
      <c r="A1514" s="1">
        <v>1513</v>
      </c>
      <c r="B1514" s="1" t="s">
        <v>1728</v>
      </c>
      <c r="C1514" s="2">
        <v>46027</v>
      </c>
      <c r="D1514" s="1" t="s">
        <v>53</v>
      </c>
      <c r="E1514" s="1" t="s">
        <v>1530</v>
      </c>
      <c r="F1514" s="1" t="s">
        <v>30</v>
      </c>
      <c r="G1514" s="1" t="s">
        <v>24</v>
      </c>
      <c r="H1514" s="1">
        <v>1</v>
      </c>
      <c r="I1514" s="1" t="s">
        <v>1729</v>
      </c>
      <c r="J1514" s="1"/>
      <c r="K1514" s="1">
        <v>8992208</v>
      </c>
      <c r="L1514" s="1">
        <v>0</v>
      </c>
      <c r="M1514" s="1">
        <v>0</v>
      </c>
      <c r="N1514" s="1">
        <v>989142.88</v>
      </c>
      <c r="O1514" s="1">
        <v>0</v>
      </c>
      <c r="P1514" s="1">
        <v>0</v>
      </c>
      <c r="Q1514" s="1">
        <v>0</v>
      </c>
      <c r="R1514" s="1">
        <v>9981350.8800000008</v>
      </c>
      <c r="S1514" s="1">
        <v>4990968</v>
      </c>
      <c r="T1514" s="1">
        <v>55.50325348346</v>
      </c>
      <c r="U1514" t="str">
        <f t="shared" si="23"/>
        <v>Week 1</v>
      </c>
    </row>
    <row r="1515" spans="1:21" x14ac:dyDescent="0.25">
      <c r="A1515" s="1">
        <v>1514</v>
      </c>
      <c r="B1515" s="1" t="s">
        <v>1730</v>
      </c>
      <c r="C1515" s="2">
        <v>46027</v>
      </c>
      <c r="D1515" s="1" t="s">
        <v>33</v>
      </c>
      <c r="E1515" s="1" t="s">
        <v>1530</v>
      </c>
      <c r="F1515" s="1" t="s">
        <v>23</v>
      </c>
      <c r="G1515" s="1" t="s">
        <v>24</v>
      </c>
      <c r="H1515" s="1">
        <v>1</v>
      </c>
      <c r="I1515" s="1" t="s">
        <v>1731</v>
      </c>
      <c r="J1515" s="1"/>
      <c r="K1515" s="1">
        <v>52000</v>
      </c>
      <c r="L1515" s="1">
        <v>0</v>
      </c>
      <c r="M1515" s="1">
        <v>0</v>
      </c>
      <c r="N1515" s="1">
        <v>5720</v>
      </c>
      <c r="O1515" s="1">
        <v>0</v>
      </c>
      <c r="P1515" s="1">
        <v>0</v>
      </c>
      <c r="Q1515" s="1">
        <v>0</v>
      </c>
      <c r="R1515" s="1">
        <v>57720</v>
      </c>
      <c r="S1515" s="1">
        <v>40569</v>
      </c>
      <c r="T1515" s="1">
        <v>78.017307692307995</v>
      </c>
      <c r="U1515" t="str">
        <f t="shared" si="23"/>
        <v>Week 1</v>
      </c>
    </row>
    <row r="1516" spans="1:21" x14ac:dyDescent="0.25">
      <c r="A1516" s="1">
        <v>1515</v>
      </c>
      <c r="B1516" s="1" t="s">
        <v>1732</v>
      </c>
      <c r="C1516" s="2">
        <v>46027</v>
      </c>
      <c r="D1516" s="1" t="s">
        <v>1317</v>
      </c>
      <c r="E1516" s="1" t="s">
        <v>22</v>
      </c>
      <c r="F1516" s="1" t="s">
        <v>30</v>
      </c>
      <c r="G1516" s="1" t="s">
        <v>24</v>
      </c>
      <c r="H1516" s="1">
        <v>1</v>
      </c>
      <c r="I1516" s="1" t="s">
        <v>1733</v>
      </c>
      <c r="J1516" s="1" t="s">
        <v>26</v>
      </c>
      <c r="K1516" s="1">
        <v>427000</v>
      </c>
      <c r="L1516" s="1">
        <v>0</v>
      </c>
      <c r="M1516" s="1">
        <v>0</v>
      </c>
      <c r="N1516" s="1">
        <v>46970</v>
      </c>
      <c r="O1516" s="1">
        <v>0</v>
      </c>
      <c r="P1516" s="1">
        <v>0</v>
      </c>
      <c r="Q1516" s="1">
        <v>0</v>
      </c>
      <c r="R1516" s="1">
        <v>473970</v>
      </c>
      <c r="S1516" s="1">
        <v>12810</v>
      </c>
      <c r="T1516" s="1">
        <v>3</v>
      </c>
      <c r="U1516" t="str">
        <f t="shared" si="23"/>
        <v>Week 1</v>
      </c>
    </row>
    <row r="1517" spans="1:21" x14ac:dyDescent="0.25">
      <c r="A1517" s="1">
        <v>1516</v>
      </c>
      <c r="B1517" s="1" t="s">
        <v>1734</v>
      </c>
      <c r="C1517" s="2">
        <v>46027</v>
      </c>
      <c r="D1517" s="1" t="s">
        <v>1735</v>
      </c>
      <c r="E1517" s="1" t="s">
        <v>22</v>
      </c>
      <c r="F1517" s="1" t="s">
        <v>30</v>
      </c>
      <c r="G1517" s="1" t="s">
        <v>24</v>
      </c>
      <c r="H1517" s="1">
        <v>1</v>
      </c>
      <c r="I1517" s="1" t="s">
        <v>1736</v>
      </c>
      <c r="J1517" s="1" t="s">
        <v>26</v>
      </c>
      <c r="K1517" s="1">
        <v>427000</v>
      </c>
      <c r="L1517" s="1">
        <v>0</v>
      </c>
      <c r="M1517" s="1">
        <v>0</v>
      </c>
      <c r="N1517" s="1">
        <v>46970</v>
      </c>
      <c r="O1517" s="1">
        <v>0</v>
      </c>
      <c r="P1517" s="1">
        <v>0</v>
      </c>
      <c r="Q1517" s="1">
        <v>0</v>
      </c>
      <c r="R1517" s="1">
        <v>473970</v>
      </c>
      <c r="S1517" s="1">
        <v>12810</v>
      </c>
      <c r="T1517" s="1">
        <v>3</v>
      </c>
      <c r="U1517" t="str">
        <f t="shared" si="23"/>
        <v>Week 1</v>
      </c>
    </row>
    <row r="1518" spans="1:21" x14ac:dyDescent="0.25">
      <c r="A1518" s="1">
        <v>1517</v>
      </c>
      <c r="B1518" s="1" t="s">
        <v>1737</v>
      </c>
      <c r="C1518" s="2">
        <v>46027</v>
      </c>
      <c r="D1518" s="1" t="s">
        <v>202</v>
      </c>
      <c r="E1518" s="1" t="s">
        <v>22</v>
      </c>
      <c r="F1518" s="1" t="s">
        <v>260</v>
      </c>
      <c r="G1518" s="1" t="s">
        <v>24</v>
      </c>
      <c r="H1518" s="1">
        <v>1</v>
      </c>
      <c r="I1518" s="1" t="s">
        <v>1738</v>
      </c>
      <c r="J1518" s="1" t="s">
        <v>26</v>
      </c>
      <c r="K1518" s="1">
        <v>17080000</v>
      </c>
      <c r="L1518" s="1">
        <v>0</v>
      </c>
      <c r="M1518" s="1">
        <v>0</v>
      </c>
      <c r="N1518" s="1">
        <v>1878800</v>
      </c>
      <c r="O1518" s="1">
        <v>0</v>
      </c>
      <c r="P1518" s="1">
        <v>0</v>
      </c>
      <c r="Q1518" s="1">
        <v>0</v>
      </c>
      <c r="R1518" s="1">
        <v>18958800</v>
      </c>
      <c r="S1518" s="1">
        <v>6340315.3399999999</v>
      </c>
      <c r="T1518" s="1">
        <v>37.121284192037002</v>
      </c>
      <c r="U1518" t="str">
        <f t="shared" si="23"/>
        <v>Week 1</v>
      </c>
    </row>
    <row r="1519" spans="1:21" x14ac:dyDescent="0.25">
      <c r="A1519" s="1">
        <v>1518</v>
      </c>
      <c r="B1519" s="1" t="s">
        <v>1739</v>
      </c>
      <c r="C1519" s="2">
        <v>46027</v>
      </c>
      <c r="D1519" s="1" t="s">
        <v>21</v>
      </c>
      <c r="E1519" s="1" t="s">
        <v>22</v>
      </c>
      <c r="F1519" s="1" t="s">
        <v>30</v>
      </c>
      <c r="G1519" s="1" t="s">
        <v>24</v>
      </c>
      <c r="H1519" s="1">
        <v>1</v>
      </c>
      <c r="I1519" s="1" t="s">
        <v>1740</v>
      </c>
      <c r="J1519" s="1" t="s">
        <v>26</v>
      </c>
      <c r="K1519" s="1">
        <v>213659.6</v>
      </c>
      <c r="L1519" s="1">
        <v>0</v>
      </c>
      <c r="M1519" s="1">
        <v>0</v>
      </c>
      <c r="N1519" s="1">
        <v>23502.556</v>
      </c>
      <c r="O1519" s="1">
        <v>0</v>
      </c>
      <c r="P1519" s="1">
        <v>0</v>
      </c>
      <c r="Q1519" s="1">
        <v>0</v>
      </c>
      <c r="R1519" s="1">
        <v>237162.15599999999</v>
      </c>
      <c r="S1519" s="1">
        <v>71317.260900900001</v>
      </c>
      <c r="T1519" s="1">
        <v>33.378917165856002</v>
      </c>
      <c r="U1519" t="str">
        <f t="shared" si="23"/>
        <v>Week 1</v>
      </c>
    </row>
    <row r="1520" spans="1:21" x14ac:dyDescent="0.25">
      <c r="A1520" s="1">
        <v>1519</v>
      </c>
      <c r="B1520" s="1" t="s">
        <v>1741</v>
      </c>
      <c r="C1520" s="2">
        <v>46027</v>
      </c>
      <c r="D1520" s="1" t="s">
        <v>316</v>
      </c>
      <c r="E1520" s="1" t="s">
        <v>34</v>
      </c>
      <c r="F1520" s="1" t="s">
        <v>260</v>
      </c>
      <c r="G1520" s="1" t="s">
        <v>24</v>
      </c>
      <c r="H1520" s="1">
        <v>1</v>
      </c>
      <c r="I1520" s="1" t="s">
        <v>1742</v>
      </c>
      <c r="J1520" s="1"/>
      <c r="K1520" s="1">
        <v>2360990.2400000002</v>
      </c>
      <c r="L1520" s="1">
        <v>0</v>
      </c>
      <c r="M1520" s="1">
        <v>0</v>
      </c>
      <c r="N1520" s="1">
        <v>259708.9264</v>
      </c>
      <c r="O1520" s="1">
        <v>0</v>
      </c>
      <c r="P1520" s="1">
        <v>0</v>
      </c>
      <c r="Q1520" s="1">
        <v>0</v>
      </c>
      <c r="R1520" s="1">
        <v>2620699.1664</v>
      </c>
      <c r="S1520" s="1">
        <v>296490.23999999999</v>
      </c>
      <c r="T1520" s="1">
        <v>12.557876562843999</v>
      </c>
      <c r="U1520" t="str">
        <f t="shared" si="23"/>
        <v>Week 1</v>
      </c>
    </row>
    <row r="1521" spans="1:21" x14ac:dyDescent="0.25">
      <c r="A1521" s="1">
        <v>1520</v>
      </c>
      <c r="B1521" s="1" t="s">
        <v>1743</v>
      </c>
      <c r="C1521" s="2">
        <v>46027</v>
      </c>
      <c r="D1521" s="1" t="s">
        <v>33</v>
      </c>
      <c r="E1521" s="1" t="s">
        <v>1530</v>
      </c>
      <c r="F1521" s="1" t="s">
        <v>23</v>
      </c>
      <c r="G1521" s="1" t="s">
        <v>24</v>
      </c>
      <c r="H1521" s="1">
        <v>1</v>
      </c>
      <c r="I1521" s="1" t="s">
        <v>1744</v>
      </c>
      <c r="J1521" s="1"/>
      <c r="K1521" s="1">
        <v>140532500</v>
      </c>
      <c r="L1521" s="1">
        <v>0</v>
      </c>
      <c r="M1521" s="1">
        <v>0</v>
      </c>
      <c r="N1521" s="1">
        <v>15458575</v>
      </c>
      <c r="O1521" s="1">
        <v>0</v>
      </c>
      <c r="P1521" s="1">
        <v>0</v>
      </c>
      <c r="Q1521" s="1">
        <v>0</v>
      </c>
      <c r="R1521" s="1">
        <v>155991075</v>
      </c>
      <c r="S1521" s="1">
        <v>32471500</v>
      </c>
      <c r="T1521" s="1">
        <v>23.106043086119001</v>
      </c>
      <c r="U1521" t="str">
        <f t="shared" si="23"/>
        <v>Week 1</v>
      </c>
    </row>
    <row r="1522" spans="1:21" x14ac:dyDescent="0.25">
      <c r="A1522" s="1">
        <v>1521</v>
      </c>
      <c r="B1522" s="1" t="s">
        <v>1745</v>
      </c>
      <c r="C1522" s="2">
        <v>46027</v>
      </c>
      <c r="D1522" s="1" t="s">
        <v>53</v>
      </c>
      <c r="E1522" s="1" t="s">
        <v>1530</v>
      </c>
      <c r="F1522" s="1" t="s">
        <v>23</v>
      </c>
      <c r="G1522" s="1" t="s">
        <v>24</v>
      </c>
      <c r="H1522" s="1">
        <v>1</v>
      </c>
      <c r="I1522" s="1" t="s">
        <v>1746</v>
      </c>
      <c r="J1522" s="1"/>
      <c r="K1522" s="1">
        <v>10447500.359999999</v>
      </c>
      <c r="L1522" s="1">
        <v>0</v>
      </c>
      <c r="M1522" s="1">
        <v>0</v>
      </c>
      <c r="N1522" s="1">
        <v>1149225.0396</v>
      </c>
      <c r="O1522" s="1">
        <v>0</v>
      </c>
      <c r="P1522" s="1">
        <v>0</v>
      </c>
      <c r="Q1522" s="1">
        <v>0</v>
      </c>
      <c r="R1522" s="1">
        <v>11596725.399599999</v>
      </c>
      <c r="S1522" s="1">
        <v>2917770.36</v>
      </c>
      <c r="T1522" s="1">
        <v>27.927927824449998</v>
      </c>
      <c r="U1522" t="str">
        <f t="shared" si="23"/>
        <v>Week 1</v>
      </c>
    </row>
    <row r="1523" spans="1:21" x14ac:dyDescent="0.25">
      <c r="A1523" s="1">
        <v>1522</v>
      </c>
      <c r="B1523" s="1" t="s">
        <v>1747</v>
      </c>
      <c r="C1523" s="2">
        <v>46025</v>
      </c>
      <c r="D1523" s="1" t="s">
        <v>37</v>
      </c>
      <c r="E1523" s="1" t="s">
        <v>34</v>
      </c>
      <c r="F1523" s="1" t="s">
        <v>23</v>
      </c>
      <c r="G1523" s="1" t="s">
        <v>24</v>
      </c>
      <c r="H1523" s="1">
        <v>1</v>
      </c>
      <c r="I1523" s="1" t="s">
        <v>1748</v>
      </c>
      <c r="J1523" s="1"/>
      <c r="K1523" s="1">
        <v>28656000</v>
      </c>
      <c r="L1523" s="1">
        <v>0</v>
      </c>
      <c r="M1523" s="1">
        <v>0</v>
      </c>
      <c r="N1523" s="1">
        <v>3152160</v>
      </c>
      <c r="O1523" s="1">
        <v>0</v>
      </c>
      <c r="P1523" s="1">
        <v>0</v>
      </c>
      <c r="Q1523" s="1">
        <v>0</v>
      </c>
      <c r="R1523" s="1">
        <v>31808160</v>
      </c>
      <c r="S1523" s="1">
        <v>17753693.699999999</v>
      </c>
      <c r="T1523" s="1">
        <v>61.954542504187998</v>
      </c>
      <c r="U1523" t="str">
        <f t="shared" si="23"/>
        <v>Week 1</v>
      </c>
    </row>
    <row r="1524" spans="1:21" x14ac:dyDescent="0.25">
      <c r="A1524" s="1">
        <v>1523</v>
      </c>
      <c r="B1524" s="1" t="s">
        <v>1749</v>
      </c>
      <c r="C1524" s="2">
        <v>46025</v>
      </c>
      <c r="D1524" s="1" t="s">
        <v>33</v>
      </c>
      <c r="E1524" s="1" t="s">
        <v>34</v>
      </c>
      <c r="F1524" s="1" t="s">
        <v>30</v>
      </c>
      <c r="G1524" s="1" t="s">
        <v>24</v>
      </c>
      <c r="H1524" s="1">
        <v>1</v>
      </c>
      <c r="I1524" s="1" t="s">
        <v>1750</v>
      </c>
      <c r="J1524" s="1"/>
      <c r="K1524" s="1">
        <v>8064858</v>
      </c>
      <c r="L1524" s="1">
        <v>0</v>
      </c>
      <c r="M1524" s="1">
        <v>0</v>
      </c>
      <c r="N1524" s="1">
        <v>887134.38</v>
      </c>
      <c r="O1524" s="1">
        <v>0</v>
      </c>
      <c r="P1524" s="1">
        <v>0</v>
      </c>
      <c r="Q1524" s="1">
        <v>0</v>
      </c>
      <c r="R1524" s="1">
        <v>8951992.3800000008</v>
      </c>
      <c r="S1524" s="1">
        <v>2005482</v>
      </c>
      <c r="T1524" s="1">
        <v>24.866922641415002</v>
      </c>
      <c r="U1524" t="str">
        <f t="shared" si="23"/>
        <v>Week 1</v>
      </c>
    </row>
    <row r="1525" spans="1:21" x14ac:dyDescent="0.25">
      <c r="A1525" s="1">
        <v>1524</v>
      </c>
      <c r="B1525" s="1" t="s">
        <v>1751</v>
      </c>
      <c r="C1525" s="2">
        <v>46025</v>
      </c>
      <c r="D1525" s="1" t="s">
        <v>33</v>
      </c>
      <c r="E1525" s="1" t="s">
        <v>34</v>
      </c>
      <c r="F1525" s="1" t="s">
        <v>30</v>
      </c>
      <c r="G1525" s="1" t="s">
        <v>24</v>
      </c>
      <c r="H1525" s="1">
        <v>1</v>
      </c>
      <c r="I1525" s="1" t="s">
        <v>1752</v>
      </c>
      <c r="J1525" s="1"/>
      <c r="K1525" s="1">
        <v>1470000</v>
      </c>
      <c r="L1525" s="1">
        <v>0</v>
      </c>
      <c r="M1525" s="1">
        <v>0</v>
      </c>
      <c r="N1525" s="1">
        <v>161700</v>
      </c>
      <c r="O1525" s="1">
        <v>0</v>
      </c>
      <c r="P1525" s="1">
        <v>0</v>
      </c>
      <c r="Q1525" s="1">
        <v>0</v>
      </c>
      <c r="R1525" s="1">
        <v>1631700</v>
      </c>
      <c r="S1525" s="1">
        <v>1070000</v>
      </c>
      <c r="T1525" s="1">
        <v>72.789115646259006</v>
      </c>
      <c r="U1525" t="str">
        <f t="shared" si="23"/>
        <v>Week 1</v>
      </c>
    </row>
    <row r="1526" spans="1:21" x14ac:dyDescent="0.25">
      <c r="A1526" s="1">
        <v>1525</v>
      </c>
      <c r="B1526" s="1" t="s">
        <v>1753</v>
      </c>
      <c r="C1526" s="2">
        <v>46025</v>
      </c>
      <c r="D1526" s="1" t="s">
        <v>33</v>
      </c>
      <c r="E1526" s="1" t="s">
        <v>34</v>
      </c>
      <c r="F1526" s="1" t="s">
        <v>30</v>
      </c>
      <c r="G1526" s="1" t="s">
        <v>24</v>
      </c>
      <c r="H1526" s="1">
        <v>1</v>
      </c>
      <c r="I1526" s="1" t="s">
        <v>1754</v>
      </c>
      <c r="J1526" s="1"/>
      <c r="K1526" s="1">
        <v>2003904</v>
      </c>
      <c r="L1526" s="1">
        <v>0</v>
      </c>
      <c r="M1526" s="1">
        <v>0</v>
      </c>
      <c r="N1526" s="1">
        <v>220429.44</v>
      </c>
      <c r="O1526" s="1">
        <v>0</v>
      </c>
      <c r="P1526" s="1">
        <v>0</v>
      </c>
      <c r="Q1526" s="1">
        <v>0</v>
      </c>
      <c r="R1526" s="1">
        <v>2224333.44</v>
      </c>
      <c r="S1526" s="1">
        <v>1293904</v>
      </c>
      <c r="T1526" s="1">
        <v>64.569160997731998</v>
      </c>
      <c r="U1526" t="str">
        <f t="shared" si="23"/>
        <v>Week 1</v>
      </c>
    </row>
    <row r="1527" spans="1:21" x14ac:dyDescent="0.25">
      <c r="A1527" s="1">
        <v>1526</v>
      </c>
      <c r="B1527" s="1" t="s">
        <v>1755</v>
      </c>
      <c r="C1527" s="2">
        <v>46025</v>
      </c>
      <c r="D1527" s="1" t="s">
        <v>33</v>
      </c>
      <c r="E1527" s="1" t="s">
        <v>34</v>
      </c>
      <c r="F1527" s="1" t="s">
        <v>30</v>
      </c>
      <c r="G1527" s="1" t="s">
        <v>24</v>
      </c>
      <c r="H1527" s="1">
        <v>1</v>
      </c>
      <c r="I1527" s="1" t="s">
        <v>1756</v>
      </c>
      <c r="J1527" s="1"/>
      <c r="K1527" s="1">
        <v>30226380</v>
      </c>
      <c r="L1527" s="1">
        <v>0</v>
      </c>
      <c r="M1527" s="1">
        <v>0</v>
      </c>
      <c r="N1527" s="1">
        <v>3324901.8</v>
      </c>
      <c r="O1527" s="1">
        <v>0</v>
      </c>
      <c r="P1527" s="1">
        <v>0</v>
      </c>
      <c r="Q1527" s="1">
        <v>0</v>
      </c>
      <c r="R1527" s="1">
        <v>33551281.800000001</v>
      </c>
      <c r="S1527" s="1">
        <v>880380</v>
      </c>
      <c r="T1527" s="1">
        <v>2.9126213592233001</v>
      </c>
      <c r="U1527" t="str">
        <f t="shared" si="23"/>
        <v>Week 1</v>
      </c>
    </row>
    <row r="1528" spans="1:21" x14ac:dyDescent="0.25">
      <c r="A1528" s="1">
        <v>1527</v>
      </c>
      <c r="B1528" s="1" t="s">
        <v>1757</v>
      </c>
      <c r="C1528" s="2">
        <v>46025</v>
      </c>
      <c r="D1528" s="1" t="s">
        <v>33</v>
      </c>
      <c r="E1528" s="1" t="s">
        <v>34</v>
      </c>
      <c r="F1528" s="1" t="s">
        <v>30</v>
      </c>
      <c r="G1528" s="1" t="s">
        <v>24</v>
      </c>
      <c r="H1528" s="1">
        <v>1</v>
      </c>
      <c r="I1528" s="1" t="s">
        <v>1758</v>
      </c>
      <c r="J1528" s="1"/>
      <c r="K1528" s="1">
        <v>8543850</v>
      </c>
      <c r="L1528" s="1">
        <v>0</v>
      </c>
      <c r="M1528" s="1">
        <v>0</v>
      </c>
      <c r="N1528" s="1">
        <v>939823.5</v>
      </c>
      <c r="O1528" s="1">
        <v>0</v>
      </c>
      <c r="P1528" s="1">
        <v>0</v>
      </c>
      <c r="Q1528" s="1">
        <v>0</v>
      </c>
      <c r="R1528" s="1">
        <v>9483673.5</v>
      </c>
      <c r="S1528" s="1">
        <v>-1046150</v>
      </c>
      <c r="T1528" s="1">
        <v>-12.244479947565001</v>
      </c>
      <c r="U1528" t="str">
        <f t="shared" si="23"/>
        <v>Week 1</v>
      </c>
    </row>
    <row r="1529" spans="1:21" x14ac:dyDescent="0.25">
      <c r="A1529" s="1">
        <v>1528</v>
      </c>
      <c r="B1529" s="1" t="s">
        <v>1759</v>
      </c>
      <c r="C1529" s="2">
        <v>46025</v>
      </c>
      <c r="D1529" s="1" t="s">
        <v>184</v>
      </c>
      <c r="E1529" s="1" t="s">
        <v>99</v>
      </c>
      <c r="F1529" s="1" t="s">
        <v>30</v>
      </c>
      <c r="G1529" s="1" t="s">
        <v>24</v>
      </c>
      <c r="H1529" s="1">
        <v>1</v>
      </c>
      <c r="I1529" s="1" t="s">
        <v>1760</v>
      </c>
      <c r="J1529" s="1" t="s">
        <v>26</v>
      </c>
      <c r="K1529" s="1">
        <v>790525</v>
      </c>
      <c r="L1529" s="1">
        <v>0</v>
      </c>
      <c r="M1529" s="1">
        <v>0</v>
      </c>
      <c r="N1529" s="1">
        <v>86957.75</v>
      </c>
      <c r="O1529" s="1">
        <v>0</v>
      </c>
      <c r="P1529" s="1">
        <v>0</v>
      </c>
      <c r="Q1529" s="1">
        <v>0</v>
      </c>
      <c r="R1529" s="1">
        <v>877482.75</v>
      </c>
      <c r="S1529" s="1">
        <v>86475</v>
      </c>
      <c r="T1529" s="1">
        <v>10.938932987572</v>
      </c>
      <c r="U1529" t="str">
        <f t="shared" si="23"/>
        <v>Week 1</v>
      </c>
    </row>
    <row r="1530" spans="1:21" x14ac:dyDescent="0.25">
      <c r="A1530" s="1">
        <v>1529</v>
      </c>
      <c r="B1530" s="1" t="s">
        <v>1761</v>
      </c>
      <c r="C1530" s="2">
        <v>46025</v>
      </c>
      <c r="D1530" s="1" t="s">
        <v>33</v>
      </c>
      <c r="E1530" s="1" t="s">
        <v>34</v>
      </c>
      <c r="F1530" s="1" t="s">
        <v>30</v>
      </c>
      <c r="G1530" s="1" t="s">
        <v>24</v>
      </c>
      <c r="H1530" s="1">
        <v>1</v>
      </c>
      <c r="I1530" s="1" t="s">
        <v>1762</v>
      </c>
      <c r="J1530" s="1"/>
      <c r="K1530" s="1">
        <v>69545930</v>
      </c>
      <c r="L1530" s="1">
        <v>0</v>
      </c>
      <c r="M1530" s="1">
        <v>0</v>
      </c>
      <c r="N1530" s="1">
        <v>7650052.2999999998</v>
      </c>
      <c r="O1530" s="1">
        <v>0</v>
      </c>
      <c r="P1530" s="1">
        <v>0</v>
      </c>
      <c r="Q1530" s="1">
        <v>0</v>
      </c>
      <c r="R1530" s="1">
        <v>77195982.299999997</v>
      </c>
      <c r="S1530" s="1">
        <v>12465930</v>
      </c>
      <c r="T1530" s="1">
        <v>17.924744122338002</v>
      </c>
      <c r="U1530" t="str">
        <f t="shared" si="23"/>
        <v>Week 1</v>
      </c>
    </row>
    <row r="1531" spans="1:21" x14ac:dyDescent="0.25">
      <c r="A1531" s="1">
        <v>1530</v>
      </c>
      <c r="B1531" s="1" t="s">
        <v>1763</v>
      </c>
      <c r="C1531" s="2">
        <v>46025</v>
      </c>
      <c r="D1531" s="1" t="s">
        <v>33</v>
      </c>
      <c r="E1531" s="1" t="s">
        <v>34</v>
      </c>
      <c r="F1531" s="1" t="s">
        <v>30</v>
      </c>
      <c r="G1531" s="1" t="s">
        <v>24</v>
      </c>
      <c r="H1531" s="1">
        <v>1</v>
      </c>
      <c r="I1531" s="1" t="s">
        <v>1764</v>
      </c>
      <c r="J1531" s="1"/>
      <c r="K1531" s="1">
        <v>835205</v>
      </c>
      <c r="L1531" s="1">
        <v>0</v>
      </c>
      <c r="M1531" s="1">
        <v>0</v>
      </c>
      <c r="N1531" s="1">
        <v>91872.55</v>
      </c>
      <c r="O1531" s="1">
        <v>0</v>
      </c>
      <c r="P1531" s="1">
        <v>0</v>
      </c>
      <c r="Q1531" s="1">
        <v>0</v>
      </c>
      <c r="R1531" s="1">
        <v>927077.55</v>
      </c>
      <c r="S1531" s="1">
        <v>214521</v>
      </c>
      <c r="T1531" s="1">
        <v>25.684831867625</v>
      </c>
      <c r="U1531" t="str">
        <f t="shared" si="23"/>
        <v>Week 1</v>
      </c>
    </row>
    <row r="1532" spans="1:21" x14ac:dyDescent="0.25">
      <c r="A1532" s="1">
        <v>1531</v>
      </c>
      <c r="B1532" s="1" t="s">
        <v>1765</v>
      </c>
      <c r="C1532" s="2">
        <v>46025</v>
      </c>
      <c r="D1532" s="1" t="s">
        <v>33</v>
      </c>
      <c r="E1532" s="1" t="s">
        <v>34</v>
      </c>
      <c r="F1532" s="1" t="s">
        <v>30</v>
      </c>
      <c r="G1532" s="1" t="s">
        <v>24</v>
      </c>
      <c r="H1532" s="1">
        <v>1</v>
      </c>
      <c r="I1532" s="1" t="s">
        <v>1766</v>
      </c>
      <c r="J1532" s="1"/>
      <c r="K1532" s="1">
        <v>617400</v>
      </c>
      <c r="L1532" s="1">
        <v>0</v>
      </c>
      <c r="M1532" s="1">
        <v>0</v>
      </c>
      <c r="N1532" s="1">
        <v>67914</v>
      </c>
      <c r="O1532" s="1">
        <v>0</v>
      </c>
      <c r="P1532" s="1">
        <v>0</v>
      </c>
      <c r="Q1532" s="1">
        <v>0</v>
      </c>
      <c r="R1532" s="1">
        <v>685314</v>
      </c>
      <c r="S1532" s="1">
        <v>342200</v>
      </c>
      <c r="T1532" s="1">
        <v>55.425979915775997</v>
      </c>
      <c r="U1532" t="str">
        <f t="shared" si="23"/>
        <v>Week 1</v>
      </c>
    </row>
    <row r="1533" spans="1:21" x14ac:dyDescent="0.25">
      <c r="A1533" s="1">
        <v>1532</v>
      </c>
      <c r="B1533" s="1" t="s">
        <v>1767</v>
      </c>
      <c r="C1533" s="2">
        <v>46025</v>
      </c>
      <c r="D1533" s="1" t="s">
        <v>33</v>
      </c>
      <c r="E1533" s="1" t="s">
        <v>34</v>
      </c>
      <c r="F1533" s="1" t="s">
        <v>30</v>
      </c>
      <c r="G1533" s="1" t="s">
        <v>24</v>
      </c>
      <c r="H1533" s="1">
        <v>1</v>
      </c>
      <c r="I1533" s="1" t="s">
        <v>1768</v>
      </c>
      <c r="J1533" s="1"/>
      <c r="K1533" s="1">
        <v>9523542</v>
      </c>
      <c r="L1533" s="1">
        <v>0</v>
      </c>
      <c r="M1533" s="1">
        <v>0</v>
      </c>
      <c r="N1533" s="1">
        <v>1047589.62</v>
      </c>
      <c r="O1533" s="1">
        <v>0</v>
      </c>
      <c r="P1533" s="1">
        <v>0</v>
      </c>
      <c r="Q1533" s="1">
        <v>0</v>
      </c>
      <c r="R1533" s="1">
        <v>10571131.619999999</v>
      </c>
      <c r="S1533" s="1">
        <v>3593542</v>
      </c>
      <c r="T1533" s="1">
        <v>37.733250927019</v>
      </c>
      <c r="U1533" t="str">
        <f t="shared" si="23"/>
        <v>Week 1</v>
      </c>
    </row>
    <row r="1534" spans="1:21" x14ac:dyDescent="0.25">
      <c r="A1534" s="1">
        <v>1533</v>
      </c>
      <c r="B1534" s="1" t="s">
        <v>1769</v>
      </c>
      <c r="C1534" s="2">
        <v>46025</v>
      </c>
      <c r="D1534" s="1" t="s">
        <v>33</v>
      </c>
      <c r="E1534" s="1" t="s">
        <v>34</v>
      </c>
      <c r="F1534" s="1" t="s">
        <v>30</v>
      </c>
      <c r="G1534" s="1" t="s">
        <v>24</v>
      </c>
      <c r="H1534" s="1">
        <v>1</v>
      </c>
      <c r="I1534" s="1" t="s">
        <v>1770</v>
      </c>
      <c r="J1534" s="1"/>
      <c r="K1534" s="1">
        <v>13913240</v>
      </c>
      <c r="L1534" s="1">
        <v>0</v>
      </c>
      <c r="M1534" s="1">
        <v>0</v>
      </c>
      <c r="N1534" s="1">
        <v>1530456.4</v>
      </c>
      <c r="O1534" s="1">
        <v>0</v>
      </c>
      <c r="P1534" s="1">
        <v>0</v>
      </c>
      <c r="Q1534" s="1">
        <v>0</v>
      </c>
      <c r="R1534" s="1">
        <v>15443696.4</v>
      </c>
      <c r="S1534" s="1">
        <v>1961888.6486487</v>
      </c>
      <c r="T1534" s="1">
        <v>14.100875487295999</v>
      </c>
      <c r="U1534" t="str">
        <f t="shared" si="23"/>
        <v>Week 1</v>
      </c>
    </row>
    <row r="1535" spans="1:21" x14ac:dyDescent="0.25">
      <c r="A1535" s="1">
        <v>1534</v>
      </c>
      <c r="B1535" s="1" t="s">
        <v>1771</v>
      </c>
      <c r="C1535" s="2">
        <v>46025</v>
      </c>
      <c r="D1535" s="1" t="s">
        <v>33</v>
      </c>
      <c r="E1535" s="1" t="s">
        <v>34</v>
      </c>
      <c r="F1535" s="1" t="s">
        <v>30</v>
      </c>
      <c r="G1535" s="1" t="s">
        <v>24</v>
      </c>
      <c r="H1535" s="1">
        <v>1</v>
      </c>
      <c r="I1535" s="1" t="s">
        <v>1534</v>
      </c>
      <c r="J1535" s="1"/>
      <c r="K1535" s="1">
        <v>59748185.539999999</v>
      </c>
      <c r="L1535" s="1">
        <v>0</v>
      </c>
      <c r="M1535" s="1">
        <v>0</v>
      </c>
      <c r="N1535" s="1">
        <v>6572300.4094000002</v>
      </c>
      <c r="O1535" s="1">
        <v>0</v>
      </c>
      <c r="P1535" s="1">
        <v>0</v>
      </c>
      <c r="Q1535" s="1">
        <v>0</v>
      </c>
      <c r="R1535" s="1">
        <v>66320485.9494</v>
      </c>
      <c r="S1535" s="1">
        <v>17279164.519000001</v>
      </c>
      <c r="T1535" s="1">
        <v>28.919982025951001</v>
      </c>
      <c r="U1535" t="str">
        <f t="shared" si="23"/>
        <v>Week 1</v>
      </c>
    </row>
    <row r="1536" spans="1:21" x14ac:dyDescent="0.25">
      <c r="A1536" s="1">
        <v>1535</v>
      </c>
      <c r="B1536" s="1" t="s">
        <v>1772</v>
      </c>
      <c r="C1536" s="2">
        <v>46025</v>
      </c>
      <c r="D1536" s="1" t="s">
        <v>33</v>
      </c>
      <c r="E1536" s="1" t="s">
        <v>34</v>
      </c>
      <c r="F1536" s="1" t="s">
        <v>30</v>
      </c>
      <c r="G1536" s="1" t="s">
        <v>24</v>
      </c>
      <c r="H1536" s="1">
        <v>1</v>
      </c>
      <c r="I1536" s="1" t="s">
        <v>1773</v>
      </c>
      <c r="J1536" s="1"/>
      <c r="K1536" s="1">
        <v>5306700</v>
      </c>
      <c r="L1536" s="1">
        <v>0</v>
      </c>
      <c r="M1536" s="1">
        <v>0</v>
      </c>
      <c r="N1536" s="1">
        <v>583737</v>
      </c>
      <c r="O1536" s="1">
        <v>0</v>
      </c>
      <c r="P1536" s="1">
        <v>0</v>
      </c>
      <c r="Q1536" s="1">
        <v>0</v>
      </c>
      <c r="R1536" s="1">
        <v>5890437</v>
      </c>
      <c r="S1536" s="1">
        <v>2207800.9009008999</v>
      </c>
      <c r="T1536" s="1">
        <v>41.604027001732</v>
      </c>
      <c r="U1536" t="str">
        <f t="shared" si="23"/>
        <v>Week 1</v>
      </c>
    </row>
    <row r="1537" spans="1:21" x14ac:dyDescent="0.25">
      <c r="A1537" s="1">
        <v>1536</v>
      </c>
      <c r="B1537" s="1" t="s">
        <v>1774</v>
      </c>
      <c r="C1537" s="2">
        <v>46025</v>
      </c>
      <c r="D1537" s="1" t="s">
        <v>33</v>
      </c>
      <c r="E1537" s="1" t="s">
        <v>34</v>
      </c>
      <c r="F1537" s="1" t="s">
        <v>30</v>
      </c>
      <c r="G1537" s="1" t="s">
        <v>24</v>
      </c>
      <c r="H1537" s="1">
        <v>1</v>
      </c>
      <c r="I1537" s="1" t="s">
        <v>1775</v>
      </c>
      <c r="J1537" s="1" t="s">
        <v>56</v>
      </c>
      <c r="K1537" s="1">
        <v>125994564.88</v>
      </c>
      <c r="L1537" s="1">
        <v>0</v>
      </c>
      <c r="M1537" s="1">
        <v>0</v>
      </c>
      <c r="N1537" s="1">
        <v>13859402.1368</v>
      </c>
      <c r="O1537" s="1">
        <v>0</v>
      </c>
      <c r="P1537" s="1">
        <v>0</v>
      </c>
      <c r="Q1537" s="1">
        <v>0</v>
      </c>
      <c r="R1537" s="1">
        <v>139853967.01679999</v>
      </c>
      <c r="S1537" s="1">
        <v>17886456.771892</v>
      </c>
      <c r="T1537" s="1">
        <v>14.196212978653</v>
      </c>
      <c r="U1537" t="str">
        <f t="shared" si="23"/>
        <v>Week 1</v>
      </c>
    </row>
    <row r="1538" spans="1:21" x14ac:dyDescent="0.25">
      <c r="A1538" s="1">
        <v>1537</v>
      </c>
      <c r="B1538" s="1" t="s">
        <v>1776</v>
      </c>
      <c r="C1538" s="2">
        <v>46025</v>
      </c>
      <c r="D1538" s="1" t="s">
        <v>169</v>
      </c>
      <c r="E1538" s="1" t="s">
        <v>99</v>
      </c>
      <c r="F1538" s="1" t="s">
        <v>30</v>
      </c>
      <c r="G1538" s="1" t="s">
        <v>24</v>
      </c>
      <c r="H1538" s="1">
        <v>1</v>
      </c>
      <c r="I1538" s="1" t="s">
        <v>1777</v>
      </c>
      <c r="J1538" s="1"/>
      <c r="K1538" s="1">
        <v>161957253</v>
      </c>
      <c r="L1538" s="1">
        <v>0</v>
      </c>
      <c r="M1538" s="1">
        <v>0</v>
      </c>
      <c r="N1538" s="1">
        <v>17815297.829999998</v>
      </c>
      <c r="O1538" s="1">
        <v>0</v>
      </c>
      <c r="P1538" s="1">
        <v>0</v>
      </c>
      <c r="Q1538" s="1">
        <v>0</v>
      </c>
      <c r="R1538" s="1">
        <v>179772550.83000001</v>
      </c>
      <c r="S1538" s="1">
        <v>68006249</v>
      </c>
      <c r="T1538" s="1">
        <v>41.990246031155003</v>
      </c>
      <c r="U1538" t="str">
        <f t="shared" si="23"/>
        <v>Week 1</v>
      </c>
    </row>
    <row r="1539" spans="1:21" x14ac:dyDescent="0.25">
      <c r="A1539" s="1">
        <v>1538</v>
      </c>
      <c r="B1539" s="1" t="s">
        <v>1778</v>
      </c>
      <c r="C1539" s="2">
        <v>46024</v>
      </c>
      <c r="D1539" s="1" t="s">
        <v>53</v>
      </c>
      <c r="E1539" s="1" t="s">
        <v>1530</v>
      </c>
      <c r="F1539" s="1" t="s">
        <v>30</v>
      </c>
      <c r="G1539" s="1" t="s">
        <v>24</v>
      </c>
      <c r="H1539" s="1">
        <v>1</v>
      </c>
      <c r="I1539" s="1" t="s">
        <v>1779</v>
      </c>
      <c r="J1539" s="1"/>
      <c r="K1539" s="1">
        <v>6730000</v>
      </c>
      <c r="L1539" s="1">
        <v>0</v>
      </c>
      <c r="M1539" s="1">
        <v>0</v>
      </c>
      <c r="N1539" s="1">
        <v>740300</v>
      </c>
      <c r="O1539" s="1">
        <v>0</v>
      </c>
      <c r="P1539" s="1">
        <v>0</v>
      </c>
      <c r="Q1539" s="1">
        <v>0</v>
      </c>
      <c r="R1539" s="1">
        <v>7470300</v>
      </c>
      <c r="S1539" s="1">
        <v>1505000</v>
      </c>
      <c r="T1539" s="1">
        <v>22.362555720654001</v>
      </c>
      <c r="U1539" t="str">
        <f t="shared" ref="U1539:U1602" si="24">"Week "&amp;IF(DAY(C1539)&gt;=24,4,INT((DAY(C1539)-1)/7)+1)</f>
        <v>Week 1</v>
      </c>
    </row>
    <row r="1540" spans="1:21" x14ac:dyDescent="0.25">
      <c r="A1540" s="1">
        <v>1539</v>
      </c>
      <c r="B1540" s="1" t="s">
        <v>2282</v>
      </c>
      <c r="C1540" s="2">
        <v>46024</v>
      </c>
      <c r="D1540" s="1" t="s">
        <v>2210</v>
      </c>
      <c r="E1540" s="1" t="s">
        <v>1675</v>
      </c>
      <c r="F1540" s="1" t="s">
        <v>23</v>
      </c>
      <c r="G1540" s="1" t="s">
        <v>24</v>
      </c>
      <c r="H1540" s="1">
        <v>1</v>
      </c>
      <c r="I1540" s="1" t="s">
        <v>2281</v>
      </c>
      <c r="J1540" s="1"/>
      <c r="K1540" s="1">
        <v>72108700</v>
      </c>
      <c r="L1540" s="1">
        <v>0</v>
      </c>
      <c r="M1540" s="1">
        <v>0</v>
      </c>
      <c r="N1540" s="1">
        <v>0</v>
      </c>
      <c r="O1540" s="1">
        <v>0</v>
      </c>
      <c r="P1540" s="1">
        <v>0</v>
      </c>
      <c r="Q1540" s="1">
        <v>0</v>
      </c>
      <c r="R1540" s="1">
        <v>72108700</v>
      </c>
      <c r="S1540" s="1">
        <v>12712958.738739001</v>
      </c>
      <c r="T1540" s="1">
        <v>17.630270326242002</v>
      </c>
      <c r="U1540" t="str">
        <f t="shared" si="24"/>
        <v>Week 1</v>
      </c>
    </row>
    <row r="1541" spans="1:21" x14ac:dyDescent="0.25">
      <c r="A1541" s="1">
        <v>1540</v>
      </c>
      <c r="B1541" s="1" t="s">
        <v>1780</v>
      </c>
      <c r="C1541" s="2">
        <v>46024</v>
      </c>
      <c r="D1541" s="1" t="s">
        <v>306</v>
      </c>
      <c r="E1541" s="1" t="s">
        <v>1281</v>
      </c>
      <c r="F1541" s="1" t="s">
        <v>23</v>
      </c>
      <c r="G1541" s="1" t="s">
        <v>24</v>
      </c>
      <c r="H1541" s="1">
        <v>1</v>
      </c>
      <c r="I1541" s="1" t="s">
        <v>1781</v>
      </c>
      <c r="J1541" s="1"/>
      <c r="K1541" s="1">
        <v>160345588</v>
      </c>
      <c r="L1541" s="1">
        <v>0</v>
      </c>
      <c r="M1541" s="1">
        <v>0</v>
      </c>
      <c r="N1541" s="1">
        <v>17638014.68</v>
      </c>
      <c r="O1541" s="1">
        <v>0</v>
      </c>
      <c r="P1541" s="1">
        <v>0</v>
      </c>
      <c r="Q1541" s="1">
        <v>0</v>
      </c>
      <c r="R1541" s="1">
        <v>177983602.68000001</v>
      </c>
      <c r="S1541" s="1">
        <v>25645588</v>
      </c>
      <c r="T1541" s="1">
        <v>15.993946774513001</v>
      </c>
      <c r="U1541" t="str">
        <f t="shared" si="24"/>
        <v>Week 1</v>
      </c>
    </row>
    <row r="1542" spans="1:21" x14ac:dyDescent="0.25">
      <c r="A1542" s="1">
        <v>1541</v>
      </c>
      <c r="B1542" s="1" t="s">
        <v>1782</v>
      </c>
      <c r="C1542" s="2">
        <v>46024</v>
      </c>
      <c r="D1542" s="1" t="s">
        <v>53</v>
      </c>
      <c r="E1542" s="1" t="s">
        <v>1530</v>
      </c>
      <c r="F1542" s="1" t="s">
        <v>30</v>
      </c>
      <c r="G1542" s="1" t="s">
        <v>24</v>
      </c>
      <c r="H1542" s="1">
        <v>1</v>
      </c>
      <c r="I1542" s="1" t="s">
        <v>1783</v>
      </c>
      <c r="J1542" s="1"/>
      <c r="K1542" s="1">
        <v>4850000</v>
      </c>
      <c r="L1542" s="1">
        <v>0</v>
      </c>
      <c r="M1542" s="1">
        <v>0</v>
      </c>
      <c r="N1542" s="1">
        <v>533500</v>
      </c>
      <c r="O1542" s="1">
        <v>0</v>
      </c>
      <c r="P1542" s="1">
        <v>0</v>
      </c>
      <c r="Q1542" s="1">
        <v>0</v>
      </c>
      <c r="R1542" s="1">
        <v>5383500</v>
      </c>
      <c r="S1542" s="1">
        <v>150000</v>
      </c>
      <c r="T1542" s="1">
        <v>3.0927835051546002</v>
      </c>
      <c r="U1542" t="str">
        <f t="shared" si="24"/>
        <v>Week 1</v>
      </c>
    </row>
    <row r="1543" spans="1:21" x14ac:dyDescent="0.25">
      <c r="A1543" s="1">
        <v>1542</v>
      </c>
      <c r="B1543" s="1" t="s">
        <v>1784</v>
      </c>
      <c r="C1543" s="2">
        <v>46024</v>
      </c>
      <c r="D1543" s="1" t="s">
        <v>1317</v>
      </c>
      <c r="E1543" s="1" t="s">
        <v>22</v>
      </c>
      <c r="F1543" s="1" t="s">
        <v>30</v>
      </c>
      <c r="G1543" s="1" t="s">
        <v>24</v>
      </c>
      <c r="H1543" s="1">
        <v>1</v>
      </c>
      <c r="I1543" s="1" t="s">
        <v>1785</v>
      </c>
      <c r="J1543" s="1" t="s">
        <v>26</v>
      </c>
      <c r="K1543" s="1">
        <v>735000</v>
      </c>
      <c r="L1543" s="1">
        <v>0</v>
      </c>
      <c r="M1543" s="1">
        <v>0</v>
      </c>
      <c r="N1543" s="1">
        <v>80850</v>
      </c>
      <c r="O1543" s="1">
        <v>0</v>
      </c>
      <c r="P1543" s="1">
        <v>0</v>
      </c>
      <c r="Q1543" s="1">
        <v>0</v>
      </c>
      <c r="R1543" s="1">
        <v>815850</v>
      </c>
      <c r="S1543" s="1">
        <v>285000</v>
      </c>
      <c r="T1543" s="1">
        <v>38.775510204082003</v>
      </c>
      <c r="U1543" t="str">
        <f t="shared" si="24"/>
        <v>Week 1</v>
      </c>
    </row>
    <row r="1544" spans="1:21" x14ac:dyDescent="0.25">
      <c r="A1544" s="1">
        <v>1543</v>
      </c>
      <c r="B1544" s="1" t="s">
        <v>1786</v>
      </c>
      <c r="C1544" s="2">
        <v>46024</v>
      </c>
      <c r="D1544" s="1" t="s">
        <v>169</v>
      </c>
      <c r="E1544" s="1" t="s">
        <v>1281</v>
      </c>
      <c r="F1544" s="1" t="s">
        <v>260</v>
      </c>
      <c r="G1544" s="1" t="s">
        <v>24</v>
      </c>
      <c r="H1544" s="1">
        <v>1</v>
      </c>
      <c r="I1544" s="1" t="s">
        <v>1701</v>
      </c>
      <c r="J1544" s="1" t="s">
        <v>26</v>
      </c>
      <c r="K1544" s="1">
        <v>37807250</v>
      </c>
      <c r="L1544" s="1">
        <v>0</v>
      </c>
      <c r="M1544" s="1">
        <v>0</v>
      </c>
      <c r="N1544" s="1">
        <v>4158797.5</v>
      </c>
      <c r="O1544" s="1">
        <v>0</v>
      </c>
      <c r="P1544" s="1">
        <v>0</v>
      </c>
      <c r="Q1544" s="1">
        <v>0</v>
      </c>
      <c r="R1544" s="1">
        <v>41966047.5</v>
      </c>
      <c r="S1544" s="1">
        <v>10690853.6</v>
      </c>
      <c r="T1544" s="1">
        <v>28.277257933333001</v>
      </c>
      <c r="U1544" t="str">
        <f t="shared" si="24"/>
        <v>Week 1</v>
      </c>
    </row>
    <row r="1545" spans="1:21" x14ac:dyDescent="0.25">
      <c r="A1545" s="1">
        <v>1544</v>
      </c>
      <c r="B1545" s="1" t="s">
        <v>1787</v>
      </c>
      <c r="C1545" s="2">
        <v>46021</v>
      </c>
      <c r="D1545" s="1" t="s">
        <v>33</v>
      </c>
      <c r="E1545" s="1" t="s">
        <v>34</v>
      </c>
      <c r="F1545" s="1" t="s">
        <v>30</v>
      </c>
      <c r="G1545" s="1" t="s">
        <v>24</v>
      </c>
      <c r="H1545" s="1">
        <v>1</v>
      </c>
      <c r="I1545" s="1" t="s">
        <v>1672</v>
      </c>
      <c r="J1545" s="1"/>
      <c r="K1545" s="1">
        <v>42718216.799999997</v>
      </c>
      <c r="L1545" s="1">
        <v>0</v>
      </c>
      <c r="M1545" s="1">
        <v>0</v>
      </c>
      <c r="N1545" s="1">
        <v>4699003.8480000002</v>
      </c>
      <c r="O1545" s="1">
        <v>0</v>
      </c>
      <c r="P1545" s="1">
        <v>0</v>
      </c>
      <c r="Q1545" s="1">
        <v>0</v>
      </c>
      <c r="R1545" s="1">
        <v>47417220.648000002</v>
      </c>
      <c r="S1545" s="1">
        <v>9621994.9790000003</v>
      </c>
      <c r="T1545" s="1">
        <v>22.524336687668001</v>
      </c>
      <c r="U1545" t="str">
        <f t="shared" si="24"/>
        <v>Week 4</v>
      </c>
    </row>
    <row r="1546" spans="1:21" x14ac:dyDescent="0.25">
      <c r="A1546" s="1">
        <v>1545</v>
      </c>
      <c r="B1546" s="1" t="s">
        <v>1788</v>
      </c>
      <c r="C1546" s="2">
        <v>46021</v>
      </c>
      <c r="D1546" s="1" t="s">
        <v>306</v>
      </c>
      <c r="E1546" s="1" t="s">
        <v>1281</v>
      </c>
      <c r="F1546" s="1" t="s">
        <v>30</v>
      </c>
      <c r="G1546" s="1" t="s">
        <v>24</v>
      </c>
      <c r="H1546" s="1">
        <v>1</v>
      </c>
      <c r="I1546" s="1" t="s">
        <v>1789</v>
      </c>
      <c r="J1546" s="1" t="s">
        <v>26</v>
      </c>
      <c r="K1546" s="1">
        <v>15810500</v>
      </c>
      <c r="L1546" s="1">
        <v>0</v>
      </c>
      <c r="M1546" s="1">
        <v>0</v>
      </c>
      <c r="N1546" s="1">
        <v>1739155</v>
      </c>
      <c r="O1546" s="1">
        <v>0</v>
      </c>
      <c r="P1546" s="1">
        <v>0</v>
      </c>
      <c r="Q1546" s="1">
        <v>0</v>
      </c>
      <c r="R1546" s="1">
        <v>17549655</v>
      </c>
      <c r="S1546" s="1">
        <v>5017707</v>
      </c>
      <c r="T1546" s="1">
        <v>31.736548496251999</v>
      </c>
      <c r="U1546" t="str">
        <f t="shared" si="24"/>
        <v>Week 4</v>
      </c>
    </row>
    <row r="1547" spans="1:21" x14ac:dyDescent="0.25">
      <c r="A1547" s="1">
        <v>1546</v>
      </c>
      <c r="B1547" s="1" t="s">
        <v>1790</v>
      </c>
      <c r="C1547" s="2">
        <v>46021</v>
      </c>
      <c r="D1547" s="1" t="s">
        <v>53</v>
      </c>
      <c r="E1547" s="1" t="s">
        <v>1530</v>
      </c>
      <c r="F1547" s="1" t="s">
        <v>30</v>
      </c>
      <c r="G1547" s="1" t="s">
        <v>24</v>
      </c>
      <c r="H1547" s="1">
        <v>1</v>
      </c>
      <c r="I1547" s="1" t="s">
        <v>1791</v>
      </c>
      <c r="J1547" s="1"/>
      <c r="K1547" s="1">
        <v>15190000</v>
      </c>
      <c r="L1547" s="1">
        <v>0</v>
      </c>
      <c r="M1547" s="1">
        <v>0</v>
      </c>
      <c r="N1547" s="1">
        <v>1670900</v>
      </c>
      <c r="O1547" s="1">
        <v>0</v>
      </c>
      <c r="P1547" s="1">
        <v>0</v>
      </c>
      <c r="Q1547" s="1">
        <v>0</v>
      </c>
      <c r="R1547" s="1">
        <v>16860900</v>
      </c>
      <c r="S1547" s="1">
        <v>-310000</v>
      </c>
      <c r="T1547" s="1">
        <v>-2.0408163265305999</v>
      </c>
      <c r="U1547" t="str">
        <f t="shared" si="24"/>
        <v>Week 4</v>
      </c>
    </row>
    <row r="1548" spans="1:21" x14ac:dyDescent="0.25">
      <c r="A1548" s="1">
        <v>1547</v>
      </c>
      <c r="B1548" s="1" t="s">
        <v>1792</v>
      </c>
      <c r="C1548" s="2">
        <v>46021</v>
      </c>
      <c r="D1548" s="1" t="s">
        <v>33</v>
      </c>
      <c r="E1548" s="1" t="s">
        <v>34</v>
      </c>
      <c r="F1548" s="1" t="s">
        <v>30</v>
      </c>
      <c r="G1548" s="1" t="s">
        <v>24</v>
      </c>
      <c r="H1548" s="1">
        <v>1</v>
      </c>
      <c r="I1548" s="1" t="s">
        <v>1670</v>
      </c>
      <c r="J1548" s="1"/>
      <c r="K1548" s="1">
        <v>56126560</v>
      </c>
      <c r="L1548" s="1">
        <v>0</v>
      </c>
      <c r="M1548" s="1">
        <v>0</v>
      </c>
      <c r="N1548" s="1">
        <v>6173921.5999999996</v>
      </c>
      <c r="O1548" s="1">
        <v>0</v>
      </c>
      <c r="P1548" s="1">
        <v>0</v>
      </c>
      <c r="Q1548" s="1">
        <v>0</v>
      </c>
      <c r="R1548" s="1">
        <v>62300481.600000001</v>
      </c>
      <c r="S1548" s="1">
        <v>26866560</v>
      </c>
      <c r="T1548" s="1">
        <v>47.867818729671001</v>
      </c>
      <c r="U1548" t="str">
        <f t="shared" si="24"/>
        <v>Week 4</v>
      </c>
    </row>
    <row r="1549" spans="1:21" x14ac:dyDescent="0.25">
      <c r="A1549" s="1">
        <v>1548</v>
      </c>
      <c r="B1549" s="1" t="s">
        <v>1793</v>
      </c>
      <c r="C1549" s="2">
        <v>46021</v>
      </c>
      <c r="D1549" s="1" t="s">
        <v>33</v>
      </c>
      <c r="E1549" s="1" t="s">
        <v>34</v>
      </c>
      <c r="F1549" s="1" t="s">
        <v>30</v>
      </c>
      <c r="G1549" s="1" t="s">
        <v>24</v>
      </c>
      <c r="H1549" s="1">
        <v>1</v>
      </c>
      <c r="I1549" s="1" t="s">
        <v>1794</v>
      </c>
      <c r="J1549" s="1"/>
      <c r="K1549" s="1">
        <v>5071500</v>
      </c>
      <c r="L1549" s="1">
        <v>0</v>
      </c>
      <c r="M1549" s="1">
        <v>0</v>
      </c>
      <c r="N1549" s="1">
        <v>557865</v>
      </c>
      <c r="O1549" s="1">
        <v>0</v>
      </c>
      <c r="P1549" s="1">
        <v>0</v>
      </c>
      <c r="Q1549" s="1">
        <v>0</v>
      </c>
      <c r="R1549" s="1">
        <v>5629365</v>
      </c>
      <c r="S1549" s="1">
        <v>3396500</v>
      </c>
      <c r="T1549" s="1">
        <v>66.972296164843002</v>
      </c>
      <c r="U1549" t="str">
        <f t="shared" si="24"/>
        <v>Week 4</v>
      </c>
    </row>
    <row r="1550" spans="1:21" x14ac:dyDescent="0.25">
      <c r="A1550" s="1">
        <v>1549</v>
      </c>
      <c r="B1550" s="1" t="s">
        <v>1795</v>
      </c>
      <c r="C1550" s="2">
        <v>46021</v>
      </c>
      <c r="D1550" s="1" t="s">
        <v>21</v>
      </c>
      <c r="E1550" s="1" t="s">
        <v>22</v>
      </c>
      <c r="F1550" s="1" t="s">
        <v>30</v>
      </c>
      <c r="G1550" s="1" t="s">
        <v>24</v>
      </c>
      <c r="H1550" s="1">
        <v>1</v>
      </c>
      <c r="I1550" s="1" t="s">
        <v>1796</v>
      </c>
      <c r="J1550" s="1" t="s">
        <v>26</v>
      </c>
      <c r="K1550" s="1">
        <v>22245706</v>
      </c>
      <c r="L1550" s="1">
        <v>0</v>
      </c>
      <c r="M1550" s="1">
        <v>0</v>
      </c>
      <c r="N1550" s="1">
        <v>2447027.66</v>
      </c>
      <c r="O1550" s="1">
        <v>0</v>
      </c>
      <c r="P1550" s="1">
        <v>0</v>
      </c>
      <c r="Q1550" s="1">
        <v>0</v>
      </c>
      <c r="R1550" s="1">
        <v>24692733.66</v>
      </c>
      <c r="S1550" s="1">
        <v>4817253.4189189002</v>
      </c>
      <c r="T1550" s="1">
        <v>21.654756288331999</v>
      </c>
      <c r="U1550" t="str">
        <f t="shared" si="24"/>
        <v>Week 4</v>
      </c>
    </row>
    <row r="1551" spans="1:21" x14ac:dyDescent="0.25">
      <c r="A1551" s="1">
        <v>1550</v>
      </c>
      <c r="B1551" s="1" t="s">
        <v>1797</v>
      </c>
      <c r="C1551" s="2">
        <v>46021</v>
      </c>
      <c r="D1551" s="1" t="s">
        <v>202</v>
      </c>
      <c r="E1551" s="1" t="s">
        <v>22</v>
      </c>
      <c r="F1551" s="1" t="s">
        <v>30</v>
      </c>
      <c r="G1551" s="1" t="s">
        <v>24</v>
      </c>
      <c r="H1551" s="1">
        <v>1</v>
      </c>
      <c r="I1551" s="1" t="s">
        <v>1798</v>
      </c>
      <c r="J1551" s="1" t="s">
        <v>26</v>
      </c>
      <c r="K1551" s="1">
        <v>12780240</v>
      </c>
      <c r="L1551" s="1">
        <v>0</v>
      </c>
      <c r="M1551" s="1">
        <v>0</v>
      </c>
      <c r="N1551" s="1">
        <v>1405826.4</v>
      </c>
      <c r="O1551" s="1">
        <v>0</v>
      </c>
      <c r="P1551" s="1">
        <v>0</v>
      </c>
      <c r="Q1551" s="1">
        <v>0</v>
      </c>
      <c r="R1551" s="1">
        <v>14186066.4</v>
      </c>
      <c r="S1551" s="1">
        <v>372240</v>
      </c>
      <c r="T1551" s="1">
        <v>2.9126213592233001</v>
      </c>
      <c r="U1551" t="str">
        <f t="shared" si="24"/>
        <v>Week 4</v>
      </c>
    </row>
    <row r="1552" spans="1:21" x14ac:dyDescent="0.25">
      <c r="A1552" s="1">
        <v>1551</v>
      </c>
      <c r="B1552" s="1" t="s">
        <v>1799</v>
      </c>
      <c r="C1552" s="2">
        <v>46021</v>
      </c>
      <c r="D1552" s="1" t="s">
        <v>37</v>
      </c>
      <c r="E1552" s="1" t="s">
        <v>34</v>
      </c>
      <c r="F1552" s="1" t="s">
        <v>23</v>
      </c>
      <c r="G1552" s="1" t="s">
        <v>24</v>
      </c>
      <c r="H1552" s="1">
        <v>1</v>
      </c>
      <c r="I1552" s="1" t="s">
        <v>1800</v>
      </c>
      <c r="J1552" s="1"/>
      <c r="K1552" s="1">
        <v>9965400</v>
      </c>
      <c r="L1552" s="1">
        <v>0</v>
      </c>
      <c r="M1552" s="1">
        <v>0</v>
      </c>
      <c r="N1552" s="1">
        <v>1096194</v>
      </c>
      <c r="O1552" s="1">
        <v>0</v>
      </c>
      <c r="P1552" s="1">
        <v>0</v>
      </c>
      <c r="Q1552" s="1">
        <v>0</v>
      </c>
      <c r="R1552" s="1">
        <v>11061594</v>
      </c>
      <c r="S1552" s="1">
        <v>2815900</v>
      </c>
      <c r="T1552" s="1">
        <v>28.256768418728999</v>
      </c>
      <c r="U1552" t="str">
        <f t="shared" si="24"/>
        <v>Week 4</v>
      </c>
    </row>
    <row r="1553" spans="1:21" x14ac:dyDescent="0.25">
      <c r="A1553" s="1">
        <v>1552</v>
      </c>
      <c r="B1553" s="1" t="s">
        <v>1801</v>
      </c>
      <c r="C1553" s="2">
        <v>46020</v>
      </c>
      <c r="D1553" s="1" t="s">
        <v>53</v>
      </c>
      <c r="E1553" s="1" t="s">
        <v>1530</v>
      </c>
      <c r="F1553" s="1" t="s">
        <v>30</v>
      </c>
      <c r="G1553" s="1" t="s">
        <v>24</v>
      </c>
      <c r="H1553" s="1">
        <v>1</v>
      </c>
      <c r="I1553" s="1" t="s">
        <v>1802</v>
      </c>
      <c r="J1553" s="1"/>
      <c r="K1553" s="1">
        <v>82320</v>
      </c>
      <c r="L1553" s="1">
        <v>0</v>
      </c>
      <c r="M1553" s="1">
        <v>0</v>
      </c>
      <c r="N1553" s="1">
        <v>9055.2000000000007</v>
      </c>
      <c r="O1553" s="1">
        <v>0</v>
      </c>
      <c r="P1553" s="1">
        <v>0</v>
      </c>
      <c r="Q1553" s="1">
        <v>0</v>
      </c>
      <c r="R1553" s="1">
        <v>91375.2</v>
      </c>
      <c r="S1553" s="1">
        <v>40320</v>
      </c>
      <c r="T1553" s="1">
        <v>48.979591836734997</v>
      </c>
      <c r="U1553" t="str">
        <f t="shared" si="24"/>
        <v>Week 4</v>
      </c>
    </row>
    <row r="1554" spans="1:21" x14ac:dyDescent="0.25">
      <c r="A1554" s="1">
        <v>1553</v>
      </c>
      <c r="B1554" s="1" t="s">
        <v>1803</v>
      </c>
      <c r="C1554" s="2">
        <v>46020</v>
      </c>
      <c r="D1554" s="1" t="s">
        <v>53</v>
      </c>
      <c r="E1554" s="1" t="s">
        <v>1530</v>
      </c>
      <c r="F1554" s="1" t="s">
        <v>30</v>
      </c>
      <c r="G1554" s="1" t="s">
        <v>24</v>
      </c>
      <c r="H1554" s="1">
        <v>1</v>
      </c>
      <c r="I1554" s="1" t="s">
        <v>1804</v>
      </c>
      <c r="J1554" s="1"/>
      <c r="K1554" s="1">
        <v>3516250</v>
      </c>
      <c r="L1554" s="1">
        <v>0</v>
      </c>
      <c r="M1554" s="1">
        <v>0</v>
      </c>
      <c r="N1554" s="1">
        <v>386787.5</v>
      </c>
      <c r="O1554" s="1">
        <v>0</v>
      </c>
      <c r="P1554" s="1">
        <v>0</v>
      </c>
      <c r="Q1554" s="1">
        <v>0</v>
      </c>
      <c r="R1554" s="1">
        <v>3903037.5</v>
      </c>
      <c r="S1554" s="1">
        <v>516250</v>
      </c>
      <c r="T1554" s="1">
        <v>14.681834340562</v>
      </c>
      <c r="U1554" t="str">
        <f t="shared" si="24"/>
        <v>Week 4</v>
      </c>
    </row>
    <row r="1555" spans="1:21" x14ac:dyDescent="0.25">
      <c r="A1555" s="1">
        <v>1554</v>
      </c>
      <c r="B1555" s="1" t="s">
        <v>1805</v>
      </c>
      <c r="C1555" s="2">
        <v>46020</v>
      </c>
      <c r="D1555" s="1" t="s">
        <v>33</v>
      </c>
      <c r="E1555" s="1" t="s">
        <v>34</v>
      </c>
      <c r="F1555" s="1" t="s">
        <v>30</v>
      </c>
      <c r="G1555" s="1" t="s">
        <v>24</v>
      </c>
      <c r="H1555" s="1">
        <v>1</v>
      </c>
      <c r="I1555" s="1" t="s">
        <v>1806</v>
      </c>
      <c r="J1555" s="1"/>
      <c r="K1555" s="1">
        <v>1004500</v>
      </c>
      <c r="L1555" s="1">
        <v>0</v>
      </c>
      <c r="M1555" s="1">
        <v>0</v>
      </c>
      <c r="N1555" s="1">
        <v>110495</v>
      </c>
      <c r="O1555" s="1">
        <v>0</v>
      </c>
      <c r="P1555" s="1">
        <v>0</v>
      </c>
      <c r="Q1555" s="1">
        <v>0</v>
      </c>
      <c r="R1555" s="1">
        <v>1114995</v>
      </c>
      <c r="S1555" s="1">
        <v>554500</v>
      </c>
      <c r="T1555" s="1">
        <v>55.201592832255002</v>
      </c>
      <c r="U1555" t="str">
        <f t="shared" si="24"/>
        <v>Week 4</v>
      </c>
    </row>
    <row r="1556" spans="1:21" x14ac:dyDescent="0.25">
      <c r="A1556" s="1">
        <v>1555</v>
      </c>
      <c r="B1556" s="1" t="s">
        <v>1807</v>
      </c>
      <c r="C1556" s="2">
        <v>46020</v>
      </c>
      <c r="D1556" s="1" t="s">
        <v>53</v>
      </c>
      <c r="E1556" s="1" t="s">
        <v>1530</v>
      </c>
      <c r="F1556" s="1" t="s">
        <v>30</v>
      </c>
      <c r="G1556" s="1" t="s">
        <v>24</v>
      </c>
      <c r="H1556" s="1">
        <v>1</v>
      </c>
      <c r="I1556" s="1" t="s">
        <v>1808</v>
      </c>
      <c r="J1556" s="1"/>
      <c r="K1556" s="1">
        <v>61481120</v>
      </c>
      <c r="L1556" s="1">
        <v>0</v>
      </c>
      <c r="M1556" s="1">
        <v>0</v>
      </c>
      <c r="N1556" s="1">
        <v>6762923.2000000002</v>
      </c>
      <c r="O1556" s="1">
        <v>0</v>
      </c>
      <c r="P1556" s="1">
        <v>0</v>
      </c>
      <c r="Q1556" s="1">
        <v>0</v>
      </c>
      <c r="R1556" s="1">
        <v>68244043.200000003</v>
      </c>
      <c r="S1556" s="1">
        <v>1790720</v>
      </c>
      <c r="T1556" s="1">
        <v>2.9126339923540998</v>
      </c>
      <c r="U1556" t="str">
        <f t="shared" si="24"/>
        <v>Week 4</v>
      </c>
    </row>
    <row r="1557" spans="1:21" x14ac:dyDescent="0.25">
      <c r="A1557" s="1">
        <v>1556</v>
      </c>
      <c r="B1557" s="1" t="s">
        <v>1809</v>
      </c>
      <c r="C1557" s="2">
        <v>46020</v>
      </c>
      <c r="D1557" s="1" t="s">
        <v>53</v>
      </c>
      <c r="E1557" s="1" t="s">
        <v>1530</v>
      </c>
      <c r="F1557" s="1" t="s">
        <v>30</v>
      </c>
      <c r="G1557" s="1" t="s">
        <v>24</v>
      </c>
      <c r="H1557" s="1">
        <v>1</v>
      </c>
      <c r="I1557" s="1" t="s">
        <v>1810</v>
      </c>
      <c r="J1557" s="1"/>
      <c r="K1557" s="1">
        <v>15232632</v>
      </c>
      <c r="L1557" s="1">
        <v>0</v>
      </c>
      <c r="M1557" s="1">
        <v>0</v>
      </c>
      <c r="N1557" s="1">
        <v>1675589.52</v>
      </c>
      <c r="O1557" s="1">
        <v>0</v>
      </c>
      <c r="P1557" s="1">
        <v>0</v>
      </c>
      <c r="Q1557" s="1">
        <v>0</v>
      </c>
      <c r="R1557" s="1">
        <v>16908221.52</v>
      </c>
      <c r="S1557" s="1">
        <v>9295385.5999999996</v>
      </c>
      <c r="T1557" s="1">
        <v>61.02284621594</v>
      </c>
      <c r="U1557" t="str">
        <f t="shared" si="24"/>
        <v>Week 4</v>
      </c>
    </row>
    <row r="1558" spans="1:21" x14ac:dyDescent="0.25">
      <c r="A1558" s="1">
        <v>1557</v>
      </c>
      <c r="B1558" s="1" t="s">
        <v>1811</v>
      </c>
      <c r="C1558" s="2">
        <v>46020</v>
      </c>
      <c r="D1558" s="1" t="s">
        <v>53</v>
      </c>
      <c r="E1558" s="1" t="s">
        <v>1530</v>
      </c>
      <c r="F1558" s="1" t="s">
        <v>30</v>
      </c>
      <c r="G1558" s="1" t="s">
        <v>24</v>
      </c>
      <c r="H1558" s="1">
        <v>1</v>
      </c>
      <c r="I1558" s="1" t="s">
        <v>1812</v>
      </c>
      <c r="J1558" s="1"/>
      <c r="K1558" s="1">
        <v>28840000</v>
      </c>
      <c r="L1558" s="1">
        <v>0</v>
      </c>
      <c r="M1558" s="1">
        <v>0</v>
      </c>
      <c r="N1558" s="1">
        <v>3172400</v>
      </c>
      <c r="O1558" s="1">
        <v>0</v>
      </c>
      <c r="P1558" s="1">
        <v>0</v>
      </c>
      <c r="Q1558" s="1">
        <v>0</v>
      </c>
      <c r="R1558" s="1">
        <v>32012400</v>
      </c>
      <c r="S1558" s="1">
        <v>-160000</v>
      </c>
      <c r="T1558" s="1">
        <v>-0.55478502080444003</v>
      </c>
      <c r="U1558" t="str">
        <f t="shared" si="24"/>
        <v>Week 4</v>
      </c>
    </row>
    <row r="1559" spans="1:21" x14ac:dyDescent="0.25">
      <c r="A1559" s="1">
        <v>1558</v>
      </c>
      <c r="B1559" s="1" t="s">
        <v>1813</v>
      </c>
      <c r="C1559" s="2">
        <v>46020</v>
      </c>
      <c r="D1559" s="1" t="s">
        <v>21</v>
      </c>
      <c r="E1559" s="1" t="s">
        <v>22</v>
      </c>
      <c r="F1559" s="1" t="s">
        <v>30</v>
      </c>
      <c r="G1559" s="1" t="s">
        <v>24</v>
      </c>
      <c r="H1559" s="1">
        <v>1</v>
      </c>
      <c r="I1559" s="1" t="s">
        <v>1814</v>
      </c>
      <c r="J1559" s="1"/>
      <c r="K1559" s="1">
        <v>5299311</v>
      </c>
      <c r="L1559" s="1">
        <v>0</v>
      </c>
      <c r="M1559" s="1">
        <v>0</v>
      </c>
      <c r="N1559" s="1">
        <v>582924.21</v>
      </c>
      <c r="O1559" s="1">
        <v>0</v>
      </c>
      <c r="P1559" s="1">
        <v>0</v>
      </c>
      <c r="Q1559" s="1">
        <v>0</v>
      </c>
      <c r="R1559" s="1">
        <v>5882235.21</v>
      </c>
      <c r="S1559" s="1">
        <v>1904101.9627026999</v>
      </c>
      <c r="T1559" s="1">
        <v>35.931123172478998</v>
      </c>
      <c r="U1559" t="str">
        <f t="shared" si="24"/>
        <v>Week 4</v>
      </c>
    </row>
    <row r="1560" spans="1:21" x14ac:dyDescent="0.25">
      <c r="A1560" s="1">
        <v>1559</v>
      </c>
      <c r="B1560" s="1" t="s">
        <v>1815</v>
      </c>
      <c r="C1560" s="2">
        <v>46020</v>
      </c>
      <c r="D1560" s="1" t="s">
        <v>306</v>
      </c>
      <c r="E1560" s="1" t="s">
        <v>1281</v>
      </c>
      <c r="F1560" s="1" t="s">
        <v>30</v>
      </c>
      <c r="G1560" s="1" t="s">
        <v>24</v>
      </c>
      <c r="H1560" s="1">
        <v>1</v>
      </c>
      <c r="I1560" s="1" t="s">
        <v>1816</v>
      </c>
      <c r="J1560" s="1" t="s">
        <v>56</v>
      </c>
      <c r="K1560" s="1">
        <v>266741020</v>
      </c>
      <c r="L1560" s="1">
        <v>0</v>
      </c>
      <c r="M1560" s="1">
        <v>0</v>
      </c>
      <c r="N1560" s="1">
        <v>29341512.199999999</v>
      </c>
      <c r="O1560" s="1">
        <v>0</v>
      </c>
      <c r="P1560" s="1">
        <v>0</v>
      </c>
      <c r="Q1560" s="1">
        <v>0</v>
      </c>
      <c r="R1560" s="1">
        <v>296082532.19999999</v>
      </c>
      <c r="S1560" s="1">
        <v>7769160</v>
      </c>
      <c r="T1560" s="1">
        <v>2.9126228879233</v>
      </c>
      <c r="U1560" t="str">
        <f t="shared" si="24"/>
        <v>Week 4</v>
      </c>
    </row>
    <row r="1561" spans="1:21" x14ac:dyDescent="0.25">
      <c r="A1561" s="1">
        <v>1560</v>
      </c>
      <c r="B1561" s="1" t="s">
        <v>2283</v>
      </c>
      <c r="C1561" s="2">
        <v>46020</v>
      </c>
      <c r="D1561" s="1" t="s">
        <v>2210</v>
      </c>
      <c r="E1561" s="1" t="s">
        <v>1675</v>
      </c>
      <c r="F1561" s="1" t="s">
        <v>23</v>
      </c>
      <c r="G1561" s="1" t="s">
        <v>24</v>
      </c>
      <c r="H1561" s="1">
        <v>1</v>
      </c>
      <c r="I1561" s="1" t="s">
        <v>2284</v>
      </c>
      <c r="J1561" s="1"/>
      <c r="K1561" s="1">
        <v>58003564</v>
      </c>
      <c r="L1561" s="1">
        <v>0</v>
      </c>
      <c r="M1561" s="1">
        <v>0</v>
      </c>
      <c r="N1561" s="1">
        <v>6380392.04</v>
      </c>
      <c r="O1561" s="1">
        <v>0</v>
      </c>
      <c r="P1561" s="1">
        <v>0</v>
      </c>
      <c r="Q1561" s="1">
        <v>0</v>
      </c>
      <c r="R1561" s="1">
        <v>64383956.039999999</v>
      </c>
      <c r="S1561" s="1">
        <v>-1392177.2612612001</v>
      </c>
      <c r="T1561" s="1">
        <v>-2.4001581372849001</v>
      </c>
      <c r="U1561" t="str">
        <f t="shared" si="24"/>
        <v>Week 4</v>
      </c>
    </row>
    <row r="1562" spans="1:21" x14ac:dyDescent="0.25">
      <c r="A1562" s="1">
        <v>1561</v>
      </c>
      <c r="B1562" s="1" t="s">
        <v>1817</v>
      </c>
      <c r="C1562" s="2">
        <v>46020</v>
      </c>
      <c r="D1562" s="1" t="s">
        <v>53</v>
      </c>
      <c r="E1562" s="1" t="s">
        <v>1530</v>
      </c>
      <c r="F1562" s="1" t="s">
        <v>39</v>
      </c>
      <c r="G1562" s="1" t="s">
        <v>24</v>
      </c>
      <c r="H1562" s="1">
        <v>1</v>
      </c>
      <c r="I1562" s="1" t="s">
        <v>1818</v>
      </c>
      <c r="J1562" s="1"/>
      <c r="K1562" s="1">
        <v>64965000</v>
      </c>
      <c r="L1562" s="1">
        <v>0</v>
      </c>
      <c r="M1562" s="1">
        <v>0</v>
      </c>
      <c r="N1562" s="1">
        <v>7146150</v>
      </c>
      <c r="O1562" s="1">
        <v>0</v>
      </c>
      <c r="P1562" s="1">
        <v>0</v>
      </c>
      <c r="Q1562" s="1">
        <v>0</v>
      </c>
      <c r="R1562" s="1">
        <v>72111150</v>
      </c>
      <c r="S1562" s="1">
        <v>19397385</v>
      </c>
      <c r="T1562" s="1">
        <v>29.858208265988999</v>
      </c>
      <c r="U1562" t="str">
        <f t="shared" si="24"/>
        <v>Week 4</v>
      </c>
    </row>
    <row r="1563" spans="1:21" x14ac:dyDescent="0.25">
      <c r="A1563" s="1">
        <v>1562</v>
      </c>
      <c r="B1563" s="1" t="s">
        <v>1819</v>
      </c>
      <c r="C1563" s="2">
        <v>46020</v>
      </c>
      <c r="D1563" s="1" t="s">
        <v>53</v>
      </c>
      <c r="E1563" s="1" t="s">
        <v>1530</v>
      </c>
      <c r="F1563" s="1" t="s">
        <v>30</v>
      </c>
      <c r="G1563" s="1" t="s">
        <v>24</v>
      </c>
      <c r="H1563" s="1">
        <v>1</v>
      </c>
      <c r="I1563" s="1" t="s">
        <v>2485</v>
      </c>
      <c r="J1563" s="1" t="s">
        <v>56</v>
      </c>
      <c r="K1563" s="1">
        <v>205907800</v>
      </c>
      <c r="L1563" s="1">
        <v>0</v>
      </c>
      <c r="M1563" s="1">
        <v>0</v>
      </c>
      <c r="N1563" s="1">
        <v>0</v>
      </c>
      <c r="O1563" s="1">
        <v>0</v>
      </c>
      <c r="P1563" s="1">
        <v>0</v>
      </c>
      <c r="Q1563" s="1">
        <v>0</v>
      </c>
      <c r="R1563" s="1">
        <v>205907800</v>
      </c>
      <c r="S1563" s="1">
        <v>50697485</v>
      </c>
      <c r="T1563" s="1">
        <v>24.621449503127</v>
      </c>
      <c r="U1563" t="str">
        <f t="shared" si="24"/>
        <v>Week 4</v>
      </c>
    </row>
    <row r="1564" spans="1:21" x14ac:dyDescent="0.25">
      <c r="A1564" s="1">
        <v>1563</v>
      </c>
      <c r="B1564" s="1" t="s">
        <v>1820</v>
      </c>
      <c r="C1564" s="2">
        <v>46020</v>
      </c>
      <c r="D1564" s="1" t="s">
        <v>53</v>
      </c>
      <c r="E1564" s="1" t="s">
        <v>1530</v>
      </c>
      <c r="F1564" s="1" t="s">
        <v>23</v>
      </c>
      <c r="G1564" s="1" t="s">
        <v>24</v>
      </c>
      <c r="H1564" s="1">
        <v>1</v>
      </c>
      <c r="I1564" s="1" t="s">
        <v>1821</v>
      </c>
      <c r="J1564" s="1"/>
      <c r="K1564" s="1">
        <v>92716360</v>
      </c>
      <c r="L1564" s="1">
        <v>0</v>
      </c>
      <c r="M1564" s="1">
        <v>0</v>
      </c>
      <c r="N1564" s="1">
        <v>10198799.6</v>
      </c>
      <c r="O1564" s="1">
        <v>0</v>
      </c>
      <c r="P1564" s="1">
        <v>0</v>
      </c>
      <c r="Q1564" s="1">
        <v>0</v>
      </c>
      <c r="R1564" s="1">
        <v>102915159.59999999</v>
      </c>
      <c r="S1564" s="1">
        <v>23925369</v>
      </c>
      <c r="T1564" s="1">
        <v>25.804905412594</v>
      </c>
      <c r="U1564" t="str">
        <f t="shared" si="24"/>
        <v>Week 4</v>
      </c>
    </row>
    <row r="1565" spans="1:21" x14ac:dyDescent="0.25">
      <c r="A1565" s="1">
        <v>1564</v>
      </c>
      <c r="B1565" s="1" t="s">
        <v>2285</v>
      </c>
      <c r="C1565" s="2">
        <v>46020</v>
      </c>
      <c r="D1565" s="1" t="s">
        <v>2210</v>
      </c>
      <c r="E1565" s="1" t="s">
        <v>1675</v>
      </c>
      <c r="F1565" s="1" t="s">
        <v>39</v>
      </c>
      <c r="G1565" s="1" t="s">
        <v>24</v>
      </c>
      <c r="H1565" s="1">
        <v>1</v>
      </c>
      <c r="I1565" s="1" t="s">
        <v>2286</v>
      </c>
      <c r="J1565" s="1"/>
      <c r="K1565" s="1">
        <v>206500000</v>
      </c>
      <c r="L1565" s="1">
        <v>0</v>
      </c>
      <c r="M1565" s="1">
        <v>0</v>
      </c>
      <c r="N1565" s="1">
        <v>22715000</v>
      </c>
      <c r="O1565" s="1">
        <v>0</v>
      </c>
      <c r="P1565" s="1">
        <v>0</v>
      </c>
      <c r="Q1565" s="1">
        <v>0</v>
      </c>
      <c r="R1565" s="1">
        <v>229215000</v>
      </c>
      <c r="S1565" s="1">
        <v>156500000</v>
      </c>
      <c r="T1565" s="1">
        <v>75.786924939466999</v>
      </c>
      <c r="U1565" t="str">
        <f t="shared" si="24"/>
        <v>Week 4</v>
      </c>
    </row>
    <row r="1566" spans="1:21" x14ac:dyDescent="0.25">
      <c r="A1566" s="1">
        <v>1565</v>
      </c>
      <c r="B1566" s="1" t="s">
        <v>1822</v>
      </c>
      <c r="C1566" s="2">
        <v>46020</v>
      </c>
      <c r="D1566" s="1" t="s">
        <v>21</v>
      </c>
      <c r="E1566" s="1" t="s">
        <v>22</v>
      </c>
      <c r="F1566" s="1" t="s">
        <v>30</v>
      </c>
      <c r="G1566" s="1" t="s">
        <v>24</v>
      </c>
      <c r="H1566" s="1">
        <v>1</v>
      </c>
      <c r="I1566" s="1" t="s">
        <v>1823</v>
      </c>
      <c r="J1566" s="1" t="s">
        <v>26</v>
      </c>
      <c r="K1566" s="1">
        <v>61288295.460000001</v>
      </c>
      <c r="L1566" s="1">
        <v>0</v>
      </c>
      <c r="M1566" s="1">
        <v>0</v>
      </c>
      <c r="N1566" s="1">
        <v>6741712.5005999999</v>
      </c>
      <c r="O1566" s="1">
        <v>0</v>
      </c>
      <c r="P1566" s="1">
        <v>0</v>
      </c>
      <c r="Q1566" s="1">
        <v>0</v>
      </c>
      <c r="R1566" s="1">
        <v>68030007.960600004</v>
      </c>
      <c r="S1566" s="1">
        <v>28686439.842937</v>
      </c>
      <c r="T1566" s="1">
        <v>46.805739379160002</v>
      </c>
      <c r="U1566" t="str">
        <f t="shared" si="24"/>
        <v>Week 4</v>
      </c>
    </row>
    <row r="1567" spans="1:21" x14ac:dyDescent="0.25">
      <c r="A1567" s="1">
        <v>1566</v>
      </c>
      <c r="B1567" s="1" t="s">
        <v>1824</v>
      </c>
      <c r="C1567" s="2">
        <v>46020</v>
      </c>
      <c r="D1567" s="1" t="s">
        <v>169</v>
      </c>
      <c r="E1567" s="1" t="s">
        <v>1281</v>
      </c>
      <c r="F1567" s="1" t="s">
        <v>30</v>
      </c>
      <c r="G1567" s="1" t="s">
        <v>24</v>
      </c>
      <c r="H1567" s="1">
        <v>1</v>
      </c>
      <c r="I1567" s="1" t="s">
        <v>1825</v>
      </c>
      <c r="J1567" s="1" t="s">
        <v>26</v>
      </c>
      <c r="K1567" s="1">
        <v>4521330</v>
      </c>
      <c r="L1567" s="1">
        <v>0</v>
      </c>
      <c r="M1567" s="1">
        <v>0</v>
      </c>
      <c r="N1567" s="1">
        <v>497346.3</v>
      </c>
      <c r="O1567" s="1">
        <v>0</v>
      </c>
      <c r="P1567" s="1">
        <v>0</v>
      </c>
      <c r="Q1567" s="1">
        <v>0</v>
      </c>
      <c r="R1567" s="1">
        <v>5018676.3</v>
      </c>
      <c r="S1567" s="1">
        <v>651132</v>
      </c>
      <c r="T1567" s="1">
        <v>14.401337659494001</v>
      </c>
      <c r="U1567" t="str">
        <f t="shared" si="24"/>
        <v>Week 4</v>
      </c>
    </row>
    <row r="1568" spans="1:21" x14ac:dyDescent="0.25">
      <c r="A1568" s="1">
        <v>1567</v>
      </c>
      <c r="B1568" s="1" t="s">
        <v>1826</v>
      </c>
      <c r="C1568" s="2">
        <v>46020</v>
      </c>
      <c r="D1568" s="1" t="s">
        <v>33</v>
      </c>
      <c r="E1568" s="1" t="s">
        <v>34</v>
      </c>
      <c r="F1568" s="1" t="s">
        <v>30</v>
      </c>
      <c r="G1568" s="1" t="s">
        <v>24</v>
      </c>
      <c r="H1568" s="1">
        <v>1</v>
      </c>
      <c r="I1568" s="1" t="s">
        <v>1754</v>
      </c>
      <c r="J1568" s="1"/>
      <c r="K1568" s="1">
        <v>73153542</v>
      </c>
      <c r="L1568" s="1">
        <v>0</v>
      </c>
      <c r="M1568" s="1">
        <v>0</v>
      </c>
      <c r="N1568" s="1">
        <v>8046889.6200000001</v>
      </c>
      <c r="O1568" s="1">
        <v>0</v>
      </c>
      <c r="P1568" s="1">
        <v>0</v>
      </c>
      <c r="Q1568" s="1">
        <v>0</v>
      </c>
      <c r="R1568" s="1">
        <v>81200431.620000005</v>
      </c>
      <c r="S1568" s="1">
        <v>13971295.489499999</v>
      </c>
      <c r="T1568" s="1">
        <v>19.098590591143001</v>
      </c>
      <c r="U1568" t="str">
        <f t="shared" si="24"/>
        <v>Week 4</v>
      </c>
    </row>
    <row r="1569" spans="1:21" x14ac:dyDescent="0.25">
      <c r="A1569" s="1">
        <v>1568</v>
      </c>
      <c r="B1569" s="1" t="s">
        <v>1827</v>
      </c>
      <c r="C1569" s="2">
        <v>46020</v>
      </c>
      <c r="D1569" s="1" t="s">
        <v>511</v>
      </c>
      <c r="E1569" s="1" t="s">
        <v>1530</v>
      </c>
      <c r="F1569" s="1" t="s">
        <v>30</v>
      </c>
      <c r="G1569" s="1" t="s">
        <v>24</v>
      </c>
      <c r="H1569" s="1">
        <v>1</v>
      </c>
      <c r="I1569" s="1" t="s">
        <v>1828</v>
      </c>
      <c r="J1569" s="1"/>
      <c r="K1569" s="1">
        <v>62307650</v>
      </c>
      <c r="L1569" s="1">
        <v>0</v>
      </c>
      <c r="M1569" s="1">
        <v>0</v>
      </c>
      <c r="N1569" s="1">
        <v>6853841.5</v>
      </c>
      <c r="O1569" s="1">
        <v>0</v>
      </c>
      <c r="P1569" s="1">
        <v>0</v>
      </c>
      <c r="Q1569" s="1">
        <v>0</v>
      </c>
      <c r="R1569" s="1">
        <v>69161491.5</v>
      </c>
      <c r="S1569" s="1">
        <v>8284820</v>
      </c>
      <c r="T1569" s="1">
        <v>13.296633719936001</v>
      </c>
      <c r="U1569" t="str">
        <f t="shared" si="24"/>
        <v>Week 4</v>
      </c>
    </row>
    <row r="1570" spans="1:21" x14ac:dyDescent="0.25">
      <c r="A1570" s="1">
        <v>1569</v>
      </c>
      <c r="B1570" s="1" t="s">
        <v>1829</v>
      </c>
      <c r="C1570" s="2">
        <v>46018</v>
      </c>
      <c r="D1570" s="1" t="s">
        <v>33</v>
      </c>
      <c r="E1570" s="1" t="s">
        <v>34</v>
      </c>
      <c r="F1570" s="1" t="s">
        <v>30</v>
      </c>
      <c r="G1570" s="1" t="s">
        <v>24</v>
      </c>
      <c r="H1570" s="1">
        <v>1</v>
      </c>
      <c r="I1570" s="1" t="s">
        <v>1830</v>
      </c>
      <c r="J1570" s="1"/>
      <c r="K1570" s="1">
        <v>289100</v>
      </c>
      <c r="L1570" s="1">
        <v>0</v>
      </c>
      <c r="M1570" s="1">
        <v>0</v>
      </c>
      <c r="N1570" s="1">
        <v>31801</v>
      </c>
      <c r="O1570" s="1">
        <v>0</v>
      </c>
      <c r="P1570" s="1">
        <v>0</v>
      </c>
      <c r="Q1570" s="1">
        <v>0</v>
      </c>
      <c r="R1570" s="1">
        <v>320901</v>
      </c>
      <c r="S1570" s="1">
        <v>44600</v>
      </c>
      <c r="T1570" s="1">
        <v>15.427187824282001</v>
      </c>
      <c r="U1570" t="str">
        <f t="shared" si="24"/>
        <v>Week 4</v>
      </c>
    </row>
    <row r="1571" spans="1:21" x14ac:dyDescent="0.25">
      <c r="A1571" s="1">
        <v>1570</v>
      </c>
      <c r="B1571" s="1" t="s">
        <v>1831</v>
      </c>
      <c r="C1571" s="2">
        <v>46018</v>
      </c>
      <c r="D1571" s="1" t="s">
        <v>21</v>
      </c>
      <c r="E1571" s="1" t="s">
        <v>22</v>
      </c>
      <c r="F1571" s="1" t="s">
        <v>30</v>
      </c>
      <c r="G1571" s="1" t="s">
        <v>24</v>
      </c>
      <c r="H1571" s="1">
        <v>1</v>
      </c>
      <c r="I1571" s="1" t="s">
        <v>1832</v>
      </c>
      <c r="J1571" s="1"/>
      <c r="K1571" s="1">
        <v>491225</v>
      </c>
      <c r="L1571" s="1">
        <v>0</v>
      </c>
      <c r="M1571" s="1">
        <v>0</v>
      </c>
      <c r="N1571" s="1">
        <v>54034.75</v>
      </c>
      <c r="O1571" s="1">
        <v>0</v>
      </c>
      <c r="P1571" s="1">
        <v>0</v>
      </c>
      <c r="Q1571" s="1">
        <v>0</v>
      </c>
      <c r="R1571" s="1">
        <v>545259.75</v>
      </c>
      <c r="S1571" s="1">
        <v>205187.08</v>
      </c>
      <c r="T1571" s="1">
        <v>41.770488065549998</v>
      </c>
      <c r="U1571" t="str">
        <f t="shared" si="24"/>
        <v>Week 4</v>
      </c>
    </row>
    <row r="1572" spans="1:21" x14ac:dyDescent="0.25">
      <c r="A1572" s="1">
        <v>1571</v>
      </c>
      <c r="B1572" s="1" t="s">
        <v>1833</v>
      </c>
      <c r="C1572" s="2">
        <v>46018</v>
      </c>
      <c r="D1572" s="1" t="s">
        <v>21</v>
      </c>
      <c r="E1572" s="1" t="s">
        <v>22</v>
      </c>
      <c r="F1572" s="1" t="s">
        <v>30</v>
      </c>
      <c r="G1572" s="1" t="s">
        <v>24</v>
      </c>
      <c r="H1572" s="1">
        <v>1</v>
      </c>
      <c r="I1572" s="1" t="s">
        <v>1834</v>
      </c>
      <c r="J1572" s="1"/>
      <c r="K1572" s="1">
        <v>4111260</v>
      </c>
      <c r="L1572" s="1">
        <v>0</v>
      </c>
      <c r="M1572" s="1">
        <v>0</v>
      </c>
      <c r="N1572" s="1">
        <v>452238.6</v>
      </c>
      <c r="O1572" s="1">
        <v>0</v>
      </c>
      <c r="P1572" s="1">
        <v>0</v>
      </c>
      <c r="Q1572" s="1">
        <v>0</v>
      </c>
      <c r="R1572" s="1">
        <v>4563498.5999999996</v>
      </c>
      <c r="S1572" s="1">
        <v>42100.800000000003</v>
      </c>
      <c r="T1572" s="1">
        <v>1.0240364267888999</v>
      </c>
      <c r="U1572" t="str">
        <f t="shared" si="24"/>
        <v>Week 4</v>
      </c>
    </row>
    <row r="1573" spans="1:21" x14ac:dyDescent="0.25">
      <c r="A1573" s="1">
        <v>1572</v>
      </c>
      <c r="B1573" s="1" t="s">
        <v>1835</v>
      </c>
      <c r="C1573" s="2">
        <v>46018</v>
      </c>
      <c r="D1573" s="1" t="s">
        <v>53</v>
      </c>
      <c r="E1573" s="1" t="s">
        <v>1530</v>
      </c>
      <c r="F1573" s="1" t="s">
        <v>23</v>
      </c>
      <c r="G1573" s="1" t="s">
        <v>24</v>
      </c>
      <c r="H1573" s="1">
        <v>1</v>
      </c>
      <c r="I1573" s="1" t="s">
        <v>1725</v>
      </c>
      <c r="J1573" s="1"/>
      <c r="K1573" s="1">
        <v>71000000</v>
      </c>
      <c r="L1573" s="1">
        <v>0</v>
      </c>
      <c r="M1573" s="1">
        <v>0</v>
      </c>
      <c r="N1573" s="1">
        <v>7810000</v>
      </c>
      <c r="O1573" s="1">
        <v>0</v>
      </c>
      <c r="P1573" s="1">
        <v>0</v>
      </c>
      <c r="Q1573" s="1">
        <v>0</v>
      </c>
      <c r="R1573" s="1">
        <v>78810000</v>
      </c>
      <c r="S1573" s="1">
        <v>8837837.8399999999</v>
      </c>
      <c r="T1573" s="1">
        <v>12.447658929577001</v>
      </c>
      <c r="U1573" t="str">
        <f t="shared" si="24"/>
        <v>Week 4</v>
      </c>
    </row>
    <row r="1574" spans="1:21" x14ac:dyDescent="0.25">
      <c r="A1574" s="1">
        <v>1573</v>
      </c>
      <c r="B1574" s="1" t="s">
        <v>1836</v>
      </c>
      <c r="C1574" s="2">
        <v>46018</v>
      </c>
      <c r="D1574" s="1" t="s">
        <v>21</v>
      </c>
      <c r="E1574" s="1" t="s">
        <v>22</v>
      </c>
      <c r="F1574" s="1" t="s">
        <v>30</v>
      </c>
      <c r="G1574" s="1" t="s">
        <v>24</v>
      </c>
      <c r="H1574" s="1">
        <v>1</v>
      </c>
      <c r="I1574" s="1" t="s">
        <v>1837</v>
      </c>
      <c r="J1574" s="1"/>
      <c r="K1574" s="1">
        <v>1679000</v>
      </c>
      <c r="L1574" s="1">
        <v>0</v>
      </c>
      <c r="M1574" s="1">
        <v>0</v>
      </c>
      <c r="N1574" s="1">
        <v>184690</v>
      </c>
      <c r="O1574" s="1">
        <v>0</v>
      </c>
      <c r="P1574" s="1">
        <v>0</v>
      </c>
      <c r="Q1574" s="1">
        <v>0</v>
      </c>
      <c r="R1574" s="1">
        <v>1863690</v>
      </c>
      <c r="S1574" s="1">
        <v>229000</v>
      </c>
      <c r="T1574" s="1">
        <v>13.639070875521</v>
      </c>
      <c r="U1574" t="str">
        <f t="shared" si="24"/>
        <v>Week 4</v>
      </c>
    </row>
    <row r="1575" spans="1:21" x14ac:dyDescent="0.25">
      <c r="A1575" s="1">
        <v>1574</v>
      </c>
      <c r="B1575" s="1" t="s">
        <v>1838</v>
      </c>
      <c r="C1575" s="2">
        <v>46018</v>
      </c>
      <c r="D1575" s="1" t="s">
        <v>33</v>
      </c>
      <c r="E1575" s="1" t="s">
        <v>34</v>
      </c>
      <c r="F1575" s="1" t="s">
        <v>30</v>
      </c>
      <c r="G1575" s="1" t="s">
        <v>24</v>
      </c>
      <c r="H1575" s="1">
        <v>1</v>
      </c>
      <c r="I1575" s="1" t="s">
        <v>1839</v>
      </c>
      <c r="J1575" s="1"/>
      <c r="K1575" s="1">
        <v>37899800</v>
      </c>
      <c r="L1575" s="1">
        <v>0</v>
      </c>
      <c r="M1575" s="1">
        <v>0</v>
      </c>
      <c r="N1575" s="1">
        <v>4168978</v>
      </c>
      <c r="O1575" s="1">
        <v>0</v>
      </c>
      <c r="P1575" s="1">
        <v>0</v>
      </c>
      <c r="Q1575" s="1">
        <v>0</v>
      </c>
      <c r="R1575" s="1">
        <v>42068778</v>
      </c>
      <c r="S1575" s="1">
        <v>1187021.1711711001</v>
      </c>
      <c r="T1575" s="1">
        <v>3.1319985096784002</v>
      </c>
      <c r="U1575" t="str">
        <f t="shared" si="24"/>
        <v>Week 4</v>
      </c>
    </row>
    <row r="1576" spans="1:21" x14ac:dyDescent="0.25">
      <c r="A1576" s="1">
        <v>1575</v>
      </c>
      <c r="B1576" s="1" t="s">
        <v>1840</v>
      </c>
      <c r="C1576" s="2">
        <v>46018</v>
      </c>
      <c r="D1576" s="1" t="s">
        <v>33</v>
      </c>
      <c r="E1576" s="1" t="s">
        <v>34</v>
      </c>
      <c r="F1576" s="1" t="s">
        <v>30</v>
      </c>
      <c r="G1576" s="1" t="s">
        <v>24</v>
      </c>
      <c r="H1576" s="1">
        <v>1</v>
      </c>
      <c r="I1576" s="1" t="s">
        <v>1841</v>
      </c>
      <c r="J1576" s="1"/>
      <c r="K1576" s="1">
        <v>880000</v>
      </c>
      <c r="L1576" s="1">
        <v>0</v>
      </c>
      <c r="M1576" s="1">
        <v>0</v>
      </c>
      <c r="N1576" s="1">
        <v>96800</v>
      </c>
      <c r="O1576" s="1">
        <v>0</v>
      </c>
      <c r="P1576" s="1">
        <v>0</v>
      </c>
      <c r="Q1576" s="1">
        <v>0</v>
      </c>
      <c r="R1576" s="1">
        <v>976800</v>
      </c>
      <c r="S1576" s="1">
        <v>20260</v>
      </c>
      <c r="T1576" s="1">
        <v>2.3022727272727002</v>
      </c>
      <c r="U1576" t="str">
        <f t="shared" si="24"/>
        <v>Week 4</v>
      </c>
    </row>
    <row r="1577" spans="1:21" x14ac:dyDescent="0.25">
      <c r="A1577" s="1">
        <v>1576</v>
      </c>
      <c r="B1577" s="1" t="s">
        <v>1842</v>
      </c>
      <c r="C1577" s="2">
        <v>46018</v>
      </c>
      <c r="D1577" s="1" t="s">
        <v>169</v>
      </c>
      <c r="E1577" s="1" t="s">
        <v>1281</v>
      </c>
      <c r="F1577" s="1" t="s">
        <v>30</v>
      </c>
      <c r="G1577" s="1" t="s">
        <v>24</v>
      </c>
      <c r="H1577" s="1">
        <v>1</v>
      </c>
      <c r="I1577" s="1" t="s">
        <v>1843</v>
      </c>
      <c r="J1577" s="1" t="s">
        <v>26</v>
      </c>
      <c r="K1577" s="1">
        <v>50039400</v>
      </c>
      <c r="L1577" s="1">
        <v>0</v>
      </c>
      <c r="M1577" s="1">
        <v>0</v>
      </c>
      <c r="N1577" s="1">
        <v>5504334</v>
      </c>
      <c r="O1577" s="1">
        <v>0</v>
      </c>
      <c r="P1577" s="1">
        <v>0</v>
      </c>
      <c r="Q1577" s="1">
        <v>0</v>
      </c>
      <c r="R1577" s="1">
        <v>55543734</v>
      </c>
      <c r="S1577" s="1">
        <v>3186900</v>
      </c>
      <c r="T1577" s="1">
        <v>6.3687814002565997</v>
      </c>
      <c r="U1577" t="str">
        <f t="shared" si="24"/>
        <v>Week 4</v>
      </c>
    </row>
    <row r="1578" spans="1:21" x14ac:dyDescent="0.25">
      <c r="A1578" s="1">
        <v>1577</v>
      </c>
      <c r="B1578" s="1" t="s">
        <v>1844</v>
      </c>
      <c r="C1578" s="2">
        <v>46018</v>
      </c>
      <c r="D1578" s="1" t="s">
        <v>21</v>
      </c>
      <c r="E1578" s="1" t="s">
        <v>22</v>
      </c>
      <c r="F1578" s="1" t="s">
        <v>30</v>
      </c>
      <c r="G1578" s="1" t="s">
        <v>24</v>
      </c>
      <c r="H1578" s="1">
        <v>1</v>
      </c>
      <c r="I1578" s="1" t="s">
        <v>1845</v>
      </c>
      <c r="J1578" s="1" t="s">
        <v>26</v>
      </c>
      <c r="K1578" s="1">
        <v>13671000</v>
      </c>
      <c r="L1578" s="1">
        <v>0</v>
      </c>
      <c r="M1578" s="1">
        <v>0</v>
      </c>
      <c r="N1578" s="1">
        <v>1503810</v>
      </c>
      <c r="O1578" s="1">
        <v>0</v>
      </c>
      <c r="P1578" s="1">
        <v>0</v>
      </c>
      <c r="Q1578" s="1">
        <v>0</v>
      </c>
      <c r="R1578" s="1">
        <v>15174810</v>
      </c>
      <c r="S1578" s="1">
        <v>3736945.9459500001</v>
      </c>
      <c r="T1578" s="1">
        <v>27.334839777266001</v>
      </c>
      <c r="U1578" t="str">
        <f t="shared" si="24"/>
        <v>Week 4</v>
      </c>
    </row>
    <row r="1579" spans="1:21" x14ac:dyDescent="0.25">
      <c r="A1579" s="1">
        <v>1578</v>
      </c>
      <c r="B1579" s="1" t="s">
        <v>1846</v>
      </c>
      <c r="C1579" s="2">
        <v>46018</v>
      </c>
      <c r="D1579" s="1" t="s">
        <v>432</v>
      </c>
      <c r="E1579" s="1" t="s">
        <v>99</v>
      </c>
      <c r="F1579" s="1" t="s">
        <v>30</v>
      </c>
      <c r="G1579" s="1" t="s">
        <v>24</v>
      </c>
      <c r="H1579" s="1">
        <v>1</v>
      </c>
      <c r="I1579" s="1" t="s">
        <v>1847</v>
      </c>
      <c r="J1579" s="1"/>
      <c r="K1579" s="1">
        <v>26265000</v>
      </c>
      <c r="L1579" s="1">
        <v>0</v>
      </c>
      <c r="M1579" s="1">
        <v>0</v>
      </c>
      <c r="N1579" s="1">
        <v>2889150</v>
      </c>
      <c r="O1579" s="1">
        <v>0</v>
      </c>
      <c r="P1579" s="1">
        <v>0</v>
      </c>
      <c r="Q1579" s="1">
        <v>0</v>
      </c>
      <c r="R1579" s="1">
        <v>29154150</v>
      </c>
      <c r="S1579" s="1">
        <v>765000</v>
      </c>
      <c r="T1579" s="1">
        <v>2.9126213592233001</v>
      </c>
      <c r="U1579" t="str">
        <f t="shared" si="24"/>
        <v>Week 4</v>
      </c>
    </row>
    <row r="1580" spans="1:21" x14ac:dyDescent="0.25">
      <c r="A1580" s="1">
        <v>1579</v>
      </c>
      <c r="B1580" s="1" t="s">
        <v>1848</v>
      </c>
      <c r="C1580" s="2">
        <v>46018</v>
      </c>
      <c r="D1580" s="1" t="s">
        <v>169</v>
      </c>
      <c r="E1580" s="1" t="s">
        <v>1281</v>
      </c>
      <c r="F1580" s="1" t="s">
        <v>23</v>
      </c>
      <c r="G1580" s="1" t="s">
        <v>24</v>
      </c>
      <c r="H1580" s="1">
        <v>1</v>
      </c>
      <c r="I1580" s="1" t="s">
        <v>1849</v>
      </c>
      <c r="J1580" s="1" t="s">
        <v>56</v>
      </c>
      <c r="K1580" s="1">
        <v>161178750</v>
      </c>
      <c r="L1580" s="1">
        <v>0</v>
      </c>
      <c r="M1580" s="1">
        <v>0</v>
      </c>
      <c r="N1580" s="1">
        <v>17729662.5</v>
      </c>
      <c r="O1580" s="1">
        <v>0</v>
      </c>
      <c r="P1580" s="1">
        <v>0</v>
      </c>
      <c r="Q1580" s="1">
        <v>0</v>
      </c>
      <c r="R1580" s="1">
        <v>178908412.5</v>
      </c>
      <c r="S1580" s="1">
        <v>32230750</v>
      </c>
      <c r="T1580" s="1">
        <v>19.996897854090999</v>
      </c>
      <c r="U1580" t="str">
        <f t="shared" si="24"/>
        <v>Week 4</v>
      </c>
    </row>
    <row r="1581" spans="1:21" x14ac:dyDescent="0.25">
      <c r="A1581" s="1">
        <v>1580</v>
      </c>
      <c r="B1581" s="1" t="s">
        <v>1850</v>
      </c>
      <c r="C1581" s="2">
        <v>46017</v>
      </c>
      <c r="D1581" s="1" t="s">
        <v>112</v>
      </c>
      <c r="E1581" s="1" t="s">
        <v>1530</v>
      </c>
      <c r="F1581" s="1" t="s">
        <v>23</v>
      </c>
      <c r="G1581" s="1" t="s">
        <v>24</v>
      </c>
      <c r="H1581" s="1">
        <v>1</v>
      </c>
      <c r="I1581" s="1" t="s">
        <v>1851</v>
      </c>
      <c r="J1581" s="1"/>
      <c r="K1581" s="1">
        <v>63160489</v>
      </c>
      <c r="L1581" s="1">
        <v>0</v>
      </c>
      <c r="M1581" s="1">
        <v>0</v>
      </c>
      <c r="N1581" s="1">
        <v>6947653.79</v>
      </c>
      <c r="O1581" s="1">
        <v>0</v>
      </c>
      <c r="P1581" s="1">
        <v>0</v>
      </c>
      <c r="Q1581" s="1">
        <v>0</v>
      </c>
      <c r="R1581" s="1">
        <v>70108142.790000007</v>
      </c>
      <c r="S1581" s="1">
        <v>8709489</v>
      </c>
      <c r="T1581" s="1">
        <v>13.789457836527999</v>
      </c>
      <c r="U1581" t="str">
        <f t="shared" si="24"/>
        <v>Week 4</v>
      </c>
    </row>
    <row r="1582" spans="1:21" x14ac:dyDescent="0.25">
      <c r="A1582" s="1">
        <v>1581</v>
      </c>
      <c r="B1582" s="1" t="s">
        <v>1852</v>
      </c>
      <c r="C1582" s="2">
        <v>46017</v>
      </c>
      <c r="D1582" s="1" t="s">
        <v>33</v>
      </c>
      <c r="E1582" s="1" t="s">
        <v>34</v>
      </c>
      <c r="F1582" s="1" t="s">
        <v>30</v>
      </c>
      <c r="G1582" s="1" t="s">
        <v>24</v>
      </c>
      <c r="H1582" s="1">
        <v>1</v>
      </c>
      <c r="I1582" s="1" t="s">
        <v>1853</v>
      </c>
      <c r="J1582" s="1" t="s">
        <v>26</v>
      </c>
      <c r="K1582" s="1">
        <v>5141864</v>
      </c>
      <c r="L1582" s="1">
        <v>0</v>
      </c>
      <c r="M1582" s="1">
        <v>0</v>
      </c>
      <c r="N1582" s="1">
        <v>565605.04</v>
      </c>
      <c r="O1582" s="1">
        <v>0</v>
      </c>
      <c r="P1582" s="1">
        <v>0</v>
      </c>
      <c r="Q1582" s="1">
        <v>0</v>
      </c>
      <c r="R1582" s="1">
        <v>5707469.04</v>
      </c>
      <c r="S1582" s="1">
        <v>1283040.5765766001</v>
      </c>
      <c r="T1582" s="1">
        <v>24.952829879915001</v>
      </c>
      <c r="U1582" t="str">
        <f t="shared" si="24"/>
        <v>Week 4</v>
      </c>
    </row>
    <row r="1583" spans="1:21" x14ac:dyDescent="0.25">
      <c r="A1583" s="1">
        <v>1582</v>
      </c>
      <c r="B1583" s="1" t="s">
        <v>1854</v>
      </c>
      <c r="C1583" s="2">
        <v>46017</v>
      </c>
      <c r="D1583" s="1" t="s">
        <v>53</v>
      </c>
      <c r="E1583" s="1" t="s">
        <v>1530</v>
      </c>
      <c r="F1583" s="1" t="s">
        <v>30</v>
      </c>
      <c r="G1583" s="1" t="s">
        <v>24</v>
      </c>
      <c r="H1583" s="1">
        <v>1</v>
      </c>
      <c r="I1583" s="1" t="s">
        <v>1855</v>
      </c>
      <c r="J1583" s="1"/>
      <c r="K1583" s="1">
        <v>1470000</v>
      </c>
      <c r="L1583" s="1">
        <v>0</v>
      </c>
      <c r="M1583" s="1">
        <v>0</v>
      </c>
      <c r="N1583" s="1">
        <v>161700</v>
      </c>
      <c r="O1583" s="1">
        <v>0</v>
      </c>
      <c r="P1583" s="1">
        <v>0</v>
      </c>
      <c r="Q1583" s="1">
        <v>0</v>
      </c>
      <c r="R1583" s="1">
        <v>1631700</v>
      </c>
      <c r="S1583" s="1">
        <v>300000</v>
      </c>
      <c r="T1583" s="1">
        <v>20.408163265306001</v>
      </c>
      <c r="U1583" t="str">
        <f t="shared" si="24"/>
        <v>Week 4</v>
      </c>
    </row>
    <row r="1584" spans="1:21" x14ac:dyDescent="0.25">
      <c r="A1584" s="1">
        <v>1583</v>
      </c>
      <c r="B1584" s="1" t="s">
        <v>1856</v>
      </c>
      <c r="C1584" s="2">
        <v>46017</v>
      </c>
      <c r="D1584" s="1" t="s">
        <v>21</v>
      </c>
      <c r="E1584" s="1" t="s">
        <v>22</v>
      </c>
      <c r="F1584" s="1" t="s">
        <v>30</v>
      </c>
      <c r="G1584" s="1" t="s">
        <v>24</v>
      </c>
      <c r="H1584" s="1">
        <v>1</v>
      </c>
      <c r="I1584" s="1" t="s">
        <v>1857</v>
      </c>
      <c r="J1584" s="1" t="s">
        <v>26</v>
      </c>
      <c r="K1584" s="1">
        <v>57463759</v>
      </c>
      <c r="L1584" s="1">
        <v>0</v>
      </c>
      <c r="M1584" s="1">
        <v>0</v>
      </c>
      <c r="N1584" s="1">
        <v>6321013.4900000002</v>
      </c>
      <c r="O1584" s="1">
        <v>0</v>
      </c>
      <c r="P1584" s="1">
        <v>0</v>
      </c>
      <c r="Q1584" s="1">
        <v>0</v>
      </c>
      <c r="R1584" s="1">
        <v>63784772.490000002</v>
      </c>
      <c r="S1584" s="1">
        <v>1673688</v>
      </c>
      <c r="T1584" s="1">
        <v>2.9125974860085</v>
      </c>
      <c r="U1584" t="str">
        <f t="shared" si="24"/>
        <v>Week 4</v>
      </c>
    </row>
    <row r="1585" spans="1:21" x14ac:dyDescent="0.25">
      <c r="A1585" s="1">
        <v>1584</v>
      </c>
      <c r="B1585" s="1" t="s">
        <v>1858</v>
      </c>
      <c r="C1585" s="2">
        <v>46017</v>
      </c>
      <c r="D1585" s="1" t="s">
        <v>21</v>
      </c>
      <c r="E1585" s="1" t="s">
        <v>22</v>
      </c>
      <c r="F1585" s="1" t="s">
        <v>30</v>
      </c>
      <c r="G1585" s="1" t="s">
        <v>24</v>
      </c>
      <c r="H1585" s="1">
        <v>1</v>
      </c>
      <c r="I1585" s="1" t="s">
        <v>1859</v>
      </c>
      <c r="J1585" s="1"/>
      <c r="K1585" s="1">
        <v>337120</v>
      </c>
      <c r="L1585" s="1">
        <v>0</v>
      </c>
      <c r="M1585" s="1">
        <v>0</v>
      </c>
      <c r="N1585" s="1">
        <v>37083.199999999997</v>
      </c>
      <c r="O1585" s="1">
        <v>0</v>
      </c>
      <c r="P1585" s="1">
        <v>0</v>
      </c>
      <c r="Q1585" s="1">
        <v>0</v>
      </c>
      <c r="R1585" s="1">
        <v>374203.2</v>
      </c>
      <c r="S1585" s="1">
        <v>-369666.62162162003</v>
      </c>
      <c r="T1585" s="1">
        <v>-109.65431348529</v>
      </c>
      <c r="U1585" t="str">
        <f t="shared" si="24"/>
        <v>Week 4</v>
      </c>
    </row>
    <row r="1586" spans="1:21" x14ac:dyDescent="0.25">
      <c r="A1586" s="1">
        <v>1585</v>
      </c>
      <c r="B1586" s="1" t="s">
        <v>1860</v>
      </c>
      <c r="C1586" s="2">
        <v>46017</v>
      </c>
      <c r="D1586" s="1" t="s">
        <v>21</v>
      </c>
      <c r="E1586" s="1" t="s">
        <v>22</v>
      </c>
      <c r="F1586" s="1" t="s">
        <v>30</v>
      </c>
      <c r="G1586" s="1" t="s">
        <v>24</v>
      </c>
      <c r="H1586" s="1">
        <v>1</v>
      </c>
      <c r="I1586" s="1" t="s">
        <v>1861</v>
      </c>
      <c r="J1586" s="1" t="s">
        <v>26</v>
      </c>
      <c r="K1586" s="1">
        <v>17806795.02</v>
      </c>
      <c r="L1586" s="1">
        <v>0</v>
      </c>
      <c r="M1586" s="1">
        <v>0</v>
      </c>
      <c r="N1586" s="1">
        <v>1958747.4521999999</v>
      </c>
      <c r="O1586" s="1">
        <v>0</v>
      </c>
      <c r="P1586" s="1">
        <v>0</v>
      </c>
      <c r="Q1586" s="1">
        <v>0</v>
      </c>
      <c r="R1586" s="1">
        <v>19765542.472199999</v>
      </c>
      <c r="S1586" s="1">
        <v>5349396.8882926004</v>
      </c>
      <c r="T1586" s="1">
        <v>30.041323451436998</v>
      </c>
      <c r="U1586" t="str">
        <f t="shared" si="24"/>
        <v>Week 4</v>
      </c>
    </row>
    <row r="1587" spans="1:21" x14ac:dyDescent="0.25">
      <c r="A1587" s="1">
        <v>1586</v>
      </c>
      <c r="B1587" s="1" t="s">
        <v>1862</v>
      </c>
      <c r="C1587" s="2">
        <v>46017</v>
      </c>
      <c r="D1587" s="1" t="s">
        <v>202</v>
      </c>
      <c r="E1587" s="1" t="s">
        <v>22</v>
      </c>
      <c r="F1587" s="1" t="s">
        <v>30</v>
      </c>
      <c r="G1587" s="1" t="s">
        <v>24</v>
      </c>
      <c r="H1587" s="1">
        <v>1</v>
      </c>
      <c r="I1587" s="1" t="s">
        <v>1863</v>
      </c>
      <c r="J1587" s="1" t="s">
        <v>26</v>
      </c>
      <c r="K1587" s="1">
        <v>440000</v>
      </c>
      <c r="L1587" s="1">
        <v>0</v>
      </c>
      <c r="M1587" s="1">
        <v>0</v>
      </c>
      <c r="N1587" s="1">
        <v>48400</v>
      </c>
      <c r="O1587" s="1">
        <v>0</v>
      </c>
      <c r="P1587" s="1">
        <v>0</v>
      </c>
      <c r="Q1587" s="1">
        <v>0</v>
      </c>
      <c r="R1587" s="1">
        <v>488400</v>
      </c>
      <c r="S1587" s="1">
        <v>10130</v>
      </c>
      <c r="T1587" s="1">
        <v>2.3022727272727002</v>
      </c>
      <c r="U1587" t="str">
        <f t="shared" si="24"/>
        <v>Week 4</v>
      </c>
    </row>
    <row r="1588" spans="1:21" x14ac:dyDescent="0.25">
      <c r="A1588" s="1">
        <v>1587</v>
      </c>
      <c r="B1588" s="1" t="s">
        <v>1864</v>
      </c>
      <c r="C1588" s="2">
        <v>46017</v>
      </c>
      <c r="D1588" s="1" t="s">
        <v>21</v>
      </c>
      <c r="E1588" s="1" t="s">
        <v>22</v>
      </c>
      <c r="F1588" s="1" t="s">
        <v>30</v>
      </c>
      <c r="G1588" s="1" t="s">
        <v>24</v>
      </c>
      <c r="H1588" s="1">
        <v>1</v>
      </c>
      <c r="I1588" s="1" t="s">
        <v>1865</v>
      </c>
      <c r="J1588" s="1" t="s">
        <v>26</v>
      </c>
      <c r="K1588" s="1">
        <v>4518485</v>
      </c>
      <c r="L1588" s="1">
        <v>0</v>
      </c>
      <c r="M1588" s="1">
        <v>0</v>
      </c>
      <c r="N1588" s="1">
        <v>497033.35</v>
      </c>
      <c r="O1588" s="1">
        <v>0</v>
      </c>
      <c r="P1588" s="1">
        <v>0</v>
      </c>
      <c r="Q1588" s="1">
        <v>0</v>
      </c>
      <c r="R1588" s="1">
        <v>5015518.3499999996</v>
      </c>
      <c r="S1588" s="1">
        <v>2100154</v>
      </c>
      <c r="T1588" s="1">
        <v>46.479162816741002</v>
      </c>
      <c r="U1588" t="str">
        <f t="shared" si="24"/>
        <v>Week 4</v>
      </c>
    </row>
    <row r="1589" spans="1:21" x14ac:dyDescent="0.25">
      <c r="A1589" s="1">
        <v>1588</v>
      </c>
      <c r="B1589" s="1" t="s">
        <v>1866</v>
      </c>
      <c r="C1589" s="2">
        <v>46017</v>
      </c>
      <c r="D1589" s="1" t="s">
        <v>21</v>
      </c>
      <c r="E1589" s="1" t="s">
        <v>22</v>
      </c>
      <c r="F1589" s="1" t="s">
        <v>30</v>
      </c>
      <c r="G1589" s="1" t="s">
        <v>24</v>
      </c>
      <c r="H1589" s="1">
        <v>1</v>
      </c>
      <c r="I1589" s="1" t="s">
        <v>1867</v>
      </c>
      <c r="J1589" s="1" t="s">
        <v>26</v>
      </c>
      <c r="K1589" s="1">
        <v>201477887</v>
      </c>
      <c r="L1589" s="1">
        <v>0</v>
      </c>
      <c r="M1589" s="1">
        <v>0</v>
      </c>
      <c r="N1589" s="1">
        <v>22162567.57</v>
      </c>
      <c r="O1589" s="1">
        <v>0</v>
      </c>
      <c r="P1589" s="1">
        <v>0</v>
      </c>
      <c r="Q1589" s="1">
        <v>0</v>
      </c>
      <c r="R1589" s="1">
        <v>223640454.56999999</v>
      </c>
      <c r="S1589" s="1">
        <v>-60284113</v>
      </c>
      <c r="T1589" s="1">
        <v>-29.920957529199999</v>
      </c>
      <c r="U1589" t="str">
        <f t="shared" si="24"/>
        <v>Week 4</v>
      </c>
    </row>
    <row r="1590" spans="1:21" x14ac:dyDescent="0.25">
      <c r="A1590" s="1">
        <v>1589</v>
      </c>
      <c r="B1590" s="1" t="s">
        <v>1868</v>
      </c>
      <c r="C1590" s="2">
        <v>46017</v>
      </c>
      <c r="D1590" s="1" t="s">
        <v>169</v>
      </c>
      <c r="E1590" s="1" t="s">
        <v>1281</v>
      </c>
      <c r="F1590" s="1" t="s">
        <v>23</v>
      </c>
      <c r="G1590" s="1" t="s">
        <v>24</v>
      </c>
      <c r="H1590" s="1">
        <v>1</v>
      </c>
      <c r="I1590" s="1" t="s">
        <v>1869</v>
      </c>
      <c r="J1590" s="1"/>
      <c r="K1590" s="1">
        <v>55536000</v>
      </c>
      <c r="L1590" s="1">
        <v>0</v>
      </c>
      <c r="M1590" s="1">
        <v>0</v>
      </c>
      <c r="N1590" s="1">
        <v>6108960</v>
      </c>
      <c r="O1590" s="1">
        <v>0</v>
      </c>
      <c r="P1590" s="1">
        <v>0</v>
      </c>
      <c r="Q1590" s="1">
        <v>0</v>
      </c>
      <c r="R1590" s="1">
        <v>61644960</v>
      </c>
      <c r="S1590" s="1">
        <v>338760.90684665</v>
      </c>
      <c r="T1590" s="1">
        <v>0.60998434681404001</v>
      </c>
      <c r="U1590" t="str">
        <f t="shared" si="24"/>
        <v>Week 4</v>
      </c>
    </row>
    <row r="1591" spans="1:21" x14ac:dyDescent="0.25">
      <c r="A1591" s="1">
        <v>1590</v>
      </c>
      <c r="B1591" s="1" t="s">
        <v>1870</v>
      </c>
      <c r="C1591" s="2">
        <v>46015</v>
      </c>
      <c r="D1591" s="1" t="s">
        <v>53</v>
      </c>
      <c r="E1591" s="1" t="s">
        <v>1530</v>
      </c>
      <c r="F1591" s="1" t="s">
        <v>30</v>
      </c>
      <c r="G1591" s="1" t="s">
        <v>24</v>
      </c>
      <c r="H1591" s="1">
        <v>1</v>
      </c>
      <c r="I1591" s="1" t="s">
        <v>1871</v>
      </c>
      <c r="J1591" s="1"/>
      <c r="K1591" s="1">
        <v>59896858</v>
      </c>
      <c r="L1591" s="1">
        <v>0</v>
      </c>
      <c r="M1591" s="1">
        <v>0</v>
      </c>
      <c r="N1591" s="1">
        <v>6588654.3799999999</v>
      </c>
      <c r="O1591" s="1">
        <v>0</v>
      </c>
      <c r="P1591" s="1">
        <v>0</v>
      </c>
      <c r="Q1591" s="1">
        <v>0</v>
      </c>
      <c r="R1591" s="1">
        <v>66485512.380000003</v>
      </c>
      <c r="S1591" s="1">
        <v>3535479.5</v>
      </c>
      <c r="T1591" s="1">
        <v>5.9026126211829002</v>
      </c>
      <c r="U1591" t="str">
        <f t="shared" si="24"/>
        <v>Week 4</v>
      </c>
    </row>
    <row r="1592" spans="1:21" x14ac:dyDescent="0.25">
      <c r="A1592" s="1">
        <v>1591</v>
      </c>
      <c r="B1592" s="1" t="s">
        <v>1872</v>
      </c>
      <c r="C1592" s="2">
        <v>46015</v>
      </c>
      <c r="D1592" s="1" t="s">
        <v>511</v>
      </c>
      <c r="E1592" s="1" t="s">
        <v>1530</v>
      </c>
      <c r="F1592" s="1" t="s">
        <v>30</v>
      </c>
      <c r="G1592" s="1" t="s">
        <v>24</v>
      </c>
      <c r="H1592" s="1">
        <v>1</v>
      </c>
      <c r="I1592" s="1" t="s">
        <v>1873</v>
      </c>
      <c r="J1592" s="1"/>
      <c r="K1592" s="1">
        <v>2582674</v>
      </c>
      <c r="L1592" s="1">
        <v>0</v>
      </c>
      <c r="M1592" s="1">
        <v>0</v>
      </c>
      <c r="N1592" s="1">
        <v>284094.14</v>
      </c>
      <c r="O1592" s="1">
        <v>0</v>
      </c>
      <c r="P1592" s="1">
        <v>0</v>
      </c>
      <c r="Q1592" s="1">
        <v>0</v>
      </c>
      <c r="R1592" s="1">
        <v>2866768.14</v>
      </c>
      <c r="S1592" s="1">
        <v>-875326</v>
      </c>
      <c r="T1592" s="1">
        <v>-33.892237270363999</v>
      </c>
      <c r="U1592" t="str">
        <f t="shared" si="24"/>
        <v>Week 4</v>
      </c>
    </row>
    <row r="1593" spans="1:21" x14ac:dyDescent="0.25">
      <c r="A1593" s="1">
        <v>1592</v>
      </c>
      <c r="B1593" s="1" t="s">
        <v>1874</v>
      </c>
      <c r="C1593" s="2">
        <v>46015</v>
      </c>
      <c r="D1593" s="1" t="s">
        <v>53</v>
      </c>
      <c r="E1593" s="1" t="s">
        <v>1530</v>
      </c>
      <c r="F1593" s="1" t="s">
        <v>30</v>
      </c>
      <c r="G1593" s="1" t="s">
        <v>24</v>
      </c>
      <c r="H1593" s="1">
        <v>1</v>
      </c>
      <c r="I1593" s="1" t="s">
        <v>1875</v>
      </c>
      <c r="J1593" s="1"/>
      <c r="K1593" s="1">
        <v>6296500</v>
      </c>
      <c r="L1593" s="1">
        <v>0</v>
      </c>
      <c r="M1593" s="1">
        <v>0</v>
      </c>
      <c r="N1593" s="1">
        <v>692615</v>
      </c>
      <c r="O1593" s="1">
        <v>0</v>
      </c>
      <c r="P1593" s="1">
        <v>0</v>
      </c>
      <c r="Q1593" s="1">
        <v>0</v>
      </c>
      <c r="R1593" s="1">
        <v>6989115</v>
      </c>
      <c r="S1593" s="1">
        <v>761500</v>
      </c>
      <c r="T1593" s="1">
        <v>12.094020487571999</v>
      </c>
      <c r="U1593" t="str">
        <f t="shared" si="24"/>
        <v>Week 4</v>
      </c>
    </row>
    <row r="1594" spans="1:21" x14ac:dyDescent="0.25">
      <c r="A1594" s="1">
        <v>1593</v>
      </c>
      <c r="B1594" s="1" t="s">
        <v>1876</v>
      </c>
      <c r="C1594" s="2">
        <v>46015</v>
      </c>
      <c r="D1594" s="1" t="s">
        <v>53</v>
      </c>
      <c r="E1594" s="1" t="s">
        <v>1530</v>
      </c>
      <c r="F1594" s="1" t="s">
        <v>30</v>
      </c>
      <c r="G1594" s="1" t="s">
        <v>24</v>
      </c>
      <c r="H1594" s="1">
        <v>1</v>
      </c>
      <c r="I1594" s="1" t="s">
        <v>1877</v>
      </c>
      <c r="J1594" s="1"/>
      <c r="K1594" s="1">
        <v>1259300</v>
      </c>
      <c r="L1594" s="1">
        <v>0</v>
      </c>
      <c r="M1594" s="1">
        <v>0</v>
      </c>
      <c r="N1594" s="1">
        <v>138523</v>
      </c>
      <c r="O1594" s="1">
        <v>0</v>
      </c>
      <c r="P1594" s="1">
        <v>0</v>
      </c>
      <c r="Q1594" s="1">
        <v>0</v>
      </c>
      <c r="R1594" s="1">
        <v>1397823</v>
      </c>
      <c r="S1594" s="1">
        <v>152300</v>
      </c>
      <c r="T1594" s="1">
        <v>12.094020487571999</v>
      </c>
      <c r="U1594" t="str">
        <f t="shared" si="24"/>
        <v>Week 4</v>
      </c>
    </row>
    <row r="1595" spans="1:21" x14ac:dyDescent="0.25">
      <c r="A1595" s="1">
        <v>1594</v>
      </c>
      <c r="B1595" s="1" t="s">
        <v>1878</v>
      </c>
      <c r="C1595" s="2">
        <v>46015</v>
      </c>
      <c r="D1595" s="1" t="s">
        <v>248</v>
      </c>
      <c r="E1595" s="1" t="s">
        <v>99</v>
      </c>
      <c r="F1595" s="1" t="s">
        <v>30</v>
      </c>
      <c r="G1595" s="1" t="s">
        <v>24</v>
      </c>
      <c r="H1595" s="1">
        <v>1</v>
      </c>
      <c r="I1595" s="1" t="s">
        <v>1879</v>
      </c>
      <c r="J1595" s="1" t="s">
        <v>26</v>
      </c>
      <c r="K1595" s="1">
        <v>9300200</v>
      </c>
      <c r="L1595" s="1">
        <v>0</v>
      </c>
      <c r="M1595" s="1">
        <v>0</v>
      </c>
      <c r="N1595" s="1">
        <v>1023022</v>
      </c>
      <c r="O1595" s="1">
        <v>0</v>
      </c>
      <c r="P1595" s="1">
        <v>0</v>
      </c>
      <c r="Q1595" s="1">
        <v>0</v>
      </c>
      <c r="R1595" s="1">
        <v>10323222</v>
      </c>
      <c r="S1595" s="1">
        <v>1705605.42</v>
      </c>
      <c r="T1595" s="1">
        <v>18.339448829057002</v>
      </c>
      <c r="U1595" t="str">
        <f t="shared" si="24"/>
        <v>Week 4</v>
      </c>
    </row>
    <row r="1596" spans="1:21" x14ac:dyDescent="0.25">
      <c r="A1596" s="1">
        <v>1595</v>
      </c>
      <c r="B1596" s="1" t="s">
        <v>1880</v>
      </c>
      <c r="C1596" s="2">
        <v>46015</v>
      </c>
      <c r="D1596" s="1" t="s">
        <v>53</v>
      </c>
      <c r="E1596" s="1" t="s">
        <v>1530</v>
      </c>
      <c r="F1596" s="1" t="s">
        <v>30</v>
      </c>
      <c r="G1596" s="1" t="s">
        <v>24</v>
      </c>
      <c r="H1596" s="1">
        <v>1</v>
      </c>
      <c r="I1596" s="1" t="s">
        <v>1881</v>
      </c>
      <c r="J1596" s="1"/>
      <c r="K1596" s="1">
        <v>1116474.8</v>
      </c>
      <c r="L1596" s="1">
        <v>0</v>
      </c>
      <c r="M1596" s="1">
        <v>0</v>
      </c>
      <c r="N1596" s="1">
        <v>122812.228</v>
      </c>
      <c r="O1596" s="1">
        <v>0</v>
      </c>
      <c r="P1596" s="1">
        <v>0</v>
      </c>
      <c r="Q1596" s="1">
        <v>0</v>
      </c>
      <c r="R1596" s="1">
        <v>1239287.0279999999</v>
      </c>
      <c r="S1596" s="1">
        <v>611970.29549549997</v>
      </c>
      <c r="T1596" s="1">
        <v>54.812728016386998</v>
      </c>
      <c r="U1596" t="str">
        <f t="shared" si="24"/>
        <v>Week 4</v>
      </c>
    </row>
    <row r="1597" spans="1:21" x14ac:dyDescent="0.25">
      <c r="A1597" s="1">
        <v>1596</v>
      </c>
      <c r="B1597" s="1" t="s">
        <v>1882</v>
      </c>
      <c r="C1597" s="2">
        <v>46015</v>
      </c>
      <c r="D1597" s="1" t="s">
        <v>21</v>
      </c>
      <c r="E1597" s="1" t="s">
        <v>22</v>
      </c>
      <c r="F1597" s="1" t="s">
        <v>30</v>
      </c>
      <c r="G1597" s="1" t="s">
        <v>24</v>
      </c>
      <c r="H1597" s="1">
        <v>1</v>
      </c>
      <c r="I1597" s="1" t="s">
        <v>1883</v>
      </c>
      <c r="J1597" s="1"/>
      <c r="K1597" s="1">
        <v>1914345</v>
      </c>
      <c r="L1597" s="1">
        <v>0</v>
      </c>
      <c r="M1597" s="1">
        <v>0</v>
      </c>
      <c r="N1597" s="1">
        <v>210577.95</v>
      </c>
      <c r="O1597" s="1">
        <v>0</v>
      </c>
      <c r="P1597" s="1">
        <v>0</v>
      </c>
      <c r="Q1597" s="1">
        <v>0</v>
      </c>
      <c r="R1597" s="1">
        <v>2124922.9500000002</v>
      </c>
      <c r="S1597" s="1">
        <v>550651.30630631</v>
      </c>
      <c r="T1597" s="1">
        <v>28.764475907232001</v>
      </c>
      <c r="U1597" t="str">
        <f t="shared" si="24"/>
        <v>Week 4</v>
      </c>
    </row>
    <row r="1598" spans="1:21" x14ac:dyDescent="0.25">
      <c r="A1598" s="1">
        <v>1597</v>
      </c>
      <c r="B1598" s="1" t="s">
        <v>1884</v>
      </c>
      <c r="C1598" s="2">
        <v>46015</v>
      </c>
      <c r="D1598" s="1" t="s">
        <v>248</v>
      </c>
      <c r="E1598" s="1" t="s">
        <v>99</v>
      </c>
      <c r="F1598" s="1" t="s">
        <v>30</v>
      </c>
      <c r="G1598" s="1" t="s">
        <v>24</v>
      </c>
      <c r="H1598" s="1">
        <v>1</v>
      </c>
      <c r="I1598" s="1" t="s">
        <v>1885</v>
      </c>
      <c r="J1598" s="1" t="s">
        <v>26</v>
      </c>
      <c r="K1598" s="1">
        <v>20406616</v>
      </c>
      <c r="L1598" s="1">
        <v>0</v>
      </c>
      <c r="M1598" s="1">
        <v>0</v>
      </c>
      <c r="N1598" s="1">
        <v>2244727.7599999998</v>
      </c>
      <c r="O1598" s="1">
        <v>0</v>
      </c>
      <c r="P1598" s="1">
        <v>0</v>
      </c>
      <c r="Q1598" s="1">
        <v>0</v>
      </c>
      <c r="R1598" s="1">
        <v>22651343.760000002</v>
      </c>
      <c r="S1598" s="1">
        <v>1476616</v>
      </c>
      <c r="T1598" s="1">
        <v>7.2359670020742</v>
      </c>
      <c r="U1598" t="str">
        <f t="shared" si="24"/>
        <v>Week 4</v>
      </c>
    </row>
    <row r="1599" spans="1:21" x14ac:dyDescent="0.25">
      <c r="A1599" s="1">
        <v>1598</v>
      </c>
      <c r="B1599" s="1" t="s">
        <v>1886</v>
      </c>
      <c r="C1599" s="2">
        <v>46015</v>
      </c>
      <c r="D1599" s="1" t="s">
        <v>248</v>
      </c>
      <c r="E1599" s="1" t="s">
        <v>99</v>
      </c>
      <c r="F1599" s="1" t="s">
        <v>30</v>
      </c>
      <c r="G1599" s="1" t="s">
        <v>24</v>
      </c>
      <c r="H1599" s="1">
        <v>1</v>
      </c>
      <c r="I1599" s="1" t="s">
        <v>1632</v>
      </c>
      <c r="J1599" s="1" t="s">
        <v>26</v>
      </c>
      <c r="K1599" s="1">
        <v>2989000</v>
      </c>
      <c r="L1599" s="1">
        <v>0</v>
      </c>
      <c r="M1599" s="1">
        <v>0</v>
      </c>
      <c r="N1599" s="1">
        <v>328790</v>
      </c>
      <c r="O1599" s="1">
        <v>0</v>
      </c>
      <c r="P1599" s="1">
        <v>0</v>
      </c>
      <c r="Q1599" s="1">
        <v>0</v>
      </c>
      <c r="R1599" s="1">
        <v>3317790</v>
      </c>
      <c r="S1599" s="1">
        <v>109000</v>
      </c>
      <c r="T1599" s="1">
        <v>3.6467045834727001</v>
      </c>
      <c r="U1599" t="str">
        <f t="shared" si="24"/>
        <v>Week 4</v>
      </c>
    </row>
    <row r="1600" spans="1:21" x14ac:dyDescent="0.25">
      <c r="A1600" s="1">
        <v>1599</v>
      </c>
      <c r="B1600" s="1" t="s">
        <v>1887</v>
      </c>
      <c r="C1600" s="2">
        <v>46015</v>
      </c>
      <c r="D1600" s="1" t="s">
        <v>21</v>
      </c>
      <c r="E1600" s="1" t="s">
        <v>22</v>
      </c>
      <c r="F1600" s="1" t="s">
        <v>30</v>
      </c>
      <c r="G1600" s="1" t="s">
        <v>24</v>
      </c>
      <c r="H1600" s="1">
        <v>1</v>
      </c>
      <c r="I1600" s="1" t="s">
        <v>1888</v>
      </c>
      <c r="J1600" s="1"/>
      <c r="K1600" s="1">
        <v>729120</v>
      </c>
      <c r="L1600" s="1">
        <v>0</v>
      </c>
      <c r="M1600" s="1">
        <v>0</v>
      </c>
      <c r="N1600" s="1">
        <v>80203.199999999997</v>
      </c>
      <c r="O1600" s="1">
        <v>0</v>
      </c>
      <c r="P1600" s="1">
        <v>0</v>
      </c>
      <c r="Q1600" s="1">
        <v>0</v>
      </c>
      <c r="R1600" s="1">
        <v>809323.2</v>
      </c>
      <c r="S1600" s="1">
        <v>442723.61081081</v>
      </c>
      <c r="T1600" s="1">
        <v>60.720267008284999</v>
      </c>
      <c r="U1600" t="str">
        <f t="shared" si="24"/>
        <v>Week 4</v>
      </c>
    </row>
    <row r="1601" spans="1:21" x14ac:dyDescent="0.25">
      <c r="A1601" s="1">
        <v>1600</v>
      </c>
      <c r="B1601" s="1" t="s">
        <v>2287</v>
      </c>
      <c r="C1601" s="2">
        <v>46015</v>
      </c>
      <c r="D1601" s="1" t="s">
        <v>2215</v>
      </c>
      <c r="E1601" s="1" t="s">
        <v>1675</v>
      </c>
      <c r="F1601" s="1" t="s">
        <v>30</v>
      </c>
      <c r="G1601" s="1" t="s">
        <v>24</v>
      </c>
      <c r="H1601" s="1">
        <v>1</v>
      </c>
      <c r="I1601" s="1" t="s">
        <v>2288</v>
      </c>
      <c r="J1601" s="1" t="s">
        <v>26</v>
      </c>
      <c r="K1601" s="1">
        <v>1250000</v>
      </c>
      <c r="L1601" s="1">
        <v>0</v>
      </c>
      <c r="M1601" s="1">
        <v>0</v>
      </c>
      <c r="N1601" s="1">
        <v>137500</v>
      </c>
      <c r="O1601" s="1">
        <v>0</v>
      </c>
      <c r="P1601" s="1">
        <v>0</v>
      </c>
      <c r="Q1601" s="1">
        <v>0</v>
      </c>
      <c r="R1601" s="1">
        <v>1387500</v>
      </c>
      <c r="S1601" s="1">
        <v>265000</v>
      </c>
      <c r="T1601" s="1">
        <v>21.2</v>
      </c>
      <c r="U1601" t="str">
        <f t="shared" si="24"/>
        <v>Week 4</v>
      </c>
    </row>
    <row r="1602" spans="1:21" x14ac:dyDescent="0.25">
      <c r="A1602" s="1">
        <v>1601</v>
      </c>
      <c r="B1602" s="1" t="s">
        <v>1889</v>
      </c>
      <c r="C1602" s="2">
        <v>46015</v>
      </c>
      <c r="D1602" s="1" t="s">
        <v>33</v>
      </c>
      <c r="E1602" s="1" t="s">
        <v>34</v>
      </c>
      <c r="F1602" s="1" t="s">
        <v>30</v>
      </c>
      <c r="G1602" s="1" t="s">
        <v>24</v>
      </c>
      <c r="H1602" s="1">
        <v>1</v>
      </c>
      <c r="I1602" s="1" t="s">
        <v>1890</v>
      </c>
      <c r="J1602" s="1"/>
      <c r="K1602" s="1">
        <v>7128000</v>
      </c>
      <c r="L1602" s="1">
        <v>0</v>
      </c>
      <c r="M1602" s="1">
        <v>0</v>
      </c>
      <c r="N1602" s="1">
        <v>784080</v>
      </c>
      <c r="O1602" s="1">
        <v>0</v>
      </c>
      <c r="P1602" s="1">
        <v>0</v>
      </c>
      <c r="Q1602" s="1">
        <v>0</v>
      </c>
      <c r="R1602" s="1">
        <v>7912080</v>
      </c>
      <c r="S1602" s="1">
        <v>1728000</v>
      </c>
      <c r="T1602" s="1">
        <v>24.242424242424001</v>
      </c>
      <c r="U1602" t="str">
        <f t="shared" si="24"/>
        <v>Week 4</v>
      </c>
    </row>
    <row r="1603" spans="1:21" x14ac:dyDescent="0.25">
      <c r="A1603" s="1">
        <v>1602</v>
      </c>
      <c r="B1603" s="1" t="s">
        <v>1891</v>
      </c>
      <c r="C1603" s="2">
        <v>46015</v>
      </c>
      <c r="D1603" s="1" t="s">
        <v>21</v>
      </c>
      <c r="E1603" s="1" t="s">
        <v>22</v>
      </c>
      <c r="F1603" s="1" t="s">
        <v>30</v>
      </c>
      <c r="G1603" s="1" t="s">
        <v>24</v>
      </c>
      <c r="H1603" s="1">
        <v>1</v>
      </c>
      <c r="I1603" s="1" t="s">
        <v>1616</v>
      </c>
      <c r="J1603" s="1" t="s">
        <v>26</v>
      </c>
      <c r="K1603" s="1">
        <v>570360</v>
      </c>
      <c r="L1603" s="1">
        <v>0</v>
      </c>
      <c r="M1603" s="1">
        <v>0</v>
      </c>
      <c r="N1603" s="1">
        <v>62739.6</v>
      </c>
      <c r="O1603" s="1">
        <v>0</v>
      </c>
      <c r="P1603" s="1">
        <v>0</v>
      </c>
      <c r="Q1603" s="1">
        <v>0</v>
      </c>
      <c r="R1603" s="1">
        <v>633099.6</v>
      </c>
      <c r="S1603" s="1">
        <v>300360</v>
      </c>
      <c r="T1603" s="1">
        <v>52.661476961919</v>
      </c>
      <c r="U1603" t="str">
        <f t="shared" ref="U1603:U1666" si="25">"Week "&amp;IF(DAY(C1603)&gt;=24,4,INT((DAY(C1603)-1)/7)+1)</f>
        <v>Week 4</v>
      </c>
    </row>
    <row r="1604" spans="1:21" x14ac:dyDescent="0.25">
      <c r="A1604" s="1">
        <v>1603</v>
      </c>
      <c r="B1604" s="1" t="s">
        <v>1892</v>
      </c>
      <c r="C1604" s="2">
        <v>46015</v>
      </c>
      <c r="D1604" s="1" t="s">
        <v>202</v>
      </c>
      <c r="E1604" s="1" t="s">
        <v>22</v>
      </c>
      <c r="F1604" s="1" t="s">
        <v>30</v>
      </c>
      <c r="G1604" s="1" t="s">
        <v>24</v>
      </c>
      <c r="H1604" s="1">
        <v>1</v>
      </c>
      <c r="I1604" s="1" t="s">
        <v>1893</v>
      </c>
      <c r="J1604" s="1" t="s">
        <v>26</v>
      </c>
      <c r="K1604" s="1">
        <v>1708000</v>
      </c>
      <c r="L1604" s="1">
        <v>0</v>
      </c>
      <c r="M1604" s="1">
        <v>0</v>
      </c>
      <c r="N1604" s="1">
        <v>187880</v>
      </c>
      <c r="O1604" s="1">
        <v>0</v>
      </c>
      <c r="P1604" s="1">
        <v>0</v>
      </c>
      <c r="Q1604" s="1">
        <v>0</v>
      </c>
      <c r="R1604" s="1">
        <v>1895880</v>
      </c>
      <c r="S1604" s="1">
        <v>10026.216216209999</v>
      </c>
      <c r="T1604" s="1">
        <v>0.58701500094905001</v>
      </c>
      <c r="U1604" t="str">
        <f t="shared" si="25"/>
        <v>Week 4</v>
      </c>
    </row>
    <row r="1605" spans="1:21" x14ac:dyDescent="0.25">
      <c r="A1605" s="1">
        <v>1604</v>
      </c>
      <c r="B1605" s="1" t="s">
        <v>1894</v>
      </c>
      <c r="C1605" s="2">
        <v>46015</v>
      </c>
      <c r="D1605" s="1" t="s">
        <v>21</v>
      </c>
      <c r="E1605" s="1" t="s">
        <v>22</v>
      </c>
      <c r="F1605" s="1" t="s">
        <v>30</v>
      </c>
      <c r="G1605" s="1" t="s">
        <v>24</v>
      </c>
      <c r="H1605" s="1">
        <v>1</v>
      </c>
      <c r="I1605" s="1" t="s">
        <v>1895</v>
      </c>
      <c r="J1605" s="1" t="s">
        <v>26</v>
      </c>
      <c r="K1605" s="1">
        <v>5329985</v>
      </c>
      <c r="L1605" s="1">
        <v>0</v>
      </c>
      <c r="M1605" s="1">
        <v>0</v>
      </c>
      <c r="N1605" s="1">
        <v>586298.35</v>
      </c>
      <c r="O1605" s="1">
        <v>0</v>
      </c>
      <c r="P1605" s="1">
        <v>0</v>
      </c>
      <c r="Q1605" s="1">
        <v>0</v>
      </c>
      <c r="R1605" s="1">
        <v>5916283.3499999996</v>
      </c>
      <c r="S1605" s="1">
        <v>1621116.5362178001</v>
      </c>
      <c r="T1605" s="1">
        <v>30.415029990099999</v>
      </c>
      <c r="U1605" t="str">
        <f t="shared" si="25"/>
        <v>Week 4</v>
      </c>
    </row>
    <row r="1606" spans="1:21" x14ac:dyDescent="0.25">
      <c r="A1606" s="1">
        <v>1605</v>
      </c>
      <c r="B1606" s="1" t="s">
        <v>1896</v>
      </c>
      <c r="C1606" s="2">
        <v>46015</v>
      </c>
      <c r="D1606" s="1" t="s">
        <v>1485</v>
      </c>
      <c r="E1606" s="1" t="s">
        <v>1675</v>
      </c>
      <c r="F1606" s="1" t="s">
        <v>30</v>
      </c>
      <c r="G1606" s="1" t="s">
        <v>24</v>
      </c>
      <c r="H1606" s="1">
        <v>1</v>
      </c>
      <c r="I1606" s="1" t="s">
        <v>1897</v>
      </c>
      <c r="J1606" s="1"/>
      <c r="K1606" s="1">
        <v>46000</v>
      </c>
      <c r="L1606" s="1">
        <v>0</v>
      </c>
      <c r="M1606" s="1">
        <v>0</v>
      </c>
      <c r="N1606" s="1">
        <v>5060</v>
      </c>
      <c r="O1606" s="1">
        <v>0</v>
      </c>
      <c r="P1606" s="1">
        <v>0</v>
      </c>
      <c r="Q1606" s="1">
        <v>0</v>
      </c>
      <c r="R1606" s="1">
        <v>51060</v>
      </c>
      <c r="S1606" s="1">
        <v>16000</v>
      </c>
      <c r="T1606" s="1">
        <v>34.782608695652002</v>
      </c>
      <c r="U1606" t="str">
        <f t="shared" si="25"/>
        <v>Week 4</v>
      </c>
    </row>
    <row r="1607" spans="1:21" x14ac:dyDescent="0.25">
      <c r="A1607" s="1">
        <v>1606</v>
      </c>
      <c r="B1607" s="1" t="s">
        <v>1898</v>
      </c>
      <c r="C1607" s="2">
        <v>46015</v>
      </c>
      <c r="D1607" s="1" t="s">
        <v>1899</v>
      </c>
      <c r="E1607" s="1" t="s">
        <v>1675</v>
      </c>
      <c r="F1607" s="1" t="s">
        <v>30</v>
      </c>
      <c r="G1607" s="1" t="s">
        <v>24</v>
      </c>
      <c r="H1607" s="1">
        <v>1</v>
      </c>
      <c r="I1607" s="1" t="s">
        <v>1900</v>
      </c>
      <c r="J1607" s="1"/>
      <c r="K1607" s="1">
        <v>3304915.29</v>
      </c>
      <c r="L1607" s="1">
        <v>0</v>
      </c>
      <c r="M1607" s="1">
        <v>0</v>
      </c>
      <c r="N1607" s="1">
        <v>363540.68190000003</v>
      </c>
      <c r="O1607" s="1">
        <v>0</v>
      </c>
      <c r="P1607" s="1">
        <v>0</v>
      </c>
      <c r="Q1607" s="1">
        <v>0</v>
      </c>
      <c r="R1607" s="1">
        <v>3668455.9718999998</v>
      </c>
      <c r="S1607" s="1">
        <v>495745.29</v>
      </c>
      <c r="T1607" s="1">
        <v>15.000241957789999</v>
      </c>
      <c r="U1607" t="str">
        <f t="shared" si="25"/>
        <v>Week 4</v>
      </c>
    </row>
    <row r="1608" spans="1:21" x14ac:dyDescent="0.25">
      <c r="A1608" s="1">
        <v>1607</v>
      </c>
      <c r="B1608" s="1" t="s">
        <v>1901</v>
      </c>
      <c r="C1608" s="2">
        <v>46014</v>
      </c>
      <c r="D1608" s="1" t="s">
        <v>21</v>
      </c>
      <c r="E1608" s="1" t="s">
        <v>22</v>
      </c>
      <c r="F1608" s="1" t="s">
        <v>30</v>
      </c>
      <c r="G1608" s="1" t="s">
        <v>24</v>
      </c>
      <c r="H1608" s="1">
        <v>1</v>
      </c>
      <c r="I1608" s="1" t="s">
        <v>1616</v>
      </c>
      <c r="J1608" s="1" t="s">
        <v>26</v>
      </c>
      <c r="K1608" s="1">
        <v>11760</v>
      </c>
      <c r="L1608" s="1">
        <v>0</v>
      </c>
      <c r="M1608" s="1">
        <v>0</v>
      </c>
      <c r="N1608" s="1">
        <v>1293.5999999999999</v>
      </c>
      <c r="O1608" s="1">
        <v>0</v>
      </c>
      <c r="P1608" s="1">
        <v>0</v>
      </c>
      <c r="Q1608" s="1">
        <v>0</v>
      </c>
      <c r="R1608" s="1">
        <v>13053.6</v>
      </c>
      <c r="S1608" s="1">
        <v>7255</v>
      </c>
      <c r="T1608" s="1">
        <v>61.692176870748</v>
      </c>
      <c r="U1608" t="str">
        <f t="shared" si="25"/>
        <v>Week 4</v>
      </c>
    </row>
    <row r="1609" spans="1:21" x14ac:dyDescent="0.25">
      <c r="A1609" s="1">
        <v>1608</v>
      </c>
      <c r="B1609" s="1" t="s">
        <v>1902</v>
      </c>
      <c r="C1609" s="2">
        <v>46014</v>
      </c>
      <c r="D1609" s="1" t="s">
        <v>432</v>
      </c>
      <c r="E1609" s="1" t="s">
        <v>116</v>
      </c>
      <c r="F1609" s="1" t="s">
        <v>260</v>
      </c>
      <c r="G1609" s="1" t="s">
        <v>24</v>
      </c>
      <c r="H1609" s="1">
        <v>1</v>
      </c>
      <c r="I1609" s="1" t="s">
        <v>1903</v>
      </c>
      <c r="J1609" s="1" t="s">
        <v>26</v>
      </c>
      <c r="K1609" s="1">
        <v>31930000</v>
      </c>
      <c r="L1609" s="1">
        <v>0</v>
      </c>
      <c r="M1609" s="1">
        <v>0</v>
      </c>
      <c r="N1609" s="1">
        <v>3512300</v>
      </c>
      <c r="O1609" s="1">
        <v>0</v>
      </c>
      <c r="P1609" s="1">
        <v>0</v>
      </c>
      <c r="Q1609" s="1">
        <v>0</v>
      </c>
      <c r="R1609" s="1">
        <v>35442300</v>
      </c>
      <c r="S1609" s="1">
        <v>11205727.531532001</v>
      </c>
      <c r="T1609" s="1">
        <v>35.094668122553998</v>
      </c>
      <c r="U1609" t="str">
        <f t="shared" si="25"/>
        <v>Week 4</v>
      </c>
    </row>
    <row r="1610" spans="1:21" x14ac:dyDescent="0.25">
      <c r="A1610" s="1">
        <v>1609</v>
      </c>
      <c r="B1610" s="1" t="s">
        <v>1904</v>
      </c>
      <c r="C1610" s="2">
        <v>46014</v>
      </c>
      <c r="D1610" s="1" t="s">
        <v>202</v>
      </c>
      <c r="E1610" s="1" t="s">
        <v>22</v>
      </c>
      <c r="F1610" s="1" t="s">
        <v>23</v>
      </c>
      <c r="G1610" s="1" t="s">
        <v>24</v>
      </c>
      <c r="H1610" s="1">
        <v>1</v>
      </c>
      <c r="I1610" s="1" t="s">
        <v>1905</v>
      </c>
      <c r="J1610" s="1" t="s">
        <v>26</v>
      </c>
      <c r="K1610" s="1">
        <v>3200000</v>
      </c>
      <c r="L1610" s="1">
        <v>0</v>
      </c>
      <c r="M1610" s="1">
        <v>0</v>
      </c>
      <c r="N1610" s="1">
        <v>352000</v>
      </c>
      <c r="O1610" s="1">
        <v>0</v>
      </c>
      <c r="P1610" s="1">
        <v>0</v>
      </c>
      <c r="Q1610" s="1">
        <v>0</v>
      </c>
      <c r="R1610" s="1">
        <v>3552000</v>
      </c>
      <c r="S1610" s="1">
        <v>3200000</v>
      </c>
      <c r="T1610" s="1">
        <v>100</v>
      </c>
      <c r="U1610" t="str">
        <f t="shared" si="25"/>
        <v>Week 4</v>
      </c>
    </row>
    <row r="1611" spans="1:21" x14ac:dyDescent="0.25">
      <c r="A1611" s="1">
        <v>1610</v>
      </c>
      <c r="B1611" s="1" t="s">
        <v>1906</v>
      </c>
      <c r="C1611" s="2">
        <v>46014</v>
      </c>
      <c r="D1611" s="1" t="s">
        <v>248</v>
      </c>
      <c r="E1611" s="1" t="s">
        <v>99</v>
      </c>
      <c r="F1611" s="1" t="s">
        <v>30</v>
      </c>
      <c r="G1611" s="1" t="s">
        <v>24</v>
      </c>
      <c r="H1611" s="1">
        <v>1</v>
      </c>
      <c r="I1611" s="1" t="s">
        <v>1632</v>
      </c>
      <c r="J1611" s="1" t="s">
        <v>26</v>
      </c>
      <c r="K1611" s="1">
        <v>7840000</v>
      </c>
      <c r="L1611" s="1">
        <v>0</v>
      </c>
      <c r="M1611" s="1">
        <v>0</v>
      </c>
      <c r="N1611" s="1">
        <v>862400</v>
      </c>
      <c r="O1611" s="1">
        <v>0</v>
      </c>
      <c r="P1611" s="1">
        <v>0</v>
      </c>
      <c r="Q1611" s="1">
        <v>0</v>
      </c>
      <c r="R1611" s="1">
        <v>8702400</v>
      </c>
      <c r="S1611" s="1">
        <v>1952000</v>
      </c>
      <c r="T1611" s="1">
        <v>24.897959183672999</v>
      </c>
      <c r="U1611" t="str">
        <f t="shared" si="25"/>
        <v>Week 4</v>
      </c>
    </row>
    <row r="1612" spans="1:21" x14ac:dyDescent="0.25">
      <c r="A1612" s="1">
        <v>1611</v>
      </c>
      <c r="B1612" s="1" t="s">
        <v>1907</v>
      </c>
      <c r="C1612" s="2">
        <v>46014</v>
      </c>
      <c r="D1612" s="1" t="s">
        <v>432</v>
      </c>
      <c r="E1612" s="1" t="s">
        <v>1281</v>
      </c>
      <c r="F1612" s="1" t="s">
        <v>30</v>
      </c>
      <c r="G1612" s="1" t="s">
        <v>24</v>
      </c>
      <c r="H1612" s="1">
        <v>1</v>
      </c>
      <c r="I1612" s="1" t="s">
        <v>1908</v>
      </c>
      <c r="J1612" s="1" t="s">
        <v>26</v>
      </c>
      <c r="K1612" s="1">
        <v>13600000</v>
      </c>
      <c r="L1612" s="1">
        <v>0</v>
      </c>
      <c r="M1612" s="1">
        <v>0</v>
      </c>
      <c r="N1612" s="1">
        <v>1496000</v>
      </c>
      <c r="O1612" s="1">
        <v>0</v>
      </c>
      <c r="P1612" s="1">
        <v>0</v>
      </c>
      <c r="Q1612" s="1">
        <v>0</v>
      </c>
      <c r="R1612" s="1">
        <v>15096000</v>
      </c>
      <c r="S1612" s="1">
        <v>3600000</v>
      </c>
      <c r="T1612" s="1">
        <v>26.470588235293999</v>
      </c>
      <c r="U1612" t="str">
        <f t="shared" si="25"/>
        <v>Week 4</v>
      </c>
    </row>
    <row r="1613" spans="1:21" x14ac:dyDescent="0.25">
      <c r="A1613" s="1">
        <v>1612</v>
      </c>
      <c r="B1613" s="1" t="s">
        <v>1909</v>
      </c>
      <c r="C1613" s="2">
        <v>46014</v>
      </c>
      <c r="D1613" s="1" t="s">
        <v>53</v>
      </c>
      <c r="E1613" s="1" t="s">
        <v>1530</v>
      </c>
      <c r="F1613" s="1" t="s">
        <v>23</v>
      </c>
      <c r="G1613" s="1" t="s">
        <v>24</v>
      </c>
      <c r="H1613" s="1">
        <v>1</v>
      </c>
      <c r="I1613" s="1" t="s">
        <v>302</v>
      </c>
      <c r="J1613" s="1"/>
      <c r="K1613" s="1">
        <v>31000</v>
      </c>
      <c r="L1613" s="1">
        <v>0</v>
      </c>
      <c r="M1613" s="1">
        <v>0</v>
      </c>
      <c r="N1613" s="1">
        <v>3410</v>
      </c>
      <c r="O1613" s="1">
        <v>0</v>
      </c>
      <c r="P1613" s="1">
        <v>0</v>
      </c>
      <c r="Q1613" s="1">
        <v>0</v>
      </c>
      <c r="R1613" s="1">
        <v>34410</v>
      </c>
      <c r="S1613" s="1">
        <v>13689.189189999999</v>
      </c>
      <c r="T1613" s="1">
        <v>44.158674806451998</v>
      </c>
      <c r="U1613" t="str">
        <f t="shared" si="25"/>
        <v>Week 4</v>
      </c>
    </row>
    <row r="1614" spans="1:21" x14ac:dyDescent="0.25">
      <c r="A1614" s="1">
        <v>1613</v>
      </c>
      <c r="B1614" s="1" t="s">
        <v>1910</v>
      </c>
      <c r="C1614" s="2">
        <v>46014</v>
      </c>
      <c r="D1614" s="1" t="s">
        <v>432</v>
      </c>
      <c r="E1614" s="1" t="s">
        <v>1281</v>
      </c>
      <c r="F1614" s="1" t="s">
        <v>30</v>
      </c>
      <c r="G1614" s="1" t="s">
        <v>24</v>
      </c>
      <c r="H1614" s="1">
        <v>1</v>
      </c>
      <c r="I1614" s="1" t="s">
        <v>1911</v>
      </c>
      <c r="J1614" s="1" t="s">
        <v>26</v>
      </c>
      <c r="K1614" s="1">
        <v>11434640</v>
      </c>
      <c r="L1614" s="1">
        <v>0</v>
      </c>
      <c r="M1614" s="1">
        <v>0</v>
      </c>
      <c r="N1614" s="1">
        <v>1257810.3999999999</v>
      </c>
      <c r="O1614" s="1">
        <v>0</v>
      </c>
      <c r="P1614" s="1">
        <v>0</v>
      </c>
      <c r="Q1614" s="1">
        <v>0</v>
      </c>
      <c r="R1614" s="1">
        <v>12692450.4</v>
      </c>
      <c r="S1614" s="1">
        <v>6795000.3600000003</v>
      </c>
      <c r="T1614" s="1">
        <v>59.424698635025003</v>
      </c>
      <c r="U1614" t="str">
        <f t="shared" si="25"/>
        <v>Week 4</v>
      </c>
    </row>
    <row r="1615" spans="1:21" x14ac:dyDescent="0.25">
      <c r="A1615" s="1">
        <v>1614</v>
      </c>
      <c r="B1615" s="1" t="s">
        <v>1912</v>
      </c>
      <c r="C1615" s="2">
        <v>46014</v>
      </c>
      <c r="D1615" s="1" t="s">
        <v>21</v>
      </c>
      <c r="E1615" s="1" t="s">
        <v>22</v>
      </c>
      <c r="F1615" s="1" t="s">
        <v>30</v>
      </c>
      <c r="G1615" s="1" t="s">
        <v>24</v>
      </c>
      <c r="H1615" s="1">
        <v>1</v>
      </c>
      <c r="I1615" s="1" t="s">
        <v>1913</v>
      </c>
      <c r="J1615" s="1" t="s">
        <v>26</v>
      </c>
      <c r="K1615" s="1">
        <v>4498200</v>
      </c>
      <c r="L1615" s="1">
        <v>0</v>
      </c>
      <c r="M1615" s="1">
        <v>0</v>
      </c>
      <c r="N1615" s="1">
        <v>494802</v>
      </c>
      <c r="O1615" s="1">
        <v>0</v>
      </c>
      <c r="P1615" s="1">
        <v>0</v>
      </c>
      <c r="Q1615" s="1">
        <v>0</v>
      </c>
      <c r="R1615" s="1">
        <v>4993002</v>
      </c>
      <c r="S1615" s="1">
        <v>1948200</v>
      </c>
      <c r="T1615" s="1">
        <v>43.310657596372003</v>
      </c>
      <c r="U1615" t="str">
        <f t="shared" si="25"/>
        <v>Week 4</v>
      </c>
    </row>
    <row r="1616" spans="1:21" x14ac:dyDescent="0.25">
      <c r="A1616" s="1">
        <v>1615</v>
      </c>
      <c r="B1616" s="1" t="s">
        <v>1914</v>
      </c>
      <c r="C1616" s="2">
        <v>46014</v>
      </c>
      <c r="D1616" s="1" t="s">
        <v>21</v>
      </c>
      <c r="E1616" s="1" t="s">
        <v>22</v>
      </c>
      <c r="F1616" s="1" t="s">
        <v>30</v>
      </c>
      <c r="G1616" s="1" t="s">
        <v>24</v>
      </c>
      <c r="H1616" s="1">
        <v>1</v>
      </c>
      <c r="I1616" s="1" t="s">
        <v>1915</v>
      </c>
      <c r="J1616" s="1" t="s">
        <v>26</v>
      </c>
      <c r="K1616" s="1">
        <v>21000000</v>
      </c>
      <c r="L1616" s="1">
        <v>0</v>
      </c>
      <c r="M1616" s="1">
        <v>0</v>
      </c>
      <c r="N1616" s="1">
        <v>2310000</v>
      </c>
      <c r="O1616" s="1">
        <v>0</v>
      </c>
      <c r="P1616" s="1">
        <v>0</v>
      </c>
      <c r="Q1616" s="1">
        <v>0</v>
      </c>
      <c r="R1616" s="1">
        <v>23310000</v>
      </c>
      <c r="S1616" s="1">
        <v>2500000</v>
      </c>
      <c r="T1616" s="1">
        <v>11.904761904761999</v>
      </c>
      <c r="U1616" t="str">
        <f t="shared" si="25"/>
        <v>Week 4</v>
      </c>
    </row>
    <row r="1617" spans="1:21" x14ac:dyDescent="0.25">
      <c r="A1617" s="1">
        <v>1616</v>
      </c>
      <c r="B1617" s="1" t="s">
        <v>1916</v>
      </c>
      <c r="C1617" s="2">
        <v>46014</v>
      </c>
      <c r="D1617" s="1" t="s">
        <v>21</v>
      </c>
      <c r="E1617" s="1" t="s">
        <v>22</v>
      </c>
      <c r="F1617" s="1" t="s">
        <v>30</v>
      </c>
      <c r="G1617" s="1" t="s">
        <v>24</v>
      </c>
      <c r="H1617" s="1">
        <v>1</v>
      </c>
      <c r="I1617" s="1" t="s">
        <v>1917</v>
      </c>
      <c r="J1617" s="1" t="s">
        <v>26</v>
      </c>
      <c r="K1617" s="1">
        <v>2338157.5</v>
      </c>
      <c r="L1617" s="1">
        <v>0</v>
      </c>
      <c r="M1617" s="1">
        <v>0</v>
      </c>
      <c r="N1617" s="1">
        <v>257197.32500000001</v>
      </c>
      <c r="O1617" s="1">
        <v>0</v>
      </c>
      <c r="P1617" s="1">
        <v>0</v>
      </c>
      <c r="Q1617" s="1">
        <v>0</v>
      </c>
      <c r="R1617" s="1">
        <v>2595354.8250000002</v>
      </c>
      <c r="S1617" s="1">
        <v>1109238.5810811</v>
      </c>
      <c r="T1617" s="1">
        <v>47.440712658625003</v>
      </c>
      <c r="U1617" t="str">
        <f t="shared" si="25"/>
        <v>Week 4</v>
      </c>
    </row>
    <row r="1618" spans="1:21" x14ac:dyDescent="0.25">
      <c r="A1618" s="1">
        <v>1617</v>
      </c>
      <c r="B1618" s="1" t="s">
        <v>1918</v>
      </c>
      <c r="C1618" s="2">
        <v>46014</v>
      </c>
      <c r="D1618" s="1" t="s">
        <v>21</v>
      </c>
      <c r="E1618" s="1" t="s">
        <v>22</v>
      </c>
      <c r="F1618" s="1" t="s">
        <v>30</v>
      </c>
      <c r="G1618" s="1" t="s">
        <v>24</v>
      </c>
      <c r="H1618" s="1">
        <v>1</v>
      </c>
      <c r="I1618" s="1" t="s">
        <v>1919</v>
      </c>
      <c r="J1618" s="1"/>
      <c r="K1618" s="1">
        <v>43266118</v>
      </c>
      <c r="L1618" s="1">
        <v>0</v>
      </c>
      <c r="M1618" s="1">
        <v>0</v>
      </c>
      <c r="N1618" s="1">
        <v>4759272.9800000004</v>
      </c>
      <c r="O1618" s="1">
        <v>0</v>
      </c>
      <c r="P1618" s="1">
        <v>0</v>
      </c>
      <c r="Q1618" s="1">
        <v>0</v>
      </c>
      <c r="R1618" s="1">
        <v>48025390.979999997</v>
      </c>
      <c r="S1618" s="1">
        <v>9436862.3000000007</v>
      </c>
      <c r="T1618" s="1">
        <v>21.811206404050001</v>
      </c>
      <c r="U1618" t="str">
        <f t="shared" si="25"/>
        <v>Week 4</v>
      </c>
    </row>
    <row r="1619" spans="1:21" x14ac:dyDescent="0.25">
      <c r="A1619" s="1">
        <v>1618</v>
      </c>
      <c r="B1619" s="1" t="s">
        <v>1920</v>
      </c>
      <c r="C1619" s="2">
        <v>46014</v>
      </c>
      <c r="D1619" s="1" t="s">
        <v>33</v>
      </c>
      <c r="E1619" s="1" t="s">
        <v>34</v>
      </c>
      <c r="F1619" s="1" t="s">
        <v>30</v>
      </c>
      <c r="G1619" s="1" t="s">
        <v>24</v>
      </c>
      <c r="H1619" s="1">
        <v>1</v>
      </c>
      <c r="I1619" s="1" t="s">
        <v>1921</v>
      </c>
      <c r="J1619" s="1" t="s">
        <v>56</v>
      </c>
      <c r="K1619" s="1">
        <v>125994564.88</v>
      </c>
      <c r="L1619" s="1">
        <v>0</v>
      </c>
      <c r="M1619" s="1">
        <v>0</v>
      </c>
      <c r="N1619" s="1">
        <v>13859402.1368</v>
      </c>
      <c r="O1619" s="1">
        <v>0</v>
      </c>
      <c r="P1619" s="1">
        <v>0</v>
      </c>
      <c r="Q1619" s="1">
        <v>0</v>
      </c>
      <c r="R1619" s="1">
        <v>139853967.01679999</v>
      </c>
      <c r="S1619" s="1">
        <v>17886456.771892</v>
      </c>
      <c r="T1619" s="1">
        <v>14.196212978653</v>
      </c>
      <c r="U1619" t="str">
        <f t="shared" si="25"/>
        <v>Week 4</v>
      </c>
    </row>
    <row r="1620" spans="1:21" x14ac:dyDescent="0.25">
      <c r="A1620" s="1">
        <v>1619</v>
      </c>
      <c r="B1620" s="1" t="s">
        <v>1922</v>
      </c>
      <c r="C1620" s="2">
        <v>46014</v>
      </c>
      <c r="D1620" s="1" t="s">
        <v>21</v>
      </c>
      <c r="E1620" s="1" t="s">
        <v>22</v>
      </c>
      <c r="F1620" s="1" t="s">
        <v>30</v>
      </c>
      <c r="G1620" s="1" t="s">
        <v>24</v>
      </c>
      <c r="H1620" s="1">
        <v>1</v>
      </c>
      <c r="I1620" s="1" t="s">
        <v>1923</v>
      </c>
      <c r="J1620" s="1" t="s">
        <v>26</v>
      </c>
      <c r="K1620" s="1">
        <v>257838</v>
      </c>
      <c r="L1620" s="1">
        <v>0</v>
      </c>
      <c r="M1620" s="1">
        <v>0</v>
      </c>
      <c r="N1620" s="1">
        <v>28362.18</v>
      </c>
      <c r="O1620" s="1">
        <v>0</v>
      </c>
      <c r="P1620" s="1">
        <v>0</v>
      </c>
      <c r="Q1620" s="1">
        <v>0</v>
      </c>
      <c r="R1620" s="1">
        <v>286200.18</v>
      </c>
      <c r="S1620" s="1">
        <v>23088</v>
      </c>
      <c r="T1620" s="1">
        <v>8.9544597770692995</v>
      </c>
      <c r="U1620" t="str">
        <f t="shared" si="25"/>
        <v>Week 4</v>
      </c>
    </row>
    <row r="1621" spans="1:21" x14ac:dyDescent="0.25">
      <c r="A1621" s="1">
        <v>1620</v>
      </c>
      <c r="B1621" s="1" t="s">
        <v>1924</v>
      </c>
      <c r="C1621" s="2">
        <v>46014</v>
      </c>
      <c r="D1621" s="1" t="s">
        <v>33</v>
      </c>
      <c r="E1621" s="1" t="s">
        <v>34</v>
      </c>
      <c r="F1621" s="1" t="s">
        <v>30</v>
      </c>
      <c r="G1621" s="1" t="s">
        <v>24</v>
      </c>
      <c r="H1621" s="1">
        <v>1</v>
      </c>
      <c r="I1621" s="1" t="s">
        <v>1674</v>
      </c>
      <c r="J1621" s="1"/>
      <c r="K1621" s="1">
        <v>953520</v>
      </c>
      <c r="L1621" s="1">
        <v>0</v>
      </c>
      <c r="M1621" s="1">
        <v>0</v>
      </c>
      <c r="N1621" s="1">
        <v>104887.2</v>
      </c>
      <c r="O1621" s="1">
        <v>0</v>
      </c>
      <c r="P1621" s="1">
        <v>0</v>
      </c>
      <c r="Q1621" s="1">
        <v>0</v>
      </c>
      <c r="R1621" s="1">
        <v>1058407.2</v>
      </c>
      <c r="S1621" s="1">
        <v>315420</v>
      </c>
      <c r="T1621" s="1">
        <v>33.079536873899002</v>
      </c>
      <c r="U1621" t="str">
        <f t="shared" si="25"/>
        <v>Week 4</v>
      </c>
    </row>
    <row r="1622" spans="1:21" x14ac:dyDescent="0.25">
      <c r="A1622" s="1">
        <v>1621</v>
      </c>
      <c r="B1622" s="1" t="s">
        <v>1925</v>
      </c>
      <c r="C1622" s="2">
        <v>46014</v>
      </c>
      <c r="D1622" s="1" t="s">
        <v>33</v>
      </c>
      <c r="E1622" s="1" t="s">
        <v>34</v>
      </c>
      <c r="F1622" s="1" t="s">
        <v>23</v>
      </c>
      <c r="G1622" s="1" t="s">
        <v>24</v>
      </c>
      <c r="H1622" s="1">
        <v>1</v>
      </c>
      <c r="I1622" s="1" t="s">
        <v>1806</v>
      </c>
      <c r="J1622" s="1"/>
      <c r="K1622" s="1">
        <v>1004500</v>
      </c>
      <c r="L1622" s="1">
        <v>0</v>
      </c>
      <c r="M1622" s="1">
        <v>0</v>
      </c>
      <c r="N1622" s="1">
        <v>110495</v>
      </c>
      <c r="O1622" s="1">
        <v>0</v>
      </c>
      <c r="P1622" s="1">
        <v>0</v>
      </c>
      <c r="Q1622" s="1">
        <v>0</v>
      </c>
      <c r="R1622" s="1">
        <v>1114995</v>
      </c>
      <c r="S1622" s="1">
        <v>479500</v>
      </c>
      <c r="T1622" s="1">
        <v>47.735191637630997</v>
      </c>
      <c r="U1622" t="str">
        <f t="shared" si="25"/>
        <v>Week 4</v>
      </c>
    </row>
    <row r="1623" spans="1:21" x14ac:dyDescent="0.25">
      <c r="A1623" s="1">
        <v>1622</v>
      </c>
      <c r="B1623" s="1" t="s">
        <v>1926</v>
      </c>
      <c r="C1623" s="2">
        <v>46014</v>
      </c>
      <c r="D1623" s="1" t="s">
        <v>184</v>
      </c>
      <c r="E1623" s="1" t="s">
        <v>99</v>
      </c>
      <c r="F1623" s="1" t="s">
        <v>30</v>
      </c>
      <c r="G1623" s="1" t="s">
        <v>24</v>
      </c>
      <c r="H1623" s="1">
        <v>1</v>
      </c>
      <c r="I1623" s="1" t="s">
        <v>1927</v>
      </c>
      <c r="J1623" s="1" t="s">
        <v>26</v>
      </c>
      <c r="K1623" s="1">
        <v>1766156</v>
      </c>
      <c r="L1623" s="1">
        <v>0</v>
      </c>
      <c r="M1623" s="1">
        <v>0</v>
      </c>
      <c r="N1623" s="1">
        <v>194277.16</v>
      </c>
      <c r="O1623" s="1">
        <v>0</v>
      </c>
      <c r="P1623" s="1">
        <v>0</v>
      </c>
      <c r="Q1623" s="1">
        <v>0</v>
      </c>
      <c r="R1623" s="1">
        <v>1960433.16</v>
      </c>
      <c r="S1623" s="1">
        <v>0</v>
      </c>
      <c r="T1623" s="1">
        <v>0</v>
      </c>
      <c r="U1623" t="str">
        <f t="shared" si="25"/>
        <v>Week 4</v>
      </c>
    </row>
    <row r="1624" spans="1:21" x14ac:dyDescent="0.25">
      <c r="A1624" s="1">
        <v>1623</v>
      </c>
      <c r="B1624" s="1" t="s">
        <v>1928</v>
      </c>
      <c r="C1624" s="2">
        <v>46014</v>
      </c>
      <c r="D1624" s="1" t="s">
        <v>248</v>
      </c>
      <c r="E1624" s="1" t="s">
        <v>99</v>
      </c>
      <c r="F1624" s="1" t="s">
        <v>30</v>
      </c>
      <c r="G1624" s="1" t="s">
        <v>24</v>
      </c>
      <c r="H1624" s="1">
        <v>1</v>
      </c>
      <c r="I1624" s="1" t="s">
        <v>1929</v>
      </c>
      <c r="J1624" s="1" t="s">
        <v>26</v>
      </c>
      <c r="K1624" s="1">
        <v>11141000</v>
      </c>
      <c r="L1624" s="1">
        <v>0</v>
      </c>
      <c r="M1624" s="1">
        <v>0</v>
      </c>
      <c r="N1624" s="1">
        <v>1225510</v>
      </c>
      <c r="O1624" s="1">
        <v>0</v>
      </c>
      <c r="P1624" s="1">
        <v>0</v>
      </c>
      <c r="Q1624" s="1">
        <v>0</v>
      </c>
      <c r="R1624" s="1">
        <v>12366510</v>
      </c>
      <c r="S1624" s="1">
        <v>43247.393333289001</v>
      </c>
      <c r="T1624" s="1">
        <v>0.38818232953316001</v>
      </c>
      <c r="U1624" t="str">
        <f t="shared" si="25"/>
        <v>Week 4</v>
      </c>
    </row>
    <row r="1625" spans="1:21" x14ac:dyDescent="0.25">
      <c r="A1625" s="1">
        <v>1624</v>
      </c>
      <c r="B1625" s="1" t="s">
        <v>1930</v>
      </c>
      <c r="C1625" s="2">
        <v>46014</v>
      </c>
      <c r="D1625" s="1" t="s">
        <v>98</v>
      </c>
      <c r="E1625" s="1" t="s">
        <v>99</v>
      </c>
      <c r="F1625" s="1" t="s">
        <v>30</v>
      </c>
      <c r="G1625" s="1" t="s">
        <v>24</v>
      </c>
      <c r="H1625" s="1">
        <v>1</v>
      </c>
      <c r="I1625" s="1" t="s">
        <v>1931</v>
      </c>
      <c r="J1625" s="1"/>
      <c r="K1625" s="1">
        <v>865200</v>
      </c>
      <c r="L1625" s="1">
        <v>0</v>
      </c>
      <c r="M1625" s="1">
        <v>0</v>
      </c>
      <c r="N1625" s="1">
        <v>95172</v>
      </c>
      <c r="O1625" s="1">
        <v>0</v>
      </c>
      <c r="P1625" s="1">
        <v>0</v>
      </c>
      <c r="Q1625" s="1">
        <v>0</v>
      </c>
      <c r="R1625" s="1">
        <v>960372</v>
      </c>
      <c r="S1625" s="1">
        <v>82950</v>
      </c>
      <c r="T1625" s="1">
        <v>9.5873786407767003</v>
      </c>
      <c r="U1625" t="str">
        <f t="shared" si="25"/>
        <v>Week 4</v>
      </c>
    </row>
    <row r="1626" spans="1:21" x14ac:dyDescent="0.25">
      <c r="A1626" s="1">
        <v>1625</v>
      </c>
      <c r="B1626" s="1" t="s">
        <v>2289</v>
      </c>
      <c r="C1626" s="2">
        <v>46014</v>
      </c>
      <c r="D1626" s="1" t="s">
        <v>2210</v>
      </c>
      <c r="E1626" s="1" t="s">
        <v>1675</v>
      </c>
      <c r="F1626" s="1" t="s">
        <v>23</v>
      </c>
      <c r="G1626" s="1" t="s">
        <v>24</v>
      </c>
      <c r="H1626" s="1">
        <v>1</v>
      </c>
      <c r="I1626" s="1" t="s">
        <v>2284</v>
      </c>
      <c r="J1626" s="1"/>
      <c r="K1626" s="1">
        <v>33520000</v>
      </c>
      <c r="L1626" s="1">
        <v>0</v>
      </c>
      <c r="M1626" s="1">
        <v>0</v>
      </c>
      <c r="N1626" s="1">
        <v>3687200</v>
      </c>
      <c r="O1626" s="1">
        <v>0</v>
      </c>
      <c r="P1626" s="1">
        <v>0</v>
      </c>
      <c r="Q1626" s="1">
        <v>0</v>
      </c>
      <c r="R1626" s="1">
        <v>37207200</v>
      </c>
      <c r="S1626" s="1">
        <v>13721351.351352001</v>
      </c>
      <c r="T1626" s="1">
        <v>40.934819067277999</v>
      </c>
      <c r="U1626" t="str">
        <f t="shared" si="25"/>
        <v>Week 4</v>
      </c>
    </row>
    <row r="1627" spans="1:21" x14ac:dyDescent="0.25">
      <c r="A1627" s="1">
        <v>1626</v>
      </c>
      <c r="B1627" s="1" t="s">
        <v>1932</v>
      </c>
      <c r="C1627" s="2">
        <v>46014</v>
      </c>
      <c r="D1627" s="1" t="s">
        <v>33</v>
      </c>
      <c r="E1627" s="1" t="s">
        <v>34</v>
      </c>
      <c r="F1627" s="1" t="s">
        <v>30</v>
      </c>
      <c r="G1627" s="1" t="s">
        <v>24</v>
      </c>
      <c r="H1627" s="1">
        <v>1</v>
      </c>
      <c r="I1627" s="1" t="s">
        <v>1933</v>
      </c>
      <c r="J1627" s="1"/>
      <c r="K1627" s="1">
        <v>10368048.199999999</v>
      </c>
      <c r="L1627" s="1">
        <v>0</v>
      </c>
      <c r="M1627" s="1">
        <v>0</v>
      </c>
      <c r="N1627" s="1">
        <v>1140485.3019999999</v>
      </c>
      <c r="O1627" s="1">
        <v>0</v>
      </c>
      <c r="P1627" s="1">
        <v>0</v>
      </c>
      <c r="Q1627" s="1">
        <v>0</v>
      </c>
      <c r="R1627" s="1">
        <v>11508533.502</v>
      </c>
      <c r="S1627" s="1">
        <v>3717187.9</v>
      </c>
      <c r="T1627" s="1">
        <v>35.852340076890997</v>
      </c>
      <c r="U1627" t="str">
        <f t="shared" si="25"/>
        <v>Week 4</v>
      </c>
    </row>
    <row r="1628" spans="1:21" x14ac:dyDescent="0.25">
      <c r="A1628" s="1">
        <v>1627</v>
      </c>
      <c r="B1628" s="1" t="s">
        <v>1934</v>
      </c>
      <c r="C1628" s="2">
        <v>46014</v>
      </c>
      <c r="D1628" s="1" t="s">
        <v>98</v>
      </c>
      <c r="E1628" s="1" t="s">
        <v>99</v>
      </c>
      <c r="F1628" s="1" t="s">
        <v>30</v>
      </c>
      <c r="G1628" s="1" t="s">
        <v>24</v>
      </c>
      <c r="H1628" s="1">
        <v>1</v>
      </c>
      <c r="I1628" s="1" t="s">
        <v>1935</v>
      </c>
      <c r="J1628" s="1" t="s">
        <v>26</v>
      </c>
      <c r="K1628" s="1">
        <v>6180000</v>
      </c>
      <c r="L1628" s="1">
        <v>0</v>
      </c>
      <c r="M1628" s="1">
        <v>0</v>
      </c>
      <c r="N1628" s="1">
        <v>679800</v>
      </c>
      <c r="O1628" s="1">
        <v>0</v>
      </c>
      <c r="P1628" s="1">
        <v>0</v>
      </c>
      <c r="Q1628" s="1">
        <v>0</v>
      </c>
      <c r="R1628" s="1">
        <v>6859800</v>
      </c>
      <c r="S1628" s="1">
        <v>180000</v>
      </c>
      <c r="T1628" s="1">
        <v>2.9126213592233001</v>
      </c>
      <c r="U1628" t="str">
        <f t="shared" si="25"/>
        <v>Week 4</v>
      </c>
    </row>
    <row r="1629" spans="1:21" x14ac:dyDescent="0.25">
      <c r="A1629" s="1">
        <v>1628</v>
      </c>
      <c r="B1629" s="1" t="s">
        <v>1936</v>
      </c>
      <c r="C1629" s="2">
        <v>46014</v>
      </c>
      <c r="D1629" s="1" t="s">
        <v>98</v>
      </c>
      <c r="E1629" s="1" t="s">
        <v>99</v>
      </c>
      <c r="F1629" s="1" t="s">
        <v>30</v>
      </c>
      <c r="G1629" s="1" t="s">
        <v>24</v>
      </c>
      <c r="H1629" s="1">
        <v>1</v>
      </c>
      <c r="I1629" s="1" t="s">
        <v>1937</v>
      </c>
      <c r="J1629" s="1" t="s">
        <v>26</v>
      </c>
      <c r="K1629" s="1">
        <v>3893762</v>
      </c>
      <c r="L1629" s="1">
        <v>0</v>
      </c>
      <c r="M1629" s="1">
        <v>0</v>
      </c>
      <c r="N1629" s="1">
        <v>428313.82</v>
      </c>
      <c r="O1629" s="1">
        <v>0</v>
      </c>
      <c r="P1629" s="1">
        <v>0</v>
      </c>
      <c r="Q1629" s="1">
        <v>0</v>
      </c>
      <c r="R1629" s="1">
        <v>4322075.82</v>
      </c>
      <c r="S1629" s="1">
        <v>113412</v>
      </c>
      <c r="T1629" s="1">
        <v>2.9126587603453999</v>
      </c>
      <c r="U1629" t="str">
        <f t="shared" si="25"/>
        <v>Week 4</v>
      </c>
    </row>
    <row r="1630" spans="1:21" x14ac:dyDescent="0.25">
      <c r="A1630" s="1">
        <v>1629</v>
      </c>
      <c r="B1630" s="1" t="s">
        <v>1938</v>
      </c>
      <c r="C1630" s="2">
        <v>46014</v>
      </c>
      <c r="D1630" s="1" t="s">
        <v>33</v>
      </c>
      <c r="E1630" s="1" t="s">
        <v>34</v>
      </c>
      <c r="F1630" s="1" t="s">
        <v>30</v>
      </c>
      <c r="G1630" s="1" t="s">
        <v>24</v>
      </c>
      <c r="H1630" s="1">
        <v>1</v>
      </c>
      <c r="I1630" s="1" t="s">
        <v>1939</v>
      </c>
      <c r="J1630" s="1"/>
      <c r="K1630" s="1">
        <v>69545930</v>
      </c>
      <c r="L1630" s="1">
        <v>0</v>
      </c>
      <c r="M1630" s="1">
        <v>0</v>
      </c>
      <c r="N1630" s="1">
        <v>7650052.2999999998</v>
      </c>
      <c r="O1630" s="1">
        <v>0</v>
      </c>
      <c r="P1630" s="1">
        <v>0</v>
      </c>
      <c r="Q1630" s="1">
        <v>0</v>
      </c>
      <c r="R1630" s="1">
        <v>77195982.299999997</v>
      </c>
      <c r="S1630" s="1">
        <v>20494970</v>
      </c>
      <c r="T1630" s="1">
        <v>29.469690030747</v>
      </c>
      <c r="U1630" t="str">
        <f t="shared" si="25"/>
        <v>Week 4</v>
      </c>
    </row>
    <row r="1631" spans="1:21" x14ac:dyDescent="0.25">
      <c r="A1631" s="1">
        <v>1630</v>
      </c>
      <c r="B1631" s="1" t="s">
        <v>1940</v>
      </c>
      <c r="C1631" s="2">
        <v>46013</v>
      </c>
      <c r="D1631" s="1" t="s">
        <v>1941</v>
      </c>
      <c r="E1631" s="1" t="s">
        <v>1675</v>
      </c>
      <c r="F1631" s="1" t="s">
        <v>30</v>
      </c>
      <c r="G1631" s="1" t="s">
        <v>24</v>
      </c>
      <c r="H1631" s="1">
        <v>1</v>
      </c>
      <c r="I1631" s="1" t="s">
        <v>1942</v>
      </c>
      <c r="J1631" s="1"/>
      <c r="K1631" s="1">
        <v>5225225</v>
      </c>
      <c r="L1631" s="1">
        <v>0</v>
      </c>
      <c r="M1631" s="1">
        <v>0</v>
      </c>
      <c r="N1631" s="1">
        <v>574774.75</v>
      </c>
      <c r="O1631" s="1">
        <v>0</v>
      </c>
      <c r="P1631" s="1">
        <v>0</v>
      </c>
      <c r="Q1631" s="1">
        <v>0</v>
      </c>
      <c r="R1631" s="1">
        <v>5799999.75</v>
      </c>
      <c r="S1631" s="1">
        <v>225225</v>
      </c>
      <c r="T1631" s="1">
        <v>4.3103407030319003</v>
      </c>
      <c r="U1631" t="str">
        <f t="shared" si="25"/>
        <v>Week 4</v>
      </c>
    </row>
    <row r="1632" spans="1:21" x14ac:dyDescent="0.25">
      <c r="A1632" s="1">
        <v>1631</v>
      </c>
      <c r="B1632" s="1" t="s">
        <v>1943</v>
      </c>
      <c r="C1632" s="2">
        <v>46013</v>
      </c>
      <c r="D1632" s="1" t="s">
        <v>53</v>
      </c>
      <c r="E1632" s="1" t="s">
        <v>1530</v>
      </c>
      <c r="F1632" s="1" t="s">
        <v>30</v>
      </c>
      <c r="G1632" s="1" t="s">
        <v>24</v>
      </c>
      <c r="H1632" s="1">
        <v>1</v>
      </c>
      <c r="I1632" s="1" t="s">
        <v>1944</v>
      </c>
      <c r="J1632" s="1"/>
      <c r="K1632" s="1">
        <v>74870730</v>
      </c>
      <c r="L1632" s="1">
        <v>0</v>
      </c>
      <c r="M1632" s="1">
        <v>0</v>
      </c>
      <c r="N1632" s="1">
        <v>8235780.2999999998</v>
      </c>
      <c r="O1632" s="1">
        <v>0</v>
      </c>
      <c r="P1632" s="1">
        <v>0</v>
      </c>
      <c r="Q1632" s="1">
        <v>0</v>
      </c>
      <c r="R1632" s="1">
        <v>83106510.299999997</v>
      </c>
      <c r="S1632" s="1">
        <v>15462430</v>
      </c>
      <c r="T1632" s="1">
        <v>20.652169412532999</v>
      </c>
      <c r="U1632" t="str">
        <f t="shared" si="25"/>
        <v>Week 4</v>
      </c>
    </row>
    <row r="1633" spans="1:21" x14ac:dyDescent="0.25">
      <c r="A1633" s="1">
        <v>1632</v>
      </c>
      <c r="B1633" s="1" t="s">
        <v>1945</v>
      </c>
      <c r="C1633" s="2">
        <v>46013</v>
      </c>
      <c r="D1633" s="1" t="s">
        <v>184</v>
      </c>
      <c r="E1633" s="1" t="s">
        <v>116</v>
      </c>
      <c r="F1633" s="1" t="s">
        <v>30</v>
      </c>
      <c r="G1633" s="1" t="s">
        <v>24</v>
      </c>
      <c r="H1633" s="1">
        <v>1</v>
      </c>
      <c r="I1633" s="1" t="s">
        <v>1946</v>
      </c>
      <c r="J1633" s="1" t="s">
        <v>26</v>
      </c>
      <c r="K1633" s="1">
        <v>63844550</v>
      </c>
      <c r="L1633" s="1">
        <v>0</v>
      </c>
      <c r="M1633" s="1">
        <v>0</v>
      </c>
      <c r="N1633" s="1">
        <v>7022900.5</v>
      </c>
      <c r="O1633" s="1">
        <v>0</v>
      </c>
      <c r="P1633" s="1">
        <v>0</v>
      </c>
      <c r="Q1633" s="1">
        <v>0</v>
      </c>
      <c r="R1633" s="1">
        <v>70867450.5</v>
      </c>
      <c r="S1633" s="1">
        <v>1859550</v>
      </c>
      <c r="T1633" s="1">
        <v>2.9126213592233001</v>
      </c>
      <c r="U1633" t="str">
        <f t="shared" si="25"/>
        <v>Week 4</v>
      </c>
    </row>
    <row r="1634" spans="1:21" x14ac:dyDescent="0.25">
      <c r="A1634" s="1">
        <v>1633</v>
      </c>
      <c r="B1634" s="1" t="s">
        <v>1947</v>
      </c>
      <c r="C1634" s="2">
        <v>46013</v>
      </c>
      <c r="D1634" s="1" t="s">
        <v>28</v>
      </c>
      <c r="E1634" s="1" t="s">
        <v>1523</v>
      </c>
      <c r="F1634" s="1" t="s">
        <v>30</v>
      </c>
      <c r="G1634" s="1" t="s">
        <v>24</v>
      </c>
      <c r="H1634" s="1">
        <v>1</v>
      </c>
      <c r="I1634" s="1" t="s">
        <v>1948</v>
      </c>
      <c r="J1634" s="1" t="s">
        <v>26</v>
      </c>
      <c r="K1634" s="1">
        <v>128733520</v>
      </c>
      <c r="L1634" s="1">
        <v>0</v>
      </c>
      <c r="M1634" s="1">
        <v>0</v>
      </c>
      <c r="N1634" s="1">
        <v>14160687.199999999</v>
      </c>
      <c r="O1634" s="1">
        <v>0</v>
      </c>
      <c r="P1634" s="1">
        <v>0</v>
      </c>
      <c r="Q1634" s="1">
        <v>0</v>
      </c>
      <c r="R1634" s="1">
        <v>142894207.19999999</v>
      </c>
      <c r="S1634" s="1">
        <v>17805880.360429998</v>
      </c>
      <c r="T1634" s="1">
        <v>13.831580430978001</v>
      </c>
      <c r="U1634" t="str">
        <f t="shared" si="25"/>
        <v>Week 4</v>
      </c>
    </row>
    <row r="1635" spans="1:21" x14ac:dyDescent="0.25">
      <c r="A1635" s="1">
        <v>1634</v>
      </c>
      <c r="B1635" s="1" t="s">
        <v>1949</v>
      </c>
      <c r="C1635" s="2">
        <v>46013</v>
      </c>
      <c r="D1635" s="1" t="s">
        <v>53</v>
      </c>
      <c r="E1635" s="1" t="s">
        <v>1530</v>
      </c>
      <c r="F1635" s="1" t="s">
        <v>30</v>
      </c>
      <c r="G1635" s="1" t="s">
        <v>24</v>
      </c>
      <c r="H1635" s="1">
        <v>1</v>
      </c>
      <c r="I1635" s="1" t="s">
        <v>1950</v>
      </c>
      <c r="J1635" s="1"/>
      <c r="K1635" s="1">
        <v>47161569</v>
      </c>
      <c r="L1635" s="1">
        <v>0</v>
      </c>
      <c r="M1635" s="1">
        <v>0</v>
      </c>
      <c r="N1635" s="1">
        <v>5187772.59</v>
      </c>
      <c r="O1635" s="1">
        <v>0</v>
      </c>
      <c r="P1635" s="1">
        <v>0</v>
      </c>
      <c r="Q1635" s="1">
        <v>0</v>
      </c>
      <c r="R1635" s="1">
        <v>52349341.590000004</v>
      </c>
      <c r="S1635" s="1">
        <v>5314569</v>
      </c>
      <c r="T1635" s="1">
        <v>11.268855368234</v>
      </c>
      <c r="U1635" t="str">
        <f t="shared" si="25"/>
        <v>Week 4</v>
      </c>
    </row>
    <row r="1636" spans="1:21" x14ac:dyDescent="0.25">
      <c r="A1636" s="1">
        <v>1635</v>
      </c>
      <c r="B1636" s="1" t="s">
        <v>1951</v>
      </c>
      <c r="C1636" s="2">
        <v>46013</v>
      </c>
      <c r="D1636" s="1" t="s">
        <v>33</v>
      </c>
      <c r="E1636" s="1" t="s">
        <v>1530</v>
      </c>
      <c r="F1636" s="1" t="s">
        <v>39</v>
      </c>
      <c r="G1636" s="1" t="s">
        <v>24</v>
      </c>
      <c r="H1636" s="1">
        <v>1</v>
      </c>
      <c r="I1636" s="1" t="s">
        <v>1952</v>
      </c>
      <c r="J1636" s="1"/>
      <c r="K1636" s="1">
        <v>24893738.7837</v>
      </c>
      <c r="L1636" s="1">
        <v>0</v>
      </c>
      <c r="M1636" s="1">
        <v>0</v>
      </c>
      <c r="N1636" s="1">
        <v>2738311.2662069998</v>
      </c>
      <c r="O1636" s="1">
        <v>0</v>
      </c>
      <c r="P1636" s="1">
        <v>0</v>
      </c>
      <c r="Q1636" s="1">
        <v>0</v>
      </c>
      <c r="R1636" s="1">
        <v>27632050.049906999</v>
      </c>
      <c r="S1636" s="1">
        <v>6555055.2972135004</v>
      </c>
      <c r="T1636" s="1">
        <v>26.332144617447</v>
      </c>
      <c r="U1636" t="str">
        <f t="shared" si="25"/>
        <v>Week 4</v>
      </c>
    </row>
    <row r="1637" spans="1:21" x14ac:dyDescent="0.25">
      <c r="A1637" s="1">
        <v>1636</v>
      </c>
      <c r="B1637" s="1" t="s">
        <v>1953</v>
      </c>
      <c r="C1637" s="2">
        <v>46013</v>
      </c>
      <c r="D1637" s="1" t="s">
        <v>53</v>
      </c>
      <c r="E1637" s="1" t="s">
        <v>1530</v>
      </c>
      <c r="F1637" s="1" t="s">
        <v>23</v>
      </c>
      <c r="G1637" s="1" t="s">
        <v>24</v>
      </c>
      <c r="H1637" s="1">
        <v>1</v>
      </c>
      <c r="I1637" s="1" t="s">
        <v>1954</v>
      </c>
      <c r="J1637" s="1"/>
      <c r="K1637" s="1">
        <v>35663823.529412001</v>
      </c>
      <c r="L1637" s="1">
        <v>0</v>
      </c>
      <c r="M1637" s="1">
        <v>0</v>
      </c>
      <c r="N1637" s="1">
        <v>3923020.5882353</v>
      </c>
      <c r="O1637" s="1">
        <v>0</v>
      </c>
      <c r="P1637" s="1">
        <v>0</v>
      </c>
      <c r="Q1637" s="1">
        <v>0</v>
      </c>
      <c r="R1637" s="1">
        <v>39586844.117647</v>
      </c>
      <c r="S1637" s="1">
        <v>3869506.1458084001</v>
      </c>
      <c r="T1637" s="1">
        <v>10.849947545914</v>
      </c>
      <c r="U1637" t="str">
        <f t="shared" si="25"/>
        <v>Week 4</v>
      </c>
    </row>
    <row r="1638" spans="1:21" x14ac:dyDescent="0.25">
      <c r="A1638" s="1">
        <v>1637</v>
      </c>
      <c r="B1638" s="1" t="s">
        <v>1955</v>
      </c>
      <c r="C1638" s="2">
        <v>46013</v>
      </c>
      <c r="D1638" s="1" t="s">
        <v>53</v>
      </c>
      <c r="E1638" s="1" t="s">
        <v>1530</v>
      </c>
      <c r="F1638" s="1" t="s">
        <v>39</v>
      </c>
      <c r="G1638" s="1" t="s">
        <v>24</v>
      </c>
      <c r="H1638" s="1">
        <v>1</v>
      </c>
      <c r="I1638" s="1" t="s">
        <v>1956</v>
      </c>
      <c r="J1638" s="1"/>
      <c r="K1638" s="1">
        <v>35663823.529412001</v>
      </c>
      <c r="L1638" s="1">
        <v>0</v>
      </c>
      <c r="M1638" s="1">
        <v>0</v>
      </c>
      <c r="N1638" s="1">
        <v>3923020.5882353</v>
      </c>
      <c r="O1638" s="1">
        <v>0</v>
      </c>
      <c r="P1638" s="1">
        <v>0</v>
      </c>
      <c r="Q1638" s="1">
        <v>0</v>
      </c>
      <c r="R1638" s="1">
        <v>39586844.117647</v>
      </c>
      <c r="S1638" s="1">
        <v>3869506.1458084001</v>
      </c>
      <c r="T1638" s="1">
        <v>10.849947545914</v>
      </c>
      <c r="U1638" t="str">
        <f t="shared" si="25"/>
        <v>Week 4</v>
      </c>
    </row>
    <row r="1639" spans="1:21" x14ac:dyDescent="0.25">
      <c r="A1639" s="1">
        <v>1638</v>
      </c>
      <c r="B1639" s="1" t="s">
        <v>1957</v>
      </c>
      <c r="C1639" s="2">
        <v>46013</v>
      </c>
      <c r="D1639" s="1" t="s">
        <v>33</v>
      </c>
      <c r="E1639" s="1" t="s">
        <v>34</v>
      </c>
      <c r="F1639" s="1" t="s">
        <v>30</v>
      </c>
      <c r="G1639" s="1" t="s">
        <v>24</v>
      </c>
      <c r="H1639" s="1">
        <v>1</v>
      </c>
      <c r="I1639" s="1" t="s">
        <v>1958</v>
      </c>
      <c r="J1639" s="1"/>
      <c r="K1639" s="1">
        <v>4443155.2</v>
      </c>
      <c r="L1639" s="1">
        <v>0</v>
      </c>
      <c r="M1639" s="1">
        <v>0</v>
      </c>
      <c r="N1639" s="1">
        <v>488747.07199999999</v>
      </c>
      <c r="O1639" s="1">
        <v>0</v>
      </c>
      <c r="P1639" s="1">
        <v>0</v>
      </c>
      <c r="Q1639" s="1">
        <v>0</v>
      </c>
      <c r="R1639" s="1">
        <v>4931902.2719999999</v>
      </c>
      <c r="S1639" s="1">
        <v>4395155.2</v>
      </c>
      <c r="T1639" s="1">
        <v>98.919686622696005</v>
      </c>
      <c r="U1639" t="str">
        <f t="shared" si="25"/>
        <v>Week 4</v>
      </c>
    </row>
    <row r="1640" spans="1:21" x14ac:dyDescent="0.25">
      <c r="A1640" s="1">
        <v>1639</v>
      </c>
      <c r="B1640" s="1" t="s">
        <v>1959</v>
      </c>
      <c r="C1640" s="2">
        <v>46013</v>
      </c>
      <c r="D1640" s="1" t="s">
        <v>33</v>
      </c>
      <c r="E1640" s="1" t="s">
        <v>34</v>
      </c>
      <c r="F1640" s="1" t="s">
        <v>30</v>
      </c>
      <c r="G1640" s="1" t="s">
        <v>24</v>
      </c>
      <c r="H1640" s="1">
        <v>1</v>
      </c>
      <c r="I1640" s="1" t="s">
        <v>1960</v>
      </c>
      <c r="J1640" s="1"/>
      <c r="K1640" s="1">
        <v>51136061</v>
      </c>
      <c r="L1640" s="1">
        <v>0</v>
      </c>
      <c r="M1640" s="1">
        <v>0</v>
      </c>
      <c r="N1640" s="1">
        <v>5624966.71</v>
      </c>
      <c r="O1640" s="1">
        <v>0</v>
      </c>
      <c r="P1640" s="1">
        <v>0</v>
      </c>
      <c r="Q1640" s="1">
        <v>0</v>
      </c>
      <c r="R1640" s="1">
        <v>56761027.710000001</v>
      </c>
      <c r="S1640" s="1">
        <v>20701542.856757</v>
      </c>
      <c r="T1640" s="1">
        <v>40.483256731011998</v>
      </c>
      <c r="U1640" t="str">
        <f t="shared" si="25"/>
        <v>Week 4</v>
      </c>
    </row>
    <row r="1641" spans="1:21" x14ac:dyDescent="0.25">
      <c r="A1641" s="1">
        <v>1640</v>
      </c>
      <c r="B1641" s="1" t="s">
        <v>1961</v>
      </c>
      <c r="C1641" s="2">
        <v>46013</v>
      </c>
      <c r="D1641" s="1" t="s">
        <v>21</v>
      </c>
      <c r="E1641" s="1" t="s">
        <v>22</v>
      </c>
      <c r="F1641" s="1" t="s">
        <v>23</v>
      </c>
      <c r="G1641" s="1" t="s">
        <v>24</v>
      </c>
      <c r="H1641" s="1">
        <v>1</v>
      </c>
      <c r="I1641" s="1" t="s">
        <v>1962</v>
      </c>
      <c r="J1641" s="1" t="s">
        <v>26</v>
      </c>
      <c r="K1641" s="1">
        <v>46700000</v>
      </c>
      <c r="L1641" s="1">
        <v>0</v>
      </c>
      <c r="M1641" s="1">
        <v>0</v>
      </c>
      <c r="N1641" s="1">
        <v>5137000</v>
      </c>
      <c r="O1641" s="1">
        <v>0</v>
      </c>
      <c r="P1641" s="1">
        <v>0</v>
      </c>
      <c r="Q1641" s="1">
        <v>0</v>
      </c>
      <c r="R1641" s="1">
        <v>51837000</v>
      </c>
      <c r="S1641" s="1">
        <v>7081000</v>
      </c>
      <c r="T1641" s="1">
        <v>15.162740899358001</v>
      </c>
      <c r="U1641" t="str">
        <f t="shared" si="25"/>
        <v>Week 4</v>
      </c>
    </row>
    <row r="1642" spans="1:21" x14ac:dyDescent="0.25">
      <c r="A1642" s="1">
        <v>1641</v>
      </c>
      <c r="B1642" s="1" t="s">
        <v>1963</v>
      </c>
      <c r="C1642" s="2">
        <v>46013</v>
      </c>
      <c r="D1642" s="1" t="s">
        <v>21</v>
      </c>
      <c r="E1642" s="1" t="s">
        <v>22</v>
      </c>
      <c r="F1642" s="1" t="s">
        <v>30</v>
      </c>
      <c r="G1642" s="1" t="s">
        <v>24</v>
      </c>
      <c r="H1642" s="1">
        <v>1</v>
      </c>
      <c r="I1642" s="1" t="s">
        <v>1964</v>
      </c>
      <c r="J1642" s="1" t="s">
        <v>26</v>
      </c>
      <c r="K1642" s="1">
        <v>38595852.539999999</v>
      </c>
      <c r="L1642" s="1">
        <v>0</v>
      </c>
      <c r="M1642" s="1">
        <v>0</v>
      </c>
      <c r="N1642" s="1">
        <v>4245543.7794000003</v>
      </c>
      <c r="O1642" s="1">
        <v>0</v>
      </c>
      <c r="P1642" s="1">
        <v>0</v>
      </c>
      <c r="Q1642" s="1">
        <v>0</v>
      </c>
      <c r="R1642" s="1">
        <v>42841396.319399998</v>
      </c>
      <c r="S1642" s="1">
        <v>530509.01378378004</v>
      </c>
      <c r="T1642" s="1">
        <v>1.374523371997</v>
      </c>
      <c r="U1642" t="str">
        <f t="shared" si="25"/>
        <v>Week 4</v>
      </c>
    </row>
    <row r="1643" spans="1:21" x14ac:dyDescent="0.25">
      <c r="A1643" s="1">
        <v>1642</v>
      </c>
      <c r="B1643" s="1" t="s">
        <v>1965</v>
      </c>
      <c r="C1643" s="2">
        <v>46013</v>
      </c>
      <c r="D1643" s="1" t="s">
        <v>33</v>
      </c>
      <c r="E1643" s="1" t="s">
        <v>34</v>
      </c>
      <c r="F1643" s="1" t="s">
        <v>30</v>
      </c>
      <c r="G1643" s="1" t="s">
        <v>24</v>
      </c>
      <c r="H1643" s="1">
        <v>1</v>
      </c>
      <c r="I1643" s="1" t="s">
        <v>1966</v>
      </c>
      <c r="J1643" s="1"/>
      <c r="K1643" s="1">
        <v>19973244</v>
      </c>
      <c r="L1643" s="1">
        <v>0</v>
      </c>
      <c r="M1643" s="1">
        <v>0</v>
      </c>
      <c r="N1643" s="1">
        <v>2197056.84</v>
      </c>
      <c r="O1643" s="1">
        <v>0</v>
      </c>
      <c r="P1643" s="1">
        <v>0</v>
      </c>
      <c r="Q1643" s="1">
        <v>0</v>
      </c>
      <c r="R1643" s="1">
        <v>22170300.84</v>
      </c>
      <c r="S1643" s="1">
        <v>581744</v>
      </c>
      <c r="T1643" s="1">
        <v>2.9126164983514999</v>
      </c>
      <c r="U1643" t="str">
        <f t="shared" si="25"/>
        <v>Week 4</v>
      </c>
    </row>
    <row r="1644" spans="1:21" x14ac:dyDescent="0.25">
      <c r="A1644" s="1">
        <v>1643</v>
      </c>
      <c r="B1644" s="1" t="s">
        <v>1967</v>
      </c>
      <c r="C1644" s="2">
        <v>46013</v>
      </c>
      <c r="D1644" s="1" t="s">
        <v>53</v>
      </c>
      <c r="E1644" s="1" t="s">
        <v>1530</v>
      </c>
      <c r="F1644" s="1" t="s">
        <v>30</v>
      </c>
      <c r="G1644" s="1" t="s">
        <v>24</v>
      </c>
      <c r="H1644" s="1">
        <v>1</v>
      </c>
      <c r="I1644" s="1" t="s">
        <v>1968</v>
      </c>
      <c r="J1644" s="1"/>
      <c r="K1644" s="1">
        <v>470400</v>
      </c>
      <c r="L1644" s="1">
        <v>0</v>
      </c>
      <c r="M1644" s="1">
        <v>0</v>
      </c>
      <c r="N1644" s="1">
        <v>51744</v>
      </c>
      <c r="O1644" s="1">
        <v>0</v>
      </c>
      <c r="P1644" s="1">
        <v>0</v>
      </c>
      <c r="Q1644" s="1">
        <v>0</v>
      </c>
      <c r="R1644" s="1">
        <v>522144</v>
      </c>
      <c r="S1644" s="1">
        <v>230400</v>
      </c>
      <c r="T1644" s="1">
        <v>48.979591836734997</v>
      </c>
      <c r="U1644" t="str">
        <f t="shared" si="25"/>
        <v>Week 4</v>
      </c>
    </row>
    <row r="1645" spans="1:21" x14ac:dyDescent="0.25">
      <c r="A1645" s="1">
        <v>1644</v>
      </c>
      <c r="B1645" s="1" t="s">
        <v>1969</v>
      </c>
      <c r="C1645" s="2">
        <v>46013</v>
      </c>
      <c r="D1645" s="1" t="s">
        <v>306</v>
      </c>
      <c r="E1645" s="1" t="s">
        <v>1281</v>
      </c>
      <c r="F1645" s="1" t="s">
        <v>30</v>
      </c>
      <c r="G1645" s="1" t="s">
        <v>24</v>
      </c>
      <c r="H1645" s="1">
        <v>1</v>
      </c>
      <c r="I1645" s="1" t="s">
        <v>1970</v>
      </c>
      <c r="J1645" s="1"/>
      <c r="K1645" s="1">
        <v>13087180</v>
      </c>
      <c r="L1645" s="1">
        <v>0</v>
      </c>
      <c r="M1645" s="1">
        <v>0</v>
      </c>
      <c r="N1645" s="1">
        <v>1439589.8</v>
      </c>
      <c r="O1645" s="1">
        <v>0</v>
      </c>
      <c r="P1645" s="1">
        <v>0</v>
      </c>
      <c r="Q1645" s="1">
        <v>0</v>
      </c>
      <c r="R1645" s="1">
        <v>14526769.800000001</v>
      </c>
      <c r="S1645" s="1">
        <v>1572909.72973</v>
      </c>
      <c r="T1645" s="1">
        <v>12.018706319695999</v>
      </c>
      <c r="U1645" t="str">
        <f t="shared" si="25"/>
        <v>Week 4</v>
      </c>
    </row>
    <row r="1646" spans="1:21" x14ac:dyDescent="0.25">
      <c r="A1646" s="1">
        <v>1645</v>
      </c>
      <c r="B1646" s="1" t="s">
        <v>1971</v>
      </c>
      <c r="C1646" s="2">
        <v>46013</v>
      </c>
      <c r="D1646" s="1" t="s">
        <v>21</v>
      </c>
      <c r="E1646" s="1" t="s">
        <v>22</v>
      </c>
      <c r="F1646" s="1" t="s">
        <v>30</v>
      </c>
      <c r="G1646" s="1" t="s">
        <v>24</v>
      </c>
      <c r="H1646" s="1">
        <v>1</v>
      </c>
      <c r="I1646" s="1" t="s">
        <v>1972</v>
      </c>
      <c r="J1646" s="1" t="s">
        <v>26</v>
      </c>
      <c r="K1646" s="1">
        <v>24392200</v>
      </c>
      <c r="L1646" s="1">
        <v>0</v>
      </c>
      <c r="M1646" s="1">
        <v>0</v>
      </c>
      <c r="N1646" s="1">
        <v>2683142</v>
      </c>
      <c r="O1646" s="1">
        <v>0</v>
      </c>
      <c r="P1646" s="1">
        <v>0</v>
      </c>
      <c r="Q1646" s="1">
        <v>0</v>
      </c>
      <c r="R1646" s="1">
        <v>27075342</v>
      </c>
      <c r="S1646" s="1">
        <v>3126792</v>
      </c>
      <c r="T1646" s="1">
        <v>12.818819130706</v>
      </c>
      <c r="U1646" t="str">
        <f t="shared" si="25"/>
        <v>Week 4</v>
      </c>
    </row>
    <row r="1647" spans="1:21" x14ac:dyDescent="0.25">
      <c r="A1647" s="1">
        <v>1646</v>
      </c>
      <c r="B1647" s="1" t="s">
        <v>1973</v>
      </c>
      <c r="C1647" s="2">
        <v>46013</v>
      </c>
      <c r="D1647" s="1" t="s">
        <v>306</v>
      </c>
      <c r="E1647" s="1" t="s">
        <v>1281</v>
      </c>
      <c r="F1647" s="1" t="s">
        <v>30</v>
      </c>
      <c r="G1647" s="1" t="s">
        <v>24</v>
      </c>
      <c r="H1647" s="1">
        <v>1</v>
      </c>
      <c r="I1647" s="1" t="s">
        <v>1974</v>
      </c>
      <c r="J1647" s="1" t="s">
        <v>26</v>
      </c>
      <c r="K1647" s="1">
        <v>10000000</v>
      </c>
      <c r="L1647" s="1">
        <v>0</v>
      </c>
      <c r="M1647" s="1">
        <v>0</v>
      </c>
      <c r="N1647" s="1">
        <v>1100000</v>
      </c>
      <c r="O1647" s="1">
        <v>0</v>
      </c>
      <c r="P1647" s="1">
        <v>0</v>
      </c>
      <c r="Q1647" s="1">
        <v>0</v>
      </c>
      <c r="R1647" s="1">
        <v>11100000</v>
      </c>
      <c r="S1647" s="1">
        <v>2500000</v>
      </c>
      <c r="T1647" s="1">
        <v>25</v>
      </c>
      <c r="U1647" t="str">
        <f t="shared" si="25"/>
        <v>Week 4</v>
      </c>
    </row>
    <row r="1648" spans="1:21" x14ac:dyDescent="0.25">
      <c r="A1648" s="1">
        <v>1647</v>
      </c>
      <c r="B1648" s="1" t="s">
        <v>1975</v>
      </c>
      <c r="C1648" s="2">
        <v>46011</v>
      </c>
      <c r="D1648" s="1" t="s">
        <v>202</v>
      </c>
      <c r="E1648" s="1" t="s">
        <v>22</v>
      </c>
      <c r="F1648" s="1" t="s">
        <v>30</v>
      </c>
      <c r="G1648" s="1" t="s">
        <v>24</v>
      </c>
      <c r="H1648" s="1">
        <v>1</v>
      </c>
      <c r="I1648" s="1" t="s">
        <v>1976</v>
      </c>
      <c r="J1648" s="1" t="s">
        <v>26</v>
      </c>
      <c r="K1648" s="1">
        <v>2919000</v>
      </c>
      <c r="L1648" s="1">
        <v>0</v>
      </c>
      <c r="M1648" s="1">
        <v>0</v>
      </c>
      <c r="N1648" s="1">
        <v>321090</v>
      </c>
      <c r="O1648" s="1">
        <v>0</v>
      </c>
      <c r="P1648" s="1">
        <v>0</v>
      </c>
      <c r="Q1648" s="1">
        <v>0</v>
      </c>
      <c r="R1648" s="1">
        <v>3240090</v>
      </c>
      <c r="S1648" s="1">
        <v>474336.21621620998</v>
      </c>
      <c r="T1648" s="1">
        <v>16.249956019740001</v>
      </c>
      <c r="U1648" t="str">
        <f t="shared" si="25"/>
        <v>Week 3</v>
      </c>
    </row>
    <row r="1649" spans="1:21" x14ac:dyDescent="0.25">
      <c r="A1649" s="1">
        <v>1648</v>
      </c>
      <c r="B1649" s="1" t="s">
        <v>1977</v>
      </c>
      <c r="C1649" s="2">
        <v>46011</v>
      </c>
      <c r="D1649" s="1" t="s">
        <v>21</v>
      </c>
      <c r="E1649" s="1" t="s">
        <v>22</v>
      </c>
      <c r="F1649" s="1" t="s">
        <v>30</v>
      </c>
      <c r="G1649" s="1" t="s">
        <v>24</v>
      </c>
      <c r="H1649" s="1">
        <v>1</v>
      </c>
      <c r="I1649" s="1" t="s">
        <v>1978</v>
      </c>
      <c r="J1649" s="1" t="s">
        <v>26</v>
      </c>
      <c r="K1649" s="1">
        <v>879060</v>
      </c>
      <c r="L1649" s="1">
        <v>0</v>
      </c>
      <c r="M1649" s="1">
        <v>0</v>
      </c>
      <c r="N1649" s="1">
        <v>96696.6</v>
      </c>
      <c r="O1649" s="1">
        <v>0</v>
      </c>
      <c r="P1649" s="1">
        <v>0</v>
      </c>
      <c r="Q1649" s="1">
        <v>0</v>
      </c>
      <c r="R1649" s="1">
        <v>975756.6</v>
      </c>
      <c r="S1649" s="1">
        <v>311492</v>
      </c>
      <c r="T1649" s="1">
        <v>35.434668850817999</v>
      </c>
      <c r="U1649" t="str">
        <f t="shared" si="25"/>
        <v>Week 3</v>
      </c>
    </row>
    <row r="1650" spans="1:21" x14ac:dyDescent="0.25">
      <c r="A1650" s="1">
        <v>1649</v>
      </c>
      <c r="B1650" s="1" t="s">
        <v>1979</v>
      </c>
      <c r="C1650" s="2">
        <v>46011</v>
      </c>
      <c r="D1650" s="1" t="s">
        <v>202</v>
      </c>
      <c r="E1650" s="1" t="s">
        <v>22</v>
      </c>
      <c r="F1650" s="1" t="s">
        <v>30</v>
      </c>
      <c r="G1650" s="1" t="s">
        <v>24</v>
      </c>
      <c r="H1650" s="1">
        <v>1</v>
      </c>
      <c r="I1650" s="1" t="s">
        <v>1980</v>
      </c>
      <c r="J1650" s="1" t="s">
        <v>26</v>
      </c>
      <c r="K1650" s="1">
        <v>10826550</v>
      </c>
      <c r="L1650" s="1">
        <v>0</v>
      </c>
      <c r="M1650" s="1">
        <v>0</v>
      </c>
      <c r="N1650" s="1">
        <v>1190920.5</v>
      </c>
      <c r="O1650" s="1">
        <v>0</v>
      </c>
      <c r="P1650" s="1">
        <v>0</v>
      </c>
      <c r="Q1650" s="1">
        <v>0</v>
      </c>
      <c r="R1650" s="1">
        <v>12017470.5</v>
      </c>
      <c r="S1650" s="1">
        <v>1942219.5</v>
      </c>
      <c r="T1650" s="1">
        <v>17.939412832342999</v>
      </c>
      <c r="U1650" t="str">
        <f t="shared" si="25"/>
        <v>Week 3</v>
      </c>
    </row>
    <row r="1651" spans="1:21" x14ac:dyDescent="0.25">
      <c r="A1651" s="1">
        <v>1650</v>
      </c>
      <c r="B1651" s="1" t="s">
        <v>1981</v>
      </c>
      <c r="C1651" s="2">
        <v>46011</v>
      </c>
      <c r="D1651" s="1" t="s">
        <v>53</v>
      </c>
      <c r="E1651" s="1" t="s">
        <v>1530</v>
      </c>
      <c r="F1651" s="1" t="s">
        <v>30</v>
      </c>
      <c r="G1651" s="1" t="s">
        <v>24</v>
      </c>
      <c r="H1651" s="1">
        <v>1</v>
      </c>
      <c r="I1651" s="1" t="s">
        <v>1982</v>
      </c>
      <c r="J1651" s="1"/>
      <c r="K1651" s="1">
        <v>148661743</v>
      </c>
      <c r="L1651" s="1">
        <v>0</v>
      </c>
      <c r="M1651" s="1">
        <v>0</v>
      </c>
      <c r="N1651" s="1">
        <v>16352791.73</v>
      </c>
      <c r="O1651" s="1">
        <v>0</v>
      </c>
      <c r="P1651" s="1">
        <v>0</v>
      </c>
      <c r="Q1651" s="1">
        <v>0</v>
      </c>
      <c r="R1651" s="1">
        <v>165014534.72999999</v>
      </c>
      <c r="S1651" s="1">
        <v>60523765</v>
      </c>
      <c r="T1651" s="1">
        <v>40.712401037837999</v>
      </c>
      <c r="U1651" t="str">
        <f t="shared" si="25"/>
        <v>Week 3</v>
      </c>
    </row>
    <row r="1652" spans="1:21" x14ac:dyDescent="0.25">
      <c r="A1652" s="1">
        <v>1651</v>
      </c>
      <c r="B1652" s="1" t="s">
        <v>1983</v>
      </c>
      <c r="C1652" s="2">
        <v>46011</v>
      </c>
      <c r="D1652" s="1" t="s">
        <v>53</v>
      </c>
      <c r="E1652" s="1" t="s">
        <v>1530</v>
      </c>
      <c r="F1652" s="1" t="s">
        <v>30</v>
      </c>
      <c r="G1652" s="1" t="s">
        <v>24</v>
      </c>
      <c r="H1652" s="1">
        <v>1</v>
      </c>
      <c r="I1652" s="1" t="s">
        <v>1984</v>
      </c>
      <c r="J1652" s="1" t="s">
        <v>56</v>
      </c>
      <c r="K1652" s="1">
        <v>105191243</v>
      </c>
      <c r="L1652" s="1">
        <v>0</v>
      </c>
      <c r="M1652" s="1">
        <v>0</v>
      </c>
      <c r="N1652" s="1">
        <v>11571036.73</v>
      </c>
      <c r="O1652" s="1">
        <v>0</v>
      </c>
      <c r="P1652" s="1">
        <v>0</v>
      </c>
      <c r="Q1652" s="1">
        <v>0</v>
      </c>
      <c r="R1652" s="1">
        <v>116762279.73</v>
      </c>
      <c r="S1652" s="1">
        <v>3063823</v>
      </c>
      <c r="T1652" s="1">
        <v>2.9126217284076001</v>
      </c>
      <c r="U1652" t="str">
        <f t="shared" si="25"/>
        <v>Week 3</v>
      </c>
    </row>
    <row r="1653" spans="1:21" x14ac:dyDescent="0.25">
      <c r="A1653" s="1">
        <v>1652</v>
      </c>
      <c r="B1653" s="1" t="s">
        <v>2290</v>
      </c>
      <c r="C1653" s="2">
        <v>46010</v>
      </c>
      <c r="D1653" s="1" t="s">
        <v>2210</v>
      </c>
      <c r="E1653" s="1" t="s">
        <v>1675</v>
      </c>
      <c r="F1653" s="1" t="s">
        <v>23</v>
      </c>
      <c r="G1653" s="1" t="s">
        <v>24</v>
      </c>
      <c r="H1653" s="1">
        <v>1</v>
      </c>
      <c r="I1653" s="1" t="s">
        <v>2291</v>
      </c>
      <c r="J1653" s="1"/>
      <c r="K1653" s="1">
        <v>13144000</v>
      </c>
      <c r="L1653" s="1">
        <v>0</v>
      </c>
      <c r="M1653" s="1">
        <v>0</v>
      </c>
      <c r="N1653" s="1">
        <v>1445840</v>
      </c>
      <c r="O1653" s="1">
        <v>0</v>
      </c>
      <c r="P1653" s="1">
        <v>0</v>
      </c>
      <c r="Q1653" s="1">
        <v>0</v>
      </c>
      <c r="R1653" s="1">
        <v>14589840</v>
      </c>
      <c r="S1653" s="1">
        <v>3817988</v>
      </c>
      <c r="T1653" s="1">
        <v>29.047382836274998</v>
      </c>
      <c r="U1653" t="str">
        <f t="shared" si="25"/>
        <v>Week 3</v>
      </c>
    </row>
    <row r="1654" spans="1:21" x14ac:dyDescent="0.25">
      <c r="A1654" s="1">
        <v>1653</v>
      </c>
      <c r="B1654" s="1" t="s">
        <v>1985</v>
      </c>
      <c r="C1654" s="2">
        <v>46010</v>
      </c>
      <c r="D1654" s="1" t="s">
        <v>98</v>
      </c>
      <c r="E1654" s="1" t="s">
        <v>116</v>
      </c>
      <c r="F1654" s="1" t="s">
        <v>30</v>
      </c>
      <c r="G1654" s="1" t="s">
        <v>24</v>
      </c>
      <c r="H1654" s="1">
        <v>1</v>
      </c>
      <c r="I1654" s="1" t="s">
        <v>1160</v>
      </c>
      <c r="J1654" s="1" t="s">
        <v>26</v>
      </c>
      <c r="K1654" s="1">
        <v>13622471</v>
      </c>
      <c r="L1654" s="1">
        <v>0</v>
      </c>
      <c r="M1654" s="1">
        <v>0</v>
      </c>
      <c r="N1654" s="1">
        <v>1498471.81</v>
      </c>
      <c r="O1654" s="1">
        <v>0</v>
      </c>
      <c r="P1654" s="1">
        <v>0</v>
      </c>
      <c r="Q1654" s="1">
        <v>0</v>
      </c>
      <c r="R1654" s="1">
        <v>15120942.810000001</v>
      </c>
      <c r="S1654" s="1">
        <v>-1507979</v>
      </c>
      <c r="T1654" s="1">
        <v>-11.069790495425</v>
      </c>
      <c r="U1654" t="str">
        <f t="shared" si="25"/>
        <v>Week 3</v>
      </c>
    </row>
    <row r="1655" spans="1:21" x14ac:dyDescent="0.25">
      <c r="A1655" s="1">
        <v>1654</v>
      </c>
      <c r="B1655" s="1" t="s">
        <v>1986</v>
      </c>
      <c r="C1655" s="2">
        <v>46010</v>
      </c>
      <c r="D1655" s="1" t="s">
        <v>33</v>
      </c>
      <c r="E1655" s="1" t="s">
        <v>1530</v>
      </c>
      <c r="F1655" s="1" t="s">
        <v>39</v>
      </c>
      <c r="G1655" s="1" t="s">
        <v>24</v>
      </c>
      <c r="H1655" s="1">
        <v>1</v>
      </c>
      <c r="I1655" s="1" t="s">
        <v>1591</v>
      </c>
      <c r="J1655" s="1"/>
      <c r="K1655" s="1">
        <v>350452</v>
      </c>
      <c r="L1655" s="1">
        <v>0</v>
      </c>
      <c r="M1655" s="1">
        <v>0</v>
      </c>
      <c r="N1655" s="1">
        <v>38549.72</v>
      </c>
      <c r="O1655" s="1">
        <v>0</v>
      </c>
      <c r="P1655" s="1">
        <v>0</v>
      </c>
      <c r="Q1655" s="1">
        <v>0</v>
      </c>
      <c r="R1655" s="1">
        <v>389001.72</v>
      </c>
      <c r="S1655" s="1">
        <v>-216548</v>
      </c>
      <c r="T1655" s="1">
        <v>-61.791058404574997</v>
      </c>
      <c r="U1655" t="str">
        <f t="shared" si="25"/>
        <v>Week 3</v>
      </c>
    </row>
    <row r="1656" spans="1:21" x14ac:dyDescent="0.25">
      <c r="A1656" s="1">
        <v>1655</v>
      </c>
      <c r="B1656" s="1" t="s">
        <v>1987</v>
      </c>
      <c r="C1656" s="2">
        <v>46009</v>
      </c>
      <c r="D1656" s="1" t="s">
        <v>21</v>
      </c>
      <c r="E1656" s="1" t="s">
        <v>22</v>
      </c>
      <c r="F1656" s="1" t="s">
        <v>23</v>
      </c>
      <c r="G1656" s="1" t="s">
        <v>24</v>
      </c>
      <c r="H1656" s="1">
        <v>1</v>
      </c>
      <c r="I1656" s="1" t="s">
        <v>242</v>
      </c>
      <c r="J1656" s="1"/>
      <c r="K1656" s="1">
        <v>3243000</v>
      </c>
      <c r="L1656" s="1">
        <v>0</v>
      </c>
      <c r="M1656" s="1">
        <v>0</v>
      </c>
      <c r="N1656" s="1">
        <v>356730</v>
      </c>
      <c r="O1656" s="1">
        <v>0</v>
      </c>
      <c r="P1656" s="1">
        <v>0</v>
      </c>
      <c r="Q1656" s="1">
        <v>0</v>
      </c>
      <c r="R1656" s="1">
        <v>3599730</v>
      </c>
      <c r="S1656" s="1">
        <v>461000</v>
      </c>
      <c r="T1656" s="1">
        <v>14.215232809127</v>
      </c>
      <c r="U1656" t="str">
        <f t="shared" si="25"/>
        <v>Week 3</v>
      </c>
    </row>
    <row r="1657" spans="1:21" x14ac:dyDescent="0.25">
      <c r="A1657" s="1">
        <v>1656</v>
      </c>
      <c r="B1657" s="1" t="s">
        <v>1988</v>
      </c>
      <c r="C1657" s="2">
        <v>46009</v>
      </c>
      <c r="D1657" s="1" t="s">
        <v>21</v>
      </c>
      <c r="E1657" s="1" t="s">
        <v>22</v>
      </c>
      <c r="F1657" s="1" t="s">
        <v>30</v>
      </c>
      <c r="G1657" s="1" t="s">
        <v>24</v>
      </c>
      <c r="H1657" s="1">
        <v>1</v>
      </c>
      <c r="I1657" s="1" t="s">
        <v>1989</v>
      </c>
      <c r="J1657" s="1" t="s">
        <v>26</v>
      </c>
      <c r="K1657" s="1">
        <v>6434680</v>
      </c>
      <c r="L1657" s="1">
        <v>0</v>
      </c>
      <c r="M1657" s="1">
        <v>0</v>
      </c>
      <c r="N1657" s="1">
        <v>707814.8</v>
      </c>
      <c r="O1657" s="1">
        <v>0</v>
      </c>
      <c r="P1657" s="1">
        <v>0</v>
      </c>
      <c r="Q1657" s="1">
        <v>0</v>
      </c>
      <c r="R1657" s="1">
        <v>7142494.7999999998</v>
      </c>
      <c r="S1657" s="1">
        <v>2775848.4864865001</v>
      </c>
      <c r="T1657" s="1">
        <v>43.138873828792001</v>
      </c>
      <c r="U1657" t="str">
        <f t="shared" si="25"/>
        <v>Week 3</v>
      </c>
    </row>
    <row r="1658" spans="1:21" x14ac:dyDescent="0.25">
      <c r="A1658" s="1">
        <v>1657</v>
      </c>
      <c r="B1658" s="1" t="s">
        <v>2292</v>
      </c>
      <c r="C1658" s="2">
        <v>46009</v>
      </c>
      <c r="D1658" s="1" t="s">
        <v>2293</v>
      </c>
      <c r="E1658" s="1" t="s">
        <v>1675</v>
      </c>
      <c r="F1658" s="1" t="s">
        <v>30</v>
      </c>
      <c r="G1658" s="1" t="s">
        <v>24</v>
      </c>
      <c r="H1658" s="1">
        <v>1</v>
      </c>
      <c r="I1658" s="1" t="s">
        <v>2294</v>
      </c>
      <c r="J1658" s="1"/>
      <c r="K1658" s="1">
        <v>54279500</v>
      </c>
      <c r="L1658" s="1">
        <v>0</v>
      </c>
      <c r="M1658" s="1">
        <v>0</v>
      </c>
      <c r="N1658" s="1">
        <v>5970745</v>
      </c>
      <c r="O1658" s="1">
        <v>0</v>
      </c>
      <c r="P1658" s="1">
        <v>0</v>
      </c>
      <c r="Q1658" s="1">
        <v>0</v>
      </c>
      <c r="R1658" s="1">
        <v>60250245</v>
      </c>
      <c r="S1658" s="1">
        <v>15229500</v>
      </c>
      <c r="T1658" s="1">
        <v>28.057553956835001</v>
      </c>
      <c r="U1658" t="str">
        <f t="shared" si="25"/>
        <v>Week 3</v>
      </c>
    </row>
    <row r="1659" spans="1:21" x14ac:dyDescent="0.25">
      <c r="A1659" s="1">
        <v>1658</v>
      </c>
      <c r="B1659" s="1" t="s">
        <v>1990</v>
      </c>
      <c r="C1659" s="2">
        <v>46009</v>
      </c>
      <c r="D1659" s="1" t="s">
        <v>306</v>
      </c>
      <c r="E1659" s="1" t="s">
        <v>1281</v>
      </c>
      <c r="F1659" s="1" t="s">
        <v>30</v>
      </c>
      <c r="G1659" s="1" t="s">
        <v>24</v>
      </c>
      <c r="H1659" s="1">
        <v>1</v>
      </c>
      <c r="I1659" s="1" t="s">
        <v>1991</v>
      </c>
      <c r="J1659" s="1" t="s">
        <v>26</v>
      </c>
      <c r="K1659" s="1">
        <v>2297930</v>
      </c>
      <c r="L1659" s="1">
        <v>0</v>
      </c>
      <c r="M1659" s="1">
        <v>0</v>
      </c>
      <c r="N1659" s="1">
        <v>252772.3</v>
      </c>
      <c r="O1659" s="1">
        <v>0</v>
      </c>
      <c r="P1659" s="1">
        <v>0</v>
      </c>
      <c r="Q1659" s="1">
        <v>0</v>
      </c>
      <c r="R1659" s="1">
        <v>2550702.2999999998</v>
      </c>
      <c r="S1659" s="1">
        <v>202930</v>
      </c>
      <c r="T1659" s="1">
        <v>8.8309913704942993</v>
      </c>
      <c r="U1659" t="str">
        <f t="shared" si="25"/>
        <v>Week 3</v>
      </c>
    </row>
    <row r="1660" spans="1:21" x14ac:dyDescent="0.25">
      <c r="A1660" s="1">
        <v>1659</v>
      </c>
      <c r="B1660" s="1" t="s">
        <v>1992</v>
      </c>
      <c r="C1660" s="2">
        <v>46009</v>
      </c>
      <c r="D1660" s="1" t="s">
        <v>306</v>
      </c>
      <c r="E1660" s="1" t="s">
        <v>1281</v>
      </c>
      <c r="F1660" s="1" t="s">
        <v>30</v>
      </c>
      <c r="G1660" s="1" t="s">
        <v>24</v>
      </c>
      <c r="H1660" s="1">
        <v>1</v>
      </c>
      <c r="I1660" s="1" t="s">
        <v>1993</v>
      </c>
      <c r="J1660" s="1" t="s">
        <v>26</v>
      </c>
      <c r="K1660" s="1">
        <v>36338400</v>
      </c>
      <c r="L1660" s="1">
        <v>0</v>
      </c>
      <c r="M1660" s="1">
        <v>0</v>
      </c>
      <c r="N1660" s="1">
        <v>3997224</v>
      </c>
      <c r="O1660" s="1">
        <v>0</v>
      </c>
      <c r="P1660" s="1">
        <v>0</v>
      </c>
      <c r="Q1660" s="1">
        <v>0</v>
      </c>
      <c r="R1660" s="1">
        <v>40335624</v>
      </c>
      <c r="S1660" s="1">
        <v>621320</v>
      </c>
      <c r="T1660" s="1">
        <v>1.7098166127292</v>
      </c>
      <c r="U1660" t="str">
        <f t="shared" si="25"/>
        <v>Week 3</v>
      </c>
    </row>
    <row r="1661" spans="1:21" x14ac:dyDescent="0.25">
      <c r="A1661" s="1">
        <v>1660</v>
      </c>
      <c r="B1661" s="1" t="s">
        <v>1994</v>
      </c>
      <c r="C1661" s="2">
        <v>46009</v>
      </c>
      <c r="D1661" s="1" t="s">
        <v>306</v>
      </c>
      <c r="E1661" s="1" t="s">
        <v>1281</v>
      </c>
      <c r="F1661" s="1" t="s">
        <v>30</v>
      </c>
      <c r="G1661" s="1" t="s">
        <v>24</v>
      </c>
      <c r="H1661" s="1">
        <v>1</v>
      </c>
      <c r="I1661" s="1" t="s">
        <v>1995</v>
      </c>
      <c r="J1661" s="1" t="s">
        <v>26</v>
      </c>
      <c r="K1661" s="1">
        <v>83430000</v>
      </c>
      <c r="L1661" s="1">
        <v>0</v>
      </c>
      <c r="M1661" s="1">
        <v>0</v>
      </c>
      <c r="N1661" s="1">
        <v>9177300</v>
      </c>
      <c r="O1661" s="1">
        <v>0</v>
      </c>
      <c r="P1661" s="1">
        <v>0</v>
      </c>
      <c r="Q1661" s="1">
        <v>0</v>
      </c>
      <c r="R1661" s="1">
        <v>92607300</v>
      </c>
      <c r="S1661" s="1">
        <v>15592162.162162</v>
      </c>
      <c r="T1661" s="1">
        <v>18.688915452669001</v>
      </c>
      <c r="U1661" t="str">
        <f t="shared" si="25"/>
        <v>Week 3</v>
      </c>
    </row>
    <row r="1662" spans="1:21" x14ac:dyDescent="0.25">
      <c r="A1662" s="1">
        <v>1661</v>
      </c>
      <c r="B1662" s="1" t="s">
        <v>1996</v>
      </c>
      <c r="C1662" s="2">
        <v>46009</v>
      </c>
      <c r="D1662" s="1" t="s">
        <v>28</v>
      </c>
      <c r="E1662" s="1" t="s">
        <v>1523</v>
      </c>
      <c r="F1662" s="1" t="s">
        <v>30</v>
      </c>
      <c r="G1662" s="1" t="s">
        <v>24</v>
      </c>
      <c r="H1662" s="1">
        <v>1</v>
      </c>
      <c r="I1662" s="1" t="s">
        <v>1997</v>
      </c>
      <c r="J1662" s="1" t="s">
        <v>56</v>
      </c>
      <c r="K1662" s="1">
        <v>175112875</v>
      </c>
      <c r="L1662" s="1">
        <v>0</v>
      </c>
      <c r="M1662" s="1">
        <v>0</v>
      </c>
      <c r="N1662" s="1">
        <v>19262416.25</v>
      </c>
      <c r="O1662" s="1">
        <v>0</v>
      </c>
      <c r="P1662" s="1">
        <v>0</v>
      </c>
      <c r="Q1662" s="1">
        <v>0</v>
      </c>
      <c r="R1662" s="1">
        <v>194375291.25</v>
      </c>
      <c r="S1662" s="1">
        <v>27692623</v>
      </c>
      <c r="T1662" s="1">
        <v>15.814155869464001</v>
      </c>
      <c r="U1662" t="str">
        <f t="shared" si="25"/>
        <v>Week 3</v>
      </c>
    </row>
    <row r="1663" spans="1:21" x14ac:dyDescent="0.25">
      <c r="A1663" s="1">
        <v>1662</v>
      </c>
      <c r="B1663" s="1" t="s">
        <v>1998</v>
      </c>
      <c r="C1663" s="2">
        <v>46009</v>
      </c>
      <c r="D1663" s="1" t="s">
        <v>202</v>
      </c>
      <c r="E1663" s="1" t="s">
        <v>22</v>
      </c>
      <c r="F1663" s="1" t="s">
        <v>30</v>
      </c>
      <c r="G1663" s="1" t="s">
        <v>24</v>
      </c>
      <c r="H1663" s="1">
        <v>1</v>
      </c>
      <c r="I1663" s="1" t="s">
        <v>1999</v>
      </c>
      <c r="J1663" s="1" t="s">
        <v>26</v>
      </c>
      <c r="K1663" s="1">
        <v>2744000</v>
      </c>
      <c r="L1663" s="1">
        <v>0</v>
      </c>
      <c r="M1663" s="1">
        <v>0</v>
      </c>
      <c r="N1663" s="1">
        <v>301840</v>
      </c>
      <c r="O1663" s="1">
        <v>0</v>
      </c>
      <c r="P1663" s="1">
        <v>0</v>
      </c>
      <c r="Q1663" s="1">
        <v>0</v>
      </c>
      <c r="R1663" s="1">
        <v>3045840</v>
      </c>
      <c r="S1663" s="1">
        <v>784000</v>
      </c>
      <c r="T1663" s="1">
        <v>28.571428571428999</v>
      </c>
      <c r="U1663" t="str">
        <f t="shared" si="25"/>
        <v>Week 3</v>
      </c>
    </row>
    <row r="1664" spans="1:21" x14ac:dyDescent="0.25">
      <c r="A1664" s="1">
        <v>1663</v>
      </c>
      <c r="B1664" s="1" t="s">
        <v>2000</v>
      </c>
      <c r="C1664" s="2">
        <v>46009</v>
      </c>
      <c r="D1664" s="1" t="s">
        <v>184</v>
      </c>
      <c r="E1664" s="1" t="s">
        <v>99</v>
      </c>
      <c r="F1664" s="1" t="s">
        <v>30</v>
      </c>
      <c r="G1664" s="1" t="s">
        <v>24</v>
      </c>
      <c r="H1664" s="1">
        <v>1</v>
      </c>
      <c r="I1664" s="1" t="s">
        <v>2001</v>
      </c>
      <c r="J1664" s="1" t="s">
        <v>26</v>
      </c>
      <c r="K1664" s="1">
        <v>1045965</v>
      </c>
      <c r="L1664" s="1">
        <v>0</v>
      </c>
      <c r="M1664" s="1">
        <v>0</v>
      </c>
      <c r="N1664" s="1">
        <v>115056.15</v>
      </c>
      <c r="O1664" s="1">
        <v>0</v>
      </c>
      <c r="P1664" s="1">
        <v>0</v>
      </c>
      <c r="Q1664" s="1">
        <v>0</v>
      </c>
      <c r="R1664" s="1">
        <v>1161021.1499999999</v>
      </c>
      <c r="S1664" s="1">
        <v>153172.20720721001</v>
      </c>
      <c r="T1664" s="1">
        <v>14.644104459252</v>
      </c>
      <c r="U1664" t="str">
        <f t="shared" si="25"/>
        <v>Week 3</v>
      </c>
    </row>
    <row r="1665" spans="1:21" x14ac:dyDescent="0.25">
      <c r="A1665" s="1">
        <v>1664</v>
      </c>
      <c r="B1665" s="1" t="s">
        <v>2002</v>
      </c>
      <c r="C1665" s="2">
        <v>46009</v>
      </c>
      <c r="D1665" s="1" t="s">
        <v>53</v>
      </c>
      <c r="E1665" s="1" t="s">
        <v>1530</v>
      </c>
      <c r="F1665" s="1" t="s">
        <v>30</v>
      </c>
      <c r="G1665" s="1" t="s">
        <v>24</v>
      </c>
      <c r="H1665" s="1">
        <v>1</v>
      </c>
      <c r="I1665" s="1" t="s">
        <v>2003</v>
      </c>
      <c r="J1665" s="1"/>
      <c r="K1665" s="1">
        <v>8232000</v>
      </c>
      <c r="L1665" s="1">
        <v>0</v>
      </c>
      <c r="M1665" s="1">
        <v>0</v>
      </c>
      <c r="N1665" s="1">
        <v>905520</v>
      </c>
      <c r="O1665" s="1">
        <v>0</v>
      </c>
      <c r="P1665" s="1">
        <v>0</v>
      </c>
      <c r="Q1665" s="1">
        <v>0</v>
      </c>
      <c r="R1665" s="1">
        <v>9137520</v>
      </c>
      <c r="S1665" s="1">
        <v>2646414</v>
      </c>
      <c r="T1665" s="1">
        <v>32.147886297375997</v>
      </c>
      <c r="U1665" t="str">
        <f t="shared" si="25"/>
        <v>Week 3</v>
      </c>
    </row>
    <row r="1666" spans="1:21" x14ac:dyDescent="0.25">
      <c r="A1666" s="1">
        <v>1665</v>
      </c>
      <c r="B1666" s="1" t="s">
        <v>2004</v>
      </c>
      <c r="C1666" s="2">
        <v>46009</v>
      </c>
      <c r="D1666" s="1" t="s">
        <v>53</v>
      </c>
      <c r="E1666" s="1" t="s">
        <v>1530</v>
      </c>
      <c r="F1666" s="1" t="s">
        <v>23</v>
      </c>
      <c r="G1666" s="1" t="s">
        <v>24</v>
      </c>
      <c r="H1666" s="1">
        <v>1</v>
      </c>
      <c r="I1666" s="1" t="s">
        <v>2005</v>
      </c>
      <c r="J1666" s="1"/>
      <c r="K1666" s="1">
        <v>7200000</v>
      </c>
      <c r="L1666" s="1">
        <v>0</v>
      </c>
      <c r="M1666" s="1">
        <v>0</v>
      </c>
      <c r="N1666" s="1">
        <v>792000</v>
      </c>
      <c r="O1666" s="1">
        <v>0</v>
      </c>
      <c r="P1666" s="1">
        <v>0</v>
      </c>
      <c r="Q1666" s="1">
        <v>0</v>
      </c>
      <c r="R1666" s="1">
        <v>7992000</v>
      </c>
      <c r="S1666" s="1">
        <v>2232431</v>
      </c>
      <c r="T1666" s="1">
        <v>31.005986111111</v>
      </c>
      <c r="U1666" t="str">
        <f t="shared" si="25"/>
        <v>Week 3</v>
      </c>
    </row>
    <row r="1667" spans="1:21" x14ac:dyDescent="0.25">
      <c r="A1667" s="1">
        <v>1666</v>
      </c>
      <c r="B1667" s="1" t="s">
        <v>2006</v>
      </c>
      <c r="C1667" s="2">
        <v>46009</v>
      </c>
      <c r="D1667" s="1" t="s">
        <v>21</v>
      </c>
      <c r="E1667" s="1" t="s">
        <v>22</v>
      </c>
      <c r="F1667" s="1" t="s">
        <v>30</v>
      </c>
      <c r="G1667" s="1" t="s">
        <v>24</v>
      </c>
      <c r="H1667" s="1">
        <v>1</v>
      </c>
      <c r="I1667" s="1" t="s">
        <v>2007</v>
      </c>
      <c r="J1667" s="1" t="s">
        <v>26</v>
      </c>
      <c r="K1667" s="1">
        <v>14721072</v>
      </c>
      <c r="L1667" s="1">
        <v>0</v>
      </c>
      <c r="M1667" s="1">
        <v>0</v>
      </c>
      <c r="N1667" s="1">
        <v>1619317.92</v>
      </c>
      <c r="O1667" s="1">
        <v>0</v>
      </c>
      <c r="P1667" s="1">
        <v>0</v>
      </c>
      <c r="Q1667" s="1">
        <v>0</v>
      </c>
      <c r="R1667" s="1">
        <v>16340389.92</v>
      </c>
      <c r="S1667" s="1">
        <v>747964.29</v>
      </c>
      <c r="T1667" s="1">
        <v>5.0809091212922999</v>
      </c>
      <c r="U1667" t="str">
        <f t="shared" ref="U1667:U1730" si="26">"Week "&amp;IF(DAY(C1667)&gt;=24,4,INT((DAY(C1667)-1)/7)+1)</f>
        <v>Week 3</v>
      </c>
    </row>
    <row r="1668" spans="1:21" x14ac:dyDescent="0.25">
      <c r="A1668" s="1">
        <v>1667</v>
      </c>
      <c r="B1668" s="1" t="s">
        <v>2008</v>
      </c>
      <c r="C1668" s="2">
        <v>46009</v>
      </c>
      <c r="D1668" s="1" t="s">
        <v>53</v>
      </c>
      <c r="E1668" s="1" t="s">
        <v>1530</v>
      </c>
      <c r="F1668" s="1" t="s">
        <v>30</v>
      </c>
      <c r="G1668" s="1" t="s">
        <v>24</v>
      </c>
      <c r="H1668" s="1">
        <v>1</v>
      </c>
      <c r="I1668" s="1" t="s">
        <v>2003</v>
      </c>
      <c r="J1668" s="1"/>
      <c r="K1668" s="1">
        <v>2410800</v>
      </c>
      <c r="L1668" s="1">
        <v>0</v>
      </c>
      <c r="M1668" s="1">
        <v>0</v>
      </c>
      <c r="N1668" s="1">
        <v>265188</v>
      </c>
      <c r="O1668" s="1">
        <v>0</v>
      </c>
      <c r="P1668" s="1">
        <v>0</v>
      </c>
      <c r="Q1668" s="1">
        <v>0</v>
      </c>
      <c r="R1668" s="1">
        <v>2675988</v>
      </c>
      <c r="S1668" s="1">
        <v>938840.55</v>
      </c>
      <c r="T1668" s="1">
        <v>38.943112244898003</v>
      </c>
      <c r="U1668" t="str">
        <f t="shared" si="26"/>
        <v>Week 3</v>
      </c>
    </row>
    <row r="1669" spans="1:21" x14ac:dyDescent="0.25">
      <c r="A1669" s="1">
        <v>1668</v>
      </c>
      <c r="B1669" s="1" t="s">
        <v>2009</v>
      </c>
      <c r="C1669" s="2">
        <v>46009</v>
      </c>
      <c r="D1669" s="1" t="s">
        <v>98</v>
      </c>
      <c r="E1669" s="1" t="s">
        <v>99</v>
      </c>
      <c r="F1669" s="1" t="s">
        <v>30</v>
      </c>
      <c r="G1669" s="1" t="s">
        <v>24</v>
      </c>
      <c r="H1669" s="1">
        <v>1</v>
      </c>
      <c r="I1669" s="1" t="s">
        <v>2010</v>
      </c>
      <c r="J1669" s="1" t="s">
        <v>26</v>
      </c>
      <c r="K1669" s="1">
        <v>41674500</v>
      </c>
      <c r="L1669" s="1">
        <v>0</v>
      </c>
      <c r="M1669" s="1">
        <v>0</v>
      </c>
      <c r="N1669" s="1">
        <v>4584195</v>
      </c>
      <c r="O1669" s="1">
        <v>0</v>
      </c>
      <c r="P1669" s="1">
        <v>0</v>
      </c>
      <c r="Q1669" s="1">
        <v>0</v>
      </c>
      <c r="R1669" s="1">
        <v>46258695</v>
      </c>
      <c r="S1669" s="1">
        <v>12074500</v>
      </c>
      <c r="T1669" s="1">
        <v>28.973353009634</v>
      </c>
      <c r="U1669" t="str">
        <f t="shared" si="26"/>
        <v>Week 3</v>
      </c>
    </row>
    <row r="1670" spans="1:21" x14ac:dyDescent="0.25">
      <c r="A1670" s="1">
        <v>1669</v>
      </c>
      <c r="B1670" s="1" t="s">
        <v>2011</v>
      </c>
      <c r="C1670" s="2">
        <v>46009</v>
      </c>
      <c r="D1670" s="1" t="s">
        <v>184</v>
      </c>
      <c r="E1670" s="1" t="s">
        <v>99</v>
      </c>
      <c r="F1670" s="1" t="s">
        <v>30</v>
      </c>
      <c r="G1670" s="1" t="s">
        <v>24</v>
      </c>
      <c r="H1670" s="1">
        <v>1</v>
      </c>
      <c r="I1670" s="1" t="s">
        <v>1927</v>
      </c>
      <c r="J1670" s="1" t="s">
        <v>26</v>
      </c>
      <c r="K1670" s="1">
        <v>24411000</v>
      </c>
      <c r="L1670" s="1">
        <v>0</v>
      </c>
      <c r="M1670" s="1">
        <v>0</v>
      </c>
      <c r="N1670" s="1">
        <v>2685210</v>
      </c>
      <c r="O1670" s="1">
        <v>0</v>
      </c>
      <c r="P1670" s="1">
        <v>0</v>
      </c>
      <c r="Q1670" s="1">
        <v>0</v>
      </c>
      <c r="R1670" s="1">
        <v>27096210</v>
      </c>
      <c r="S1670" s="1">
        <v>4611000</v>
      </c>
      <c r="T1670" s="1">
        <v>18.889025439350998</v>
      </c>
      <c r="U1670" t="str">
        <f t="shared" si="26"/>
        <v>Week 3</v>
      </c>
    </row>
    <row r="1671" spans="1:21" x14ac:dyDescent="0.25">
      <c r="A1671" s="1">
        <v>1670</v>
      </c>
      <c r="B1671" s="1" t="s">
        <v>2012</v>
      </c>
      <c r="C1671" s="2">
        <v>46009</v>
      </c>
      <c r="D1671" s="1" t="s">
        <v>98</v>
      </c>
      <c r="E1671" s="1" t="s">
        <v>99</v>
      </c>
      <c r="F1671" s="1" t="s">
        <v>30</v>
      </c>
      <c r="G1671" s="1" t="s">
        <v>24</v>
      </c>
      <c r="H1671" s="1">
        <v>1</v>
      </c>
      <c r="I1671" s="1" t="s">
        <v>2013</v>
      </c>
      <c r="J1671" s="1" t="s">
        <v>26</v>
      </c>
      <c r="K1671" s="1">
        <v>8160000</v>
      </c>
      <c r="L1671" s="1">
        <v>0</v>
      </c>
      <c r="M1671" s="1">
        <v>0</v>
      </c>
      <c r="N1671" s="1">
        <v>897600</v>
      </c>
      <c r="O1671" s="1">
        <v>0</v>
      </c>
      <c r="P1671" s="1">
        <v>0</v>
      </c>
      <c r="Q1671" s="1">
        <v>0</v>
      </c>
      <c r="R1671" s="1">
        <v>9057600</v>
      </c>
      <c r="S1671" s="1">
        <v>2160000</v>
      </c>
      <c r="T1671" s="1">
        <v>26.470588235293999</v>
      </c>
      <c r="U1671" t="str">
        <f t="shared" si="26"/>
        <v>Week 3</v>
      </c>
    </row>
    <row r="1672" spans="1:21" x14ac:dyDescent="0.25">
      <c r="A1672" s="1">
        <v>1671</v>
      </c>
      <c r="B1672" s="1" t="s">
        <v>2014</v>
      </c>
      <c r="C1672" s="2">
        <v>46009</v>
      </c>
      <c r="D1672" s="1" t="s">
        <v>53</v>
      </c>
      <c r="E1672" s="1" t="s">
        <v>1530</v>
      </c>
      <c r="F1672" s="1" t="s">
        <v>30</v>
      </c>
      <c r="G1672" s="1" t="s">
        <v>24</v>
      </c>
      <c r="H1672" s="1">
        <v>1</v>
      </c>
      <c r="I1672" s="1" t="s">
        <v>2015</v>
      </c>
      <c r="J1672" s="1"/>
      <c r="K1672" s="1">
        <v>74772434</v>
      </c>
      <c r="L1672" s="1">
        <v>0</v>
      </c>
      <c r="M1672" s="1">
        <v>0</v>
      </c>
      <c r="N1672" s="1">
        <v>8224967.7400000002</v>
      </c>
      <c r="O1672" s="1">
        <v>0</v>
      </c>
      <c r="P1672" s="1">
        <v>0</v>
      </c>
      <c r="Q1672" s="1">
        <v>0</v>
      </c>
      <c r="R1672" s="1">
        <v>82997401.739999995</v>
      </c>
      <c r="S1672" s="1">
        <v>17219834</v>
      </c>
      <c r="T1672" s="1">
        <v>23.029655554613001</v>
      </c>
      <c r="U1672" t="str">
        <f t="shared" si="26"/>
        <v>Week 3</v>
      </c>
    </row>
    <row r="1673" spans="1:21" x14ac:dyDescent="0.25">
      <c r="A1673" s="1">
        <v>1672</v>
      </c>
      <c r="B1673" s="1" t="s">
        <v>2016</v>
      </c>
      <c r="C1673" s="2">
        <v>46009</v>
      </c>
      <c r="D1673" s="1" t="s">
        <v>306</v>
      </c>
      <c r="E1673" s="1" t="s">
        <v>1281</v>
      </c>
      <c r="F1673" s="1" t="s">
        <v>30</v>
      </c>
      <c r="G1673" s="1" t="s">
        <v>24</v>
      </c>
      <c r="H1673" s="1">
        <v>1</v>
      </c>
      <c r="I1673" s="1" t="s">
        <v>2017</v>
      </c>
      <c r="J1673" s="1" t="s">
        <v>26</v>
      </c>
      <c r="K1673" s="1">
        <v>32630400</v>
      </c>
      <c r="L1673" s="1">
        <v>0</v>
      </c>
      <c r="M1673" s="1">
        <v>0</v>
      </c>
      <c r="N1673" s="1">
        <v>3589344</v>
      </c>
      <c r="O1673" s="1">
        <v>0</v>
      </c>
      <c r="P1673" s="1">
        <v>0</v>
      </c>
      <c r="Q1673" s="1">
        <v>0</v>
      </c>
      <c r="R1673" s="1">
        <v>36219744</v>
      </c>
      <c r="S1673" s="1">
        <v>4510400</v>
      </c>
      <c r="T1673" s="1">
        <v>13.822692948906999</v>
      </c>
      <c r="U1673" t="str">
        <f t="shared" si="26"/>
        <v>Week 3</v>
      </c>
    </row>
    <row r="1674" spans="1:21" x14ac:dyDescent="0.25">
      <c r="A1674" s="1">
        <v>1673</v>
      </c>
      <c r="B1674" s="1" t="s">
        <v>2018</v>
      </c>
      <c r="C1674" s="2">
        <v>46008</v>
      </c>
      <c r="D1674" s="1" t="s">
        <v>21</v>
      </c>
      <c r="E1674" s="1" t="s">
        <v>22</v>
      </c>
      <c r="F1674" s="1" t="s">
        <v>30</v>
      </c>
      <c r="G1674" s="1" t="s">
        <v>24</v>
      </c>
      <c r="H1674" s="1">
        <v>1</v>
      </c>
      <c r="I1674" s="1" t="s">
        <v>2019</v>
      </c>
      <c r="J1674" s="1"/>
      <c r="K1674" s="1">
        <v>826165</v>
      </c>
      <c r="L1674" s="1">
        <v>0</v>
      </c>
      <c r="M1674" s="1">
        <v>0</v>
      </c>
      <c r="N1674" s="1">
        <v>90878.15</v>
      </c>
      <c r="O1674" s="1">
        <v>0</v>
      </c>
      <c r="P1674" s="1">
        <v>0</v>
      </c>
      <c r="Q1674" s="1">
        <v>0</v>
      </c>
      <c r="R1674" s="1">
        <v>917043.15</v>
      </c>
      <c r="S1674" s="1">
        <v>180872.20720825999</v>
      </c>
      <c r="T1674" s="1">
        <v>21.892988350785</v>
      </c>
      <c r="U1674" t="str">
        <f t="shared" si="26"/>
        <v>Week 3</v>
      </c>
    </row>
    <row r="1675" spans="1:21" x14ac:dyDescent="0.25">
      <c r="A1675" s="1">
        <v>1674</v>
      </c>
      <c r="B1675" s="1" t="s">
        <v>2020</v>
      </c>
      <c r="C1675" s="2">
        <v>46008</v>
      </c>
      <c r="D1675" s="1" t="s">
        <v>21</v>
      </c>
      <c r="E1675" s="1" t="s">
        <v>22</v>
      </c>
      <c r="F1675" s="1" t="s">
        <v>30</v>
      </c>
      <c r="G1675" s="1" t="s">
        <v>24</v>
      </c>
      <c r="H1675" s="1">
        <v>1</v>
      </c>
      <c r="I1675" s="1" t="s">
        <v>2021</v>
      </c>
      <c r="J1675" s="1" t="s">
        <v>56</v>
      </c>
      <c r="K1675" s="1">
        <v>116851960</v>
      </c>
      <c r="L1675" s="1">
        <v>0</v>
      </c>
      <c r="M1675" s="1">
        <v>0</v>
      </c>
      <c r="N1675" s="1">
        <v>12853715.6</v>
      </c>
      <c r="O1675" s="1">
        <v>0</v>
      </c>
      <c r="P1675" s="1">
        <v>0</v>
      </c>
      <c r="Q1675" s="1">
        <v>0</v>
      </c>
      <c r="R1675" s="1">
        <v>129705675.59999999</v>
      </c>
      <c r="S1675" s="1">
        <v>6643446.4000000004</v>
      </c>
      <c r="T1675" s="1">
        <v>5.6853529885164003</v>
      </c>
      <c r="U1675" t="str">
        <f t="shared" si="26"/>
        <v>Week 3</v>
      </c>
    </row>
    <row r="1676" spans="1:21" x14ac:dyDescent="0.25">
      <c r="A1676" s="1">
        <v>1675</v>
      </c>
      <c r="B1676" s="1" t="s">
        <v>2022</v>
      </c>
      <c r="C1676" s="2">
        <v>46008</v>
      </c>
      <c r="D1676" s="1" t="s">
        <v>53</v>
      </c>
      <c r="E1676" s="1" t="s">
        <v>1530</v>
      </c>
      <c r="F1676" s="1" t="s">
        <v>30</v>
      </c>
      <c r="G1676" s="1" t="s">
        <v>24</v>
      </c>
      <c r="H1676" s="1">
        <v>1</v>
      </c>
      <c r="I1676" s="1" t="s">
        <v>2023</v>
      </c>
      <c r="J1676" s="1" t="s">
        <v>56</v>
      </c>
      <c r="K1676" s="1">
        <v>110307284</v>
      </c>
      <c r="L1676" s="1">
        <v>0</v>
      </c>
      <c r="M1676" s="1">
        <v>0</v>
      </c>
      <c r="N1676" s="1">
        <v>12133801.24</v>
      </c>
      <c r="O1676" s="1">
        <v>0</v>
      </c>
      <c r="P1676" s="1">
        <v>0</v>
      </c>
      <c r="Q1676" s="1">
        <v>0</v>
      </c>
      <c r="R1676" s="1">
        <v>122441085.23999999</v>
      </c>
      <c r="S1676" s="1">
        <v>8849384</v>
      </c>
      <c r="T1676" s="1">
        <v>8.0224838098634006</v>
      </c>
      <c r="U1676" t="str">
        <f t="shared" si="26"/>
        <v>Week 3</v>
      </c>
    </row>
    <row r="1677" spans="1:21" x14ac:dyDescent="0.25">
      <c r="A1677" s="1">
        <v>1676</v>
      </c>
      <c r="B1677" s="1" t="s">
        <v>2024</v>
      </c>
      <c r="C1677" s="2">
        <v>46008</v>
      </c>
      <c r="D1677" s="1" t="s">
        <v>53</v>
      </c>
      <c r="E1677" s="1" t="s">
        <v>1530</v>
      </c>
      <c r="F1677" s="1" t="s">
        <v>30</v>
      </c>
      <c r="G1677" s="1" t="s">
        <v>24</v>
      </c>
      <c r="H1677" s="1">
        <v>1</v>
      </c>
      <c r="I1677" s="1" t="s">
        <v>2025</v>
      </c>
      <c r="J1677" s="1" t="s">
        <v>56</v>
      </c>
      <c r="K1677" s="1">
        <v>55153642</v>
      </c>
      <c r="L1677" s="1">
        <v>0</v>
      </c>
      <c r="M1677" s="1">
        <v>0</v>
      </c>
      <c r="N1677" s="1">
        <v>6066900.6200000001</v>
      </c>
      <c r="O1677" s="1">
        <v>0</v>
      </c>
      <c r="P1677" s="1">
        <v>0</v>
      </c>
      <c r="Q1677" s="1">
        <v>0</v>
      </c>
      <c r="R1677" s="1">
        <v>61220542.619999997</v>
      </c>
      <c r="S1677" s="1">
        <v>4424692</v>
      </c>
      <c r="T1677" s="1">
        <v>8.0224838098634006</v>
      </c>
      <c r="U1677" t="str">
        <f t="shared" si="26"/>
        <v>Week 3</v>
      </c>
    </row>
    <row r="1678" spans="1:21" x14ac:dyDescent="0.25">
      <c r="A1678" s="1">
        <v>1677</v>
      </c>
      <c r="B1678" s="1" t="s">
        <v>2026</v>
      </c>
      <c r="C1678" s="2">
        <v>46008</v>
      </c>
      <c r="D1678" s="1" t="s">
        <v>33</v>
      </c>
      <c r="E1678" s="1" t="s">
        <v>34</v>
      </c>
      <c r="F1678" s="1" t="s">
        <v>23</v>
      </c>
      <c r="G1678" s="1" t="s">
        <v>24</v>
      </c>
      <c r="H1678" s="1">
        <v>1</v>
      </c>
      <c r="I1678" s="1" t="s">
        <v>2027</v>
      </c>
      <c r="J1678" s="1"/>
      <c r="K1678" s="1">
        <v>5803875</v>
      </c>
      <c r="L1678" s="1">
        <v>0</v>
      </c>
      <c r="M1678" s="1">
        <v>0</v>
      </c>
      <c r="N1678" s="1">
        <v>638426.25</v>
      </c>
      <c r="O1678" s="1">
        <v>0</v>
      </c>
      <c r="P1678" s="1">
        <v>0</v>
      </c>
      <c r="Q1678" s="1">
        <v>0</v>
      </c>
      <c r="R1678" s="1">
        <v>6442301.25</v>
      </c>
      <c r="S1678" s="1">
        <v>844875</v>
      </c>
      <c r="T1678" s="1">
        <v>14.557084706337999</v>
      </c>
      <c r="U1678" t="str">
        <f t="shared" si="26"/>
        <v>Week 3</v>
      </c>
    </row>
    <row r="1679" spans="1:21" x14ac:dyDescent="0.25">
      <c r="A1679" s="1">
        <v>1678</v>
      </c>
      <c r="B1679" s="1" t="s">
        <v>2028</v>
      </c>
      <c r="C1679" s="2">
        <v>46008</v>
      </c>
      <c r="D1679" s="1" t="s">
        <v>21</v>
      </c>
      <c r="E1679" s="1" t="s">
        <v>22</v>
      </c>
      <c r="F1679" s="1" t="s">
        <v>30</v>
      </c>
      <c r="G1679" s="1" t="s">
        <v>24</v>
      </c>
      <c r="H1679" s="1">
        <v>1</v>
      </c>
      <c r="I1679" s="1" t="s">
        <v>2029</v>
      </c>
      <c r="J1679" s="1" t="s">
        <v>26</v>
      </c>
      <c r="K1679" s="1">
        <v>20580000</v>
      </c>
      <c r="L1679" s="1">
        <v>0</v>
      </c>
      <c r="M1679" s="1">
        <v>0</v>
      </c>
      <c r="N1679" s="1">
        <v>2263800</v>
      </c>
      <c r="O1679" s="1">
        <v>0</v>
      </c>
      <c r="P1679" s="1">
        <v>0</v>
      </c>
      <c r="Q1679" s="1">
        <v>0</v>
      </c>
      <c r="R1679" s="1">
        <v>22843800</v>
      </c>
      <c r="S1679" s="1">
        <v>2080000</v>
      </c>
      <c r="T1679" s="1">
        <v>10.106899902818</v>
      </c>
      <c r="U1679" t="str">
        <f t="shared" si="26"/>
        <v>Week 3</v>
      </c>
    </row>
    <row r="1680" spans="1:21" x14ac:dyDescent="0.25">
      <c r="A1680" s="1">
        <v>1679</v>
      </c>
      <c r="B1680" s="1" t="s">
        <v>2030</v>
      </c>
      <c r="C1680" s="2">
        <v>46008</v>
      </c>
      <c r="D1680" s="1" t="s">
        <v>21</v>
      </c>
      <c r="E1680" s="1" t="s">
        <v>22</v>
      </c>
      <c r="F1680" s="1" t="s">
        <v>30</v>
      </c>
      <c r="G1680" s="1" t="s">
        <v>24</v>
      </c>
      <c r="H1680" s="1">
        <v>1</v>
      </c>
      <c r="I1680" s="1" t="s">
        <v>2031</v>
      </c>
      <c r="J1680" s="1" t="s">
        <v>26</v>
      </c>
      <c r="K1680" s="1">
        <v>82320000</v>
      </c>
      <c r="L1680" s="1">
        <v>0</v>
      </c>
      <c r="M1680" s="1">
        <v>0</v>
      </c>
      <c r="N1680" s="1">
        <v>9055200</v>
      </c>
      <c r="O1680" s="1">
        <v>0</v>
      </c>
      <c r="P1680" s="1">
        <v>0</v>
      </c>
      <c r="Q1680" s="1">
        <v>0</v>
      </c>
      <c r="R1680" s="1">
        <v>91375200</v>
      </c>
      <c r="S1680" s="1">
        <v>8320000</v>
      </c>
      <c r="T1680" s="1">
        <v>10.106899902818</v>
      </c>
      <c r="U1680" t="str">
        <f t="shared" si="26"/>
        <v>Week 3</v>
      </c>
    </row>
    <row r="1681" spans="1:21" x14ac:dyDescent="0.25">
      <c r="A1681" s="1">
        <v>1680</v>
      </c>
      <c r="B1681" s="1" t="s">
        <v>2032</v>
      </c>
      <c r="C1681" s="2">
        <v>46008</v>
      </c>
      <c r="D1681" s="1" t="s">
        <v>511</v>
      </c>
      <c r="E1681" s="1" t="s">
        <v>1530</v>
      </c>
      <c r="F1681" s="1" t="s">
        <v>30</v>
      </c>
      <c r="G1681" s="1" t="s">
        <v>24</v>
      </c>
      <c r="H1681" s="1">
        <v>1</v>
      </c>
      <c r="I1681" s="1" t="s">
        <v>2033</v>
      </c>
      <c r="J1681" s="1"/>
      <c r="K1681" s="1">
        <v>349200</v>
      </c>
      <c r="L1681" s="1">
        <v>0</v>
      </c>
      <c r="M1681" s="1">
        <v>0</v>
      </c>
      <c r="N1681" s="1">
        <v>38412</v>
      </c>
      <c r="O1681" s="1">
        <v>0</v>
      </c>
      <c r="P1681" s="1">
        <v>0</v>
      </c>
      <c r="Q1681" s="1">
        <v>0</v>
      </c>
      <c r="R1681" s="1">
        <v>387612</v>
      </c>
      <c r="S1681" s="1">
        <v>64020</v>
      </c>
      <c r="T1681" s="1">
        <v>18.333333333333002</v>
      </c>
      <c r="U1681" t="str">
        <f t="shared" si="26"/>
        <v>Week 3</v>
      </c>
    </row>
    <row r="1682" spans="1:21" x14ac:dyDescent="0.25">
      <c r="A1682" s="1">
        <v>1681</v>
      </c>
      <c r="B1682" s="1" t="s">
        <v>2034</v>
      </c>
      <c r="C1682" s="2">
        <v>46008</v>
      </c>
      <c r="D1682" s="1" t="s">
        <v>98</v>
      </c>
      <c r="E1682" s="1" t="s">
        <v>99</v>
      </c>
      <c r="F1682" s="1" t="s">
        <v>30</v>
      </c>
      <c r="G1682" s="1" t="s">
        <v>24</v>
      </c>
      <c r="H1682" s="1">
        <v>1</v>
      </c>
      <c r="I1682" s="1" t="s">
        <v>2035</v>
      </c>
      <c r="J1682" s="1" t="s">
        <v>26</v>
      </c>
      <c r="K1682" s="1">
        <v>455260</v>
      </c>
      <c r="L1682" s="1">
        <v>0</v>
      </c>
      <c r="M1682" s="1">
        <v>0</v>
      </c>
      <c r="N1682" s="1">
        <v>50078.6</v>
      </c>
      <c r="O1682" s="1">
        <v>0</v>
      </c>
      <c r="P1682" s="1">
        <v>0</v>
      </c>
      <c r="Q1682" s="1">
        <v>0</v>
      </c>
      <c r="R1682" s="1">
        <v>505338.6</v>
      </c>
      <c r="S1682" s="1">
        <v>193260</v>
      </c>
      <c r="T1682" s="1">
        <v>42.450467864517002</v>
      </c>
      <c r="U1682" t="str">
        <f t="shared" si="26"/>
        <v>Week 3</v>
      </c>
    </row>
    <row r="1683" spans="1:21" x14ac:dyDescent="0.25">
      <c r="A1683" s="1">
        <v>1682</v>
      </c>
      <c r="B1683" s="1" t="s">
        <v>2036</v>
      </c>
      <c r="C1683" s="2">
        <v>46008</v>
      </c>
      <c r="D1683" s="1" t="s">
        <v>37</v>
      </c>
      <c r="E1683" s="1" t="s">
        <v>34</v>
      </c>
      <c r="F1683" s="1" t="s">
        <v>23</v>
      </c>
      <c r="G1683" s="1" t="s">
        <v>24</v>
      </c>
      <c r="H1683" s="1">
        <v>1</v>
      </c>
      <c r="I1683" s="1" t="s">
        <v>2037</v>
      </c>
      <c r="J1683" s="1"/>
      <c r="K1683" s="1">
        <v>240000</v>
      </c>
      <c r="L1683" s="1">
        <v>0</v>
      </c>
      <c r="M1683" s="1">
        <v>0</v>
      </c>
      <c r="N1683" s="1">
        <v>26400</v>
      </c>
      <c r="O1683" s="1">
        <v>0</v>
      </c>
      <c r="P1683" s="1">
        <v>0</v>
      </c>
      <c r="Q1683" s="1">
        <v>0</v>
      </c>
      <c r="R1683" s="1">
        <v>266400</v>
      </c>
      <c r="S1683" s="1">
        <v>132000</v>
      </c>
      <c r="T1683" s="1">
        <v>55</v>
      </c>
      <c r="U1683" t="str">
        <f t="shared" si="26"/>
        <v>Week 3</v>
      </c>
    </row>
    <row r="1684" spans="1:21" x14ac:dyDescent="0.25">
      <c r="A1684" s="1">
        <v>1683</v>
      </c>
      <c r="B1684" s="1" t="s">
        <v>2038</v>
      </c>
      <c r="C1684" s="2">
        <v>46007</v>
      </c>
      <c r="D1684" s="1" t="s">
        <v>306</v>
      </c>
      <c r="E1684" s="1" t="s">
        <v>1281</v>
      </c>
      <c r="F1684" s="1" t="s">
        <v>30</v>
      </c>
      <c r="G1684" s="1" t="s">
        <v>24</v>
      </c>
      <c r="H1684" s="1">
        <v>1</v>
      </c>
      <c r="I1684" s="1" t="s">
        <v>2039</v>
      </c>
      <c r="J1684" s="1" t="s">
        <v>26</v>
      </c>
      <c r="K1684" s="1">
        <v>20030822</v>
      </c>
      <c r="L1684" s="1">
        <v>0</v>
      </c>
      <c r="M1684" s="1">
        <v>0</v>
      </c>
      <c r="N1684" s="1">
        <v>2203390.42</v>
      </c>
      <c r="O1684" s="1">
        <v>0</v>
      </c>
      <c r="P1684" s="1">
        <v>0</v>
      </c>
      <c r="Q1684" s="1">
        <v>0</v>
      </c>
      <c r="R1684" s="1">
        <v>22234212.420000002</v>
      </c>
      <c r="S1684" s="1">
        <v>583422</v>
      </c>
      <c r="T1684" s="1">
        <v>2.9126213592233001</v>
      </c>
      <c r="U1684" t="str">
        <f t="shared" si="26"/>
        <v>Week 3</v>
      </c>
    </row>
    <row r="1685" spans="1:21" x14ac:dyDescent="0.25">
      <c r="A1685" s="1">
        <v>1684</v>
      </c>
      <c r="B1685" s="1" t="s">
        <v>2040</v>
      </c>
      <c r="C1685" s="2">
        <v>46007</v>
      </c>
      <c r="D1685" s="1" t="s">
        <v>53</v>
      </c>
      <c r="E1685" s="1" t="s">
        <v>1530</v>
      </c>
      <c r="F1685" s="1" t="s">
        <v>23</v>
      </c>
      <c r="G1685" s="1" t="s">
        <v>24</v>
      </c>
      <c r="H1685" s="1">
        <v>1</v>
      </c>
      <c r="I1685" s="1" t="s">
        <v>2005</v>
      </c>
      <c r="J1685" s="1"/>
      <c r="K1685" s="1">
        <v>75556026</v>
      </c>
      <c r="L1685" s="1">
        <v>0</v>
      </c>
      <c r="M1685" s="1">
        <v>0</v>
      </c>
      <c r="N1685" s="1">
        <v>8311162.8600000003</v>
      </c>
      <c r="O1685" s="1">
        <v>0</v>
      </c>
      <c r="P1685" s="1">
        <v>0</v>
      </c>
      <c r="Q1685" s="1">
        <v>0</v>
      </c>
      <c r="R1685" s="1">
        <v>83867188.859999999</v>
      </c>
      <c r="S1685" s="1">
        <v>17134404</v>
      </c>
      <c r="T1685" s="1">
        <v>22.677746444737998</v>
      </c>
      <c r="U1685" t="str">
        <f t="shared" si="26"/>
        <v>Week 3</v>
      </c>
    </row>
    <row r="1686" spans="1:21" x14ac:dyDescent="0.25">
      <c r="A1686" s="1">
        <v>1685</v>
      </c>
      <c r="B1686" s="1" t="s">
        <v>2041</v>
      </c>
      <c r="C1686" s="2">
        <v>46007</v>
      </c>
      <c r="D1686" s="1" t="s">
        <v>21</v>
      </c>
      <c r="E1686" s="1" t="s">
        <v>22</v>
      </c>
      <c r="F1686" s="1" t="s">
        <v>23</v>
      </c>
      <c r="G1686" s="1" t="s">
        <v>24</v>
      </c>
      <c r="H1686" s="1">
        <v>1</v>
      </c>
      <c r="I1686" s="1" t="s">
        <v>361</v>
      </c>
      <c r="J1686" s="1"/>
      <c r="K1686" s="1">
        <v>12824173.274723999</v>
      </c>
      <c r="L1686" s="1">
        <v>0</v>
      </c>
      <c r="M1686" s="1">
        <v>0</v>
      </c>
      <c r="N1686" s="1">
        <v>1410659.0602196001</v>
      </c>
      <c r="O1686" s="1">
        <v>0</v>
      </c>
      <c r="P1686" s="1">
        <v>0</v>
      </c>
      <c r="Q1686" s="1">
        <v>0</v>
      </c>
      <c r="R1686" s="1">
        <v>14234832.334944</v>
      </c>
      <c r="S1686" s="1">
        <v>2310659.7649139999</v>
      </c>
      <c r="T1686" s="1">
        <v>18.01800174884</v>
      </c>
      <c r="U1686" t="str">
        <f t="shared" si="26"/>
        <v>Week 3</v>
      </c>
    </row>
    <row r="1687" spans="1:21" x14ac:dyDescent="0.25">
      <c r="A1687" s="1">
        <v>1686</v>
      </c>
      <c r="B1687" s="1" t="s">
        <v>2042</v>
      </c>
      <c r="C1687" s="2">
        <v>46007</v>
      </c>
      <c r="D1687" s="1" t="s">
        <v>33</v>
      </c>
      <c r="E1687" s="1" t="s">
        <v>34</v>
      </c>
      <c r="F1687" s="1" t="s">
        <v>30</v>
      </c>
      <c r="G1687" s="1" t="s">
        <v>24</v>
      </c>
      <c r="H1687" s="1">
        <v>1</v>
      </c>
      <c r="I1687" s="1" t="s">
        <v>2043</v>
      </c>
      <c r="J1687" s="1"/>
      <c r="K1687" s="1">
        <v>11200000</v>
      </c>
      <c r="L1687" s="1">
        <v>0</v>
      </c>
      <c r="M1687" s="1">
        <v>0</v>
      </c>
      <c r="N1687" s="1">
        <v>1232000</v>
      </c>
      <c r="O1687" s="1">
        <v>0</v>
      </c>
      <c r="P1687" s="1">
        <v>0</v>
      </c>
      <c r="Q1687" s="1">
        <v>0</v>
      </c>
      <c r="R1687" s="1">
        <v>12432000</v>
      </c>
      <c r="S1687" s="1">
        <v>2400000</v>
      </c>
      <c r="T1687" s="1">
        <v>21.428571428571001</v>
      </c>
      <c r="U1687" t="str">
        <f t="shared" si="26"/>
        <v>Week 3</v>
      </c>
    </row>
    <row r="1688" spans="1:21" x14ac:dyDescent="0.25">
      <c r="A1688" s="1">
        <v>1687</v>
      </c>
      <c r="B1688" s="1" t="s">
        <v>2044</v>
      </c>
      <c r="C1688" s="2">
        <v>46007</v>
      </c>
      <c r="D1688" s="1" t="s">
        <v>21</v>
      </c>
      <c r="E1688" s="1" t="s">
        <v>22</v>
      </c>
      <c r="F1688" s="1" t="s">
        <v>30</v>
      </c>
      <c r="G1688" s="1" t="s">
        <v>24</v>
      </c>
      <c r="H1688" s="1">
        <v>1</v>
      </c>
      <c r="I1688" s="1" t="s">
        <v>2045</v>
      </c>
      <c r="J1688" s="1" t="s">
        <v>26</v>
      </c>
      <c r="K1688" s="1">
        <v>2770950</v>
      </c>
      <c r="L1688" s="1">
        <v>0</v>
      </c>
      <c r="M1688" s="1">
        <v>0</v>
      </c>
      <c r="N1688" s="1">
        <v>304804.5</v>
      </c>
      <c r="O1688" s="1">
        <v>0</v>
      </c>
      <c r="P1688" s="1">
        <v>0</v>
      </c>
      <c r="Q1688" s="1">
        <v>0</v>
      </c>
      <c r="R1688" s="1">
        <v>3075754.5</v>
      </c>
      <c r="S1688" s="1">
        <v>365950</v>
      </c>
      <c r="T1688" s="1">
        <v>13.206661975135001</v>
      </c>
      <c r="U1688" t="str">
        <f t="shared" si="26"/>
        <v>Week 3</v>
      </c>
    </row>
    <row r="1689" spans="1:21" x14ac:dyDescent="0.25">
      <c r="A1689" s="1">
        <v>1688</v>
      </c>
      <c r="B1689" s="1" t="s">
        <v>2046</v>
      </c>
      <c r="C1689" s="2">
        <v>46007</v>
      </c>
      <c r="D1689" s="1" t="s">
        <v>98</v>
      </c>
      <c r="E1689" s="1" t="s">
        <v>99</v>
      </c>
      <c r="F1689" s="1" t="s">
        <v>30</v>
      </c>
      <c r="G1689" s="1" t="s">
        <v>24</v>
      </c>
      <c r="H1689" s="1">
        <v>1</v>
      </c>
      <c r="I1689" s="1" t="s">
        <v>2047</v>
      </c>
      <c r="J1689" s="1" t="s">
        <v>26</v>
      </c>
      <c r="K1689" s="1">
        <v>1223898</v>
      </c>
      <c r="L1689" s="1">
        <v>0</v>
      </c>
      <c r="M1689" s="1">
        <v>0</v>
      </c>
      <c r="N1689" s="1">
        <v>134628.78</v>
      </c>
      <c r="O1689" s="1">
        <v>0</v>
      </c>
      <c r="P1689" s="1">
        <v>0</v>
      </c>
      <c r="Q1689" s="1">
        <v>0</v>
      </c>
      <c r="R1689" s="1">
        <v>1358526.78</v>
      </c>
      <c r="S1689" s="1">
        <v>73898</v>
      </c>
      <c r="T1689" s="1">
        <v>6.0379214607752996</v>
      </c>
      <c r="U1689" t="str">
        <f t="shared" si="26"/>
        <v>Week 3</v>
      </c>
    </row>
    <row r="1690" spans="1:21" x14ac:dyDescent="0.25">
      <c r="A1690" s="1">
        <v>1689</v>
      </c>
      <c r="B1690" s="1" t="s">
        <v>2048</v>
      </c>
      <c r="C1690" s="2">
        <v>46007</v>
      </c>
      <c r="D1690" s="1" t="s">
        <v>21</v>
      </c>
      <c r="E1690" s="1" t="s">
        <v>22</v>
      </c>
      <c r="F1690" s="1" t="s">
        <v>30</v>
      </c>
      <c r="G1690" s="1" t="s">
        <v>24</v>
      </c>
      <c r="H1690" s="1">
        <v>1</v>
      </c>
      <c r="I1690" s="1" t="s">
        <v>2049</v>
      </c>
      <c r="J1690" s="1" t="s">
        <v>26</v>
      </c>
      <c r="K1690" s="1">
        <v>9167104</v>
      </c>
      <c r="L1690" s="1">
        <v>0</v>
      </c>
      <c r="M1690" s="1">
        <v>0</v>
      </c>
      <c r="N1690" s="1">
        <v>1008381.4399999999</v>
      </c>
      <c r="O1690" s="1">
        <v>0</v>
      </c>
      <c r="P1690" s="1">
        <v>0</v>
      </c>
      <c r="Q1690" s="1">
        <v>0</v>
      </c>
      <c r="R1690" s="1">
        <v>10175485.439999999</v>
      </c>
      <c r="S1690" s="1">
        <v>641697.28000000003</v>
      </c>
      <c r="T1690" s="1">
        <v>7</v>
      </c>
      <c r="U1690" t="str">
        <f t="shared" si="26"/>
        <v>Week 3</v>
      </c>
    </row>
    <row r="1691" spans="1:21" x14ac:dyDescent="0.25">
      <c r="A1691" s="1">
        <v>1690</v>
      </c>
      <c r="B1691" s="1" t="s">
        <v>2050</v>
      </c>
      <c r="C1691" s="2">
        <v>46006</v>
      </c>
      <c r="D1691" s="1" t="s">
        <v>21</v>
      </c>
      <c r="E1691" s="1" t="s">
        <v>22</v>
      </c>
      <c r="F1691" s="1" t="s">
        <v>30</v>
      </c>
      <c r="G1691" s="1" t="s">
        <v>24</v>
      </c>
      <c r="H1691" s="1">
        <v>1</v>
      </c>
      <c r="I1691" s="1" t="s">
        <v>2051</v>
      </c>
      <c r="J1691" s="1" t="s">
        <v>26</v>
      </c>
      <c r="K1691" s="1">
        <v>10894562</v>
      </c>
      <c r="L1691" s="1">
        <v>0</v>
      </c>
      <c r="M1691" s="1">
        <v>0</v>
      </c>
      <c r="N1691" s="1">
        <v>1198401.82</v>
      </c>
      <c r="O1691" s="1">
        <v>0</v>
      </c>
      <c r="P1691" s="1">
        <v>0</v>
      </c>
      <c r="Q1691" s="1">
        <v>0</v>
      </c>
      <c r="R1691" s="1">
        <v>12092963.82</v>
      </c>
      <c r="S1691" s="1">
        <v>316062</v>
      </c>
      <c r="T1691" s="1">
        <v>2.9010987316424002</v>
      </c>
      <c r="U1691" t="str">
        <f t="shared" si="26"/>
        <v>Week 3</v>
      </c>
    </row>
    <row r="1692" spans="1:21" x14ac:dyDescent="0.25">
      <c r="A1692" s="1">
        <v>1691</v>
      </c>
      <c r="B1692" s="1" t="s">
        <v>2295</v>
      </c>
      <c r="C1692" s="2">
        <v>46006</v>
      </c>
      <c r="D1692" s="1" t="s">
        <v>2293</v>
      </c>
      <c r="E1692" s="1" t="s">
        <v>1675</v>
      </c>
      <c r="F1692" s="1" t="s">
        <v>30</v>
      </c>
      <c r="G1692" s="1" t="s">
        <v>24</v>
      </c>
      <c r="H1692" s="1">
        <v>1</v>
      </c>
      <c r="I1692" s="1" t="s">
        <v>2296</v>
      </c>
      <c r="J1692" s="1"/>
      <c r="K1692" s="1">
        <v>79597777.799999997</v>
      </c>
      <c r="L1692" s="1">
        <v>0</v>
      </c>
      <c r="M1692" s="1">
        <v>0</v>
      </c>
      <c r="N1692" s="1">
        <v>8755755.5580000002</v>
      </c>
      <c r="O1692" s="1">
        <v>0</v>
      </c>
      <c r="P1692" s="1">
        <v>0</v>
      </c>
      <c r="Q1692" s="1">
        <v>0</v>
      </c>
      <c r="R1692" s="1">
        <v>88353533.357999995</v>
      </c>
      <c r="S1692" s="1">
        <v>8278478.0157837998</v>
      </c>
      <c r="T1692" s="1">
        <v>10.400388358309</v>
      </c>
      <c r="U1692" t="str">
        <f t="shared" si="26"/>
        <v>Week 3</v>
      </c>
    </row>
    <row r="1693" spans="1:21" x14ac:dyDescent="0.25">
      <c r="A1693" s="1">
        <v>1692</v>
      </c>
      <c r="B1693" s="1" t="s">
        <v>2052</v>
      </c>
      <c r="C1693" s="2">
        <v>46006</v>
      </c>
      <c r="D1693" s="1" t="s">
        <v>33</v>
      </c>
      <c r="E1693" s="1" t="s">
        <v>1530</v>
      </c>
      <c r="F1693" s="1" t="s">
        <v>30</v>
      </c>
      <c r="G1693" s="1" t="s">
        <v>24</v>
      </c>
      <c r="H1693" s="1">
        <v>1</v>
      </c>
      <c r="I1693" s="1" t="s">
        <v>2053</v>
      </c>
      <c r="J1693" s="1"/>
      <c r="K1693" s="1">
        <v>2296875</v>
      </c>
      <c r="L1693" s="1">
        <v>0</v>
      </c>
      <c r="M1693" s="1">
        <v>0</v>
      </c>
      <c r="N1693" s="1">
        <v>252656.25</v>
      </c>
      <c r="O1693" s="1">
        <v>0</v>
      </c>
      <c r="P1693" s="1">
        <v>0</v>
      </c>
      <c r="Q1693" s="1">
        <v>0</v>
      </c>
      <c r="R1693" s="1">
        <v>2549531.25</v>
      </c>
      <c r="S1693" s="1">
        <v>421875</v>
      </c>
      <c r="T1693" s="1">
        <v>18.367346938775999</v>
      </c>
      <c r="U1693" t="str">
        <f t="shared" si="26"/>
        <v>Week 3</v>
      </c>
    </row>
    <row r="1694" spans="1:21" x14ac:dyDescent="0.25">
      <c r="A1694" s="1">
        <v>1693</v>
      </c>
      <c r="B1694" s="1" t="s">
        <v>2054</v>
      </c>
      <c r="C1694" s="2">
        <v>46006</v>
      </c>
      <c r="D1694" s="1" t="s">
        <v>33</v>
      </c>
      <c r="E1694" s="1" t="s">
        <v>1530</v>
      </c>
      <c r="F1694" s="1" t="s">
        <v>23</v>
      </c>
      <c r="G1694" s="1" t="s">
        <v>24</v>
      </c>
      <c r="H1694" s="1">
        <v>1</v>
      </c>
      <c r="I1694" s="1" t="s">
        <v>2055</v>
      </c>
      <c r="J1694" s="1"/>
      <c r="K1694" s="1">
        <v>26047500</v>
      </c>
      <c r="L1694" s="1">
        <v>0</v>
      </c>
      <c r="M1694" s="1">
        <v>0</v>
      </c>
      <c r="N1694" s="1">
        <v>2865225</v>
      </c>
      <c r="O1694" s="1">
        <v>0</v>
      </c>
      <c r="P1694" s="1">
        <v>0</v>
      </c>
      <c r="Q1694" s="1">
        <v>0</v>
      </c>
      <c r="R1694" s="1">
        <v>28912725</v>
      </c>
      <c r="S1694" s="1">
        <v>5545500</v>
      </c>
      <c r="T1694" s="1">
        <v>21.289951050965001</v>
      </c>
      <c r="U1694" t="str">
        <f t="shared" si="26"/>
        <v>Week 3</v>
      </c>
    </row>
    <row r="1695" spans="1:21" x14ac:dyDescent="0.25">
      <c r="A1695" s="1">
        <v>1694</v>
      </c>
      <c r="B1695" s="1" t="s">
        <v>2056</v>
      </c>
      <c r="C1695" s="2">
        <v>46006</v>
      </c>
      <c r="D1695" s="1" t="s">
        <v>306</v>
      </c>
      <c r="E1695" s="1" t="s">
        <v>1281</v>
      </c>
      <c r="F1695" s="1" t="s">
        <v>30</v>
      </c>
      <c r="G1695" s="1" t="s">
        <v>24</v>
      </c>
      <c r="H1695" s="1">
        <v>1</v>
      </c>
      <c r="I1695" s="1" t="s">
        <v>2057</v>
      </c>
      <c r="J1695" s="1" t="s">
        <v>26</v>
      </c>
      <c r="K1695" s="1">
        <v>6174000</v>
      </c>
      <c r="L1695" s="1">
        <v>0</v>
      </c>
      <c r="M1695" s="1">
        <v>0</v>
      </c>
      <c r="N1695" s="1">
        <v>679140</v>
      </c>
      <c r="O1695" s="1">
        <v>0</v>
      </c>
      <c r="P1695" s="1">
        <v>0</v>
      </c>
      <c r="Q1695" s="1">
        <v>0</v>
      </c>
      <c r="R1695" s="1">
        <v>6853140</v>
      </c>
      <c r="S1695" s="1">
        <v>1134000</v>
      </c>
      <c r="T1695" s="1">
        <v>18.367346938775999</v>
      </c>
      <c r="U1695" t="str">
        <f t="shared" si="26"/>
        <v>Week 3</v>
      </c>
    </row>
    <row r="1696" spans="1:21" x14ac:dyDescent="0.25">
      <c r="A1696" s="1">
        <v>1695</v>
      </c>
      <c r="B1696" s="1" t="s">
        <v>2058</v>
      </c>
      <c r="C1696" s="2">
        <v>46006</v>
      </c>
      <c r="D1696" s="1" t="s">
        <v>53</v>
      </c>
      <c r="E1696" s="1" t="s">
        <v>1530</v>
      </c>
      <c r="F1696" s="1" t="s">
        <v>30</v>
      </c>
      <c r="G1696" s="1" t="s">
        <v>24</v>
      </c>
      <c r="H1696" s="1">
        <v>1</v>
      </c>
      <c r="I1696" s="1" t="s">
        <v>2059</v>
      </c>
      <c r="J1696" s="1" t="s">
        <v>56</v>
      </c>
      <c r="K1696" s="1">
        <v>230320600</v>
      </c>
      <c r="L1696" s="1">
        <v>0</v>
      </c>
      <c r="M1696" s="1">
        <v>0</v>
      </c>
      <c r="N1696" s="1">
        <v>25335266</v>
      </c>
      <c r="O1696" s="1">
        <v>0</v>
      </c>
      <c r="P1696" s="1">
        <v>0</v>
      </c>
      <c r="Q1696" s="1">
        <v>0</v>
      </c>
      <c r="R1696" s="1">
        <v>255655866</v>
      </c>
      <c r="S1696" s="1">
        <v>86320600</v>
      </c>
      <c r="T1696" s="1">
        <v>37.478453946369001</v>
      </c>
      <c r="U1696" t="str">
        <f t="shared" si="26"/>
        <v>Week 3</v>
      </c>
    </row>
    <row r="1697" spans="1:21" x14ac:dyDescent="0.25">
      <c r="A1697" s="1">
        <v>1696</v>
      </c>
      <c r="B1697" s="1" t="s">
        <v>2060</v>
      </c>
      <c r="C1697" s="2">
        <v>46006</v>
      </c>
      <c r="D1697" s="1" t="s">
        <v>28</v>
      </c>
      <c r="E1697" s="1" t="s">
        <v>1523</v>
      </c>
      <c r="F1697" s="1" t="s">
        <v>30</v>
      </c>
      <c r="G1697" s="1" t="s">
        <v>24</v>
      </c>
      <c r="H1697" s="1">
        <v>1</v>
      </c>
      <c r="I1697" s="1" t="s">
        <v>2061</v>
      </c>
      <c r="J1697" s="1" t="s">
        <v>56</v>
      </c>
      <c r="K1697" s="1">
        <v>127942704</v>
      </c>
      <c r="L1697" s="1">
        <v>0</v>
      </c>
      <c r="M1697" s="1">
        <v>0</v>
      </c>
      <c r="N1697" s="1">
        <v>14073697.439999999</v>
      </c>
      <c r="O1697" s="1">
        <v>0</v>
      </c>
      <c r="P1697" s="1">
        <v>0</v>
      </c>
      <c r="Q1697" s="1">
        <v>0</v>
      </c>
      <c r="R1697" s="1">
        <v>142016401.44</v>
      </c>
      <c r="S1697" s="1">
        <v>3726504</v>
      </c>
      <c r="T1697" s="1">
        <v>2.91263501825</v>
      </c>
      <c r="U1697" t="str">
        <f t="shared" si="26"/>
        <v>Week 3</v>
      </c>
    </row>
    <row r="1698" spans="1:21" x14ac:dyDescent="0.25">
      <c r="A1698" s="1">
        <v>1697</v>
      </c>
      <c r="B1698" s="1" t="s">
        <v>2062</v>
      </c>
      <c r="C1698" s="2">
        <v>46006</v>
      </c>
      <c r="D1698" s="1" t="s">
        <v>53</v>
      </c>
      <c r="E1698" s="1" t="s">
        <v>1530</v>
      </c>
      <c r="F1698" s="1" t="s">
        <v>23</v>
      </c>
      <c r="G1698" s="1" t="s">
        <v>24</v>
      </c>
      <c r="H1698" s="1">
        <v>1</v>
      </c>
      <c r="I1698" s="1" t="s">
        <v>1746</v>
      </c>
      <c r="J1698" s="1"/>
      <c r="K1698" s="1">
        <v>31710000</v>
      </c>
      <c r="L1698" s="1">
        <v>0</v>
      </c>
      <c r="M1698" s="1">
        <v>0</v>
      </c>
      <c r="N1698" s="1">
        <v>3488100</v>
      </c>
      <c r="O1698" s="1">
        <v>0</v>
      </c>
      <c r="P1698" s="1">
        <v>0</v>
      </c>
      <c r="Q1698" s="1">
        <v>0</v>
      </c>
      <c r="R1698" s="1">
        <v>35198100</v>
      </c>
      <c r="S1698" s="1">
        <v>6340000</v>
      </c>
      <c r="T1698" s="1">
        <v>19.993692841375001</v>
      </c>
      <c r="U1698" t="str">
        <f t="shared" si="26"/>
        <v>Week 3</v>
      </c>
    </row>
    <row r="1699" spans="1:21" x14ac:dyDescent="0.25">
      <c r="A1699" s="1">
        <v>1698</v>
      </c>
      <c r="B1699" s="1" t="s">
        <v>2063</v>
      </c>
      <c r="C1699" s="2">
        <v>46006</v>
      </c>
      <c r="D1699" s="1" t="s">
        <v>33</v>
      </c>
      <c r="E1699" s="1" t="s">
        <v>34</v>
      </c>
      <c r="F1699" s="1" t="s">
        <v>23</v>
      </c>
      <c r="G1699" s="1" t="s">
        <v>24</v>
      </c>
      <c r="H1699" s="1">
        <v>1</v>
      </c>
      <c r="I1699" s="1" t="s">
        <v>2064</v>
      </c>
      <c r="J1699" s="1"/>
      <c r="K1699" s="1">
        <v>26250000</v>
      </c>
      <c r="L1699" s="1">
        <v>0</v>
      </c>
      <c r="M1699" s="1">
        <v>0</v>
      </c>
      <c r="N1699" s="1">
        <v>2887500</v>
      </c>
      <c r="O1699" s="1">
        <v>0</v>
      </c>
      <c r="P1699" s="1">
        <v>0</v>
      </c>
      <c r="Q1699" s="1">
        <v>0</v>
      </c>
      <c r="R1699" s="1">
        <v>29137500</v>
      </c>
      <c r="S1699" s="1">
        <v>5250000</v>
      </c>
      <c r="T1699" s="1">
        <v>20</v>
      </c>
      <c r="U1699" t="str">
        <f t="shared" si="26"/>
        <v>Week 3</v>
      </c>
    </row>
    <row r="1700" spans="1:21" x14ac:dyDescent="0.25">
      <c r="A1700" s="1">
        <v>1699</v>
      </c>
      <c r="B1700" s="1" t="s">
        <v>2065</v>
      </c>
      <c r="C1700" s="2">
        <v>46004</v>
      </c>
      <c r="D1700" s="1" t="s">
        <v>1899</v>
      </c>
      <c r="E1700" s="1" t="s">
        <v>1675</v>
      </c>
      <c r="F1700" s="1" t="s">
        <v>30</v>
      </c>
      <c r="G1700" s="1" t="s">
        <v>24</v>
      </c>
      <c r="H1700" s="1">
        <v>1</v>
      </c>
      <c r="I1700" s="1" t="s">
        <v>2066</v>
      </c>
      <c r="J1700" s="1"/>
      <c r="K1700" s="1">
        <v>2126126.1260000002</v>
      </c>
      <c r="L1700" s="1">
        <v>0</v>
      </c>
      <c r="M1700" s="1">
        <v>0</v>
      </c>
      <c r="N1700" s="1">
        <v>233873.87385999999</v>
      </c>
      <c r="O1700" s="1">
        <v>0</v>
      </c>
      <c r="P1700" s="1">
        <v>0</v>
      </c>
      <c r="Q1700" s="1">
        <v>0</v>
      </c>
      <c r="R1700" s="1">
        <v>2359999.9998599999</v>
      </c>
      <c r="S1700" s="1">
        <v>126126.126</v>
      </c>
      <c r="T1700" s="1">
        <v>5.9322033842502</v>
      </c>
      <c r="U1700" t="str">
        <f t="shared" si="26"/>
        <v>Week 2</v>
      </c>
    </row>
    <row r="1701" spans="1:21" x14ac:dyDescent="0.25">
      <c r="A1701" s="1">
        <v>1700</v>
      </c>
      <c r="B1701" s="1" t="s">
        <v>2067</v>
      </c>
      <c r="C1701" s="2">
        <v>46004</v>
      </c>
      <c r="D1701" s="1" t="s">
        <v>21</v>
      </c>
      <c r="E1701" s="1" t="s">
        <v>22</v>
      </c>
      <c r="F1701" s="1" t="s">
        <v>30</v>
      </c>
      <c r="G1701" s="1" t="s">
        <v>24</v>
      </c>
      <c r="H1701" s="1">
        <v>1</v>
      </c>
      <c r="I1701" s="1" t="s">
        <v>2068</v>
      </c>
      <c r="J1701" s="1" t="s">
        <v>26</v>
      </c>
      <c r="K1701" s="1">
        <v>13220115.720000001</v>
      </c>
      <c r="L1701" s="1">
        <v>0</v>
      </c>
      <c r="M1701" s="1">
        <v>0</v>
      </c>
      <c r="N1701" s="1">
        <v>1454212.7291999999</v>
      </c>
      <c r="O1701" s="1">
        <v>0</v>
      </c>
      <c r="P1701" s="1">
        <v>0</v>
      </c>
      <c r="Q1701" s="1">
        <v>0</v>
      </c>
      <c r="R1701" s="1">
        <v>14674328.449200001</v>
      </c>
      <c r="S1701" s="1">
        <v>6286203.8281081002</v>
      </c>
      <c r="T1701" s="1">
        <v>47.550293516704997</v>
      </c>
      <c r="U1701" t="str">
        <f t="shared" si="26"/>
        <v>Week 2</v>
      </c>
    </row>
    <row r="1702" spans="1:21" x14ac:dyDescent="0.25">
      <c r="A1702" s="1">
        <v>1701</v>
      </c>
      <c r="B1702" s="1" t="s">
        <v>2069</v>
      </c>
      <c r="C1702" s="2">
        <v>46004</v>
      </c>
      <c r="D1702" s="1" t="s">
        <v>53</v>
      </c>
      <c r="E1702" s="1" t="s">
        <v>1530</v>
      </c>
      <c r="F1702" s="1" t="s">
        <v>30</v>
      </c>
      <c r="G1702" s="1" t="s">
        <v>24</v>
      </c>
      <c r="H1702" s="1">
        <v>1</v>
      </c>
      <c r="I1702" s="1" t="s">
        <v>2070</v>
      </c>
      <c r="J1702" s="1"/>
      <c r="K1702" s="1">
        <v>44032500</v>
      </c>
      <c r="L1702" s="1">
        <v>0</v>
      </c>
      <c r="M1702" s="1">
        <v>0</v>
      </c>
      <c r="N1702" s="1">
        <v>4843575</v>
      </c>
      <c r="O1702" s="1">
        <v>0</v>
      </c>
      <c r="P1702" s="1">
        <v>0</v>
      </c>
      <c r="Q1702" s="1">
        <v>0</v>
      </c>
      <c r="R1702" s="1">
        <v>48876075</v>
      </c>
      <c r="S1702" s="1">
        <v>21532500</v>
      </c>
      <c r="T1702" s="1">
        <v>48.901379662749001</v>
      </c>
      <c r="U1702" t="str">
        <f t="shared" si="26"/>
        <v>Week 2</v>
      </c>
    </row>
    <row r="1703" spans="1:21" x14ac:dyDescent="0.25">
      <c r="A1703" s="1">
        <v>1702</v>
      </c>
      <c r="B1703" s="1" t="s">
        <v>2071</v>
      </c>
      <c r="C1703" s="2">
        <v>46004</v>
      </c>
      <c r="D1703" s="1" t="s">
        <v>1941</v>
      </c>
      <c r="E1703" s="1" t="s">
        <v>1675</v>
      </c>
      <c r="F1703" s="1" t="s">
        <v>30</v>
      </c>
      <c r="G1703" s="1" t="s">
        <v>24</v>
      </c>
      <c r="H1703" s="1">
        <v>1</v>
      </c>
      <c r="I1703" s="1" t="s">
        <v>2072</v>
      </c>
      <c r="J1703" s="1" t="s">
        <v>56</v>
      </c>
      <c r="K1703" s="1">
        <v>2612612.61</v>
      </c>
      <c r="L1703" s="1">
        <v>0</v>
      </c>
      <c r="M1703" s="1">
        <v>0</v>
      </c>
      <c r="N1703" s="1">
        <v>287387.38709999999</v>
      </c>
      <c r="O1703" s="1">
        <v>0</v>
      </c>
      <c r="P1703" s="1">
        <v>0</v>
      </c>
      <c r="Q1703" s="1">
        <v>0</v>
      </c>
      <c r="R1703" s="1">
        <v>2899999.9970999998</v>
      </c>
      <c r="S1703" s="1">
        <v>-237387.39</v>
      </c>
      <c r="T1703" s="1">
        <v>-9.0862070056379007</v>
      </c>
      <c r="U1703" t="str">
        <f t="shared" si="26"/>
        <v>Week 2</v>
      </c>
    </row>
    <row r="1704" spans="1:21" x14ac:dyDescent="0.25">
      <c r="A1704" s="1">
        <v>1703</v>
      </c>
      <c r="B1704" s="1" t="s">
        <v>2073</v>
      </c>
      <c r="C1704" s="2">
        <v>46004</v>
      </c>
      <c r="D1704" s="1" t="s">
        <v>306</v>
      </c>
      <c r="E1704" s="1" t="s">
        <v>1281</v>
      </c>
      <c r="F1704" s="1" t="s">
        <v>30</v>
      </c>
      <c r="G1704" s="1" t="s">
        <v>24</v>
      </c>
      <c r="H1704" s="1">
        <v>1</v>
      </c>
      <c r="I1704" s="1" t="s">
        <v>2074</v>
      </c>
      <c r="J1704" s="1" t="s">
        <v>56</v>
      </c>
      <c r="K1704" s="1">
        <v>192816000</v>
      </c>
      <c r="L1704" s="1">
        <v>0</v>
      </c>
      <c r="M1704" s="1">
        <v>0</v>
      </c>
      <c r="N1704" s="1">
        <v>21209760</v>
      </c>
      <c r="O1704" s="1">
        <v>0</v>
      </c>
      <c r="P1704" s="1">
        <v>0</v>
      </c>
      <c r="Q1704" s="1">
        <v>0</v>
      </c>
      <c r="R1704" s="1">
        <v>214025760</v>
      </c>
      <c r="S1704" s="1">
        <v>14976000</v>
      </c>
      <c r="T1704" s="1">
        <v>7.7669902912620996</v>
      </c>
      <c r="U1704" t="str">
        <f t="shared" si="26"/>
        <v>Week 2</v>
      </c>
    </row>
    <row r="1705" spans="1:21" x14ac:dyDescent="0.25">
      <c r="A1705" s="1">
        <v>1704</v>
      </c>
      <c r="B1705" s="1" t="s">
        <v>2075</v>
      </c>
      <c r="C1705" s="2">
        <v>46003</v>
      </c>
      <c r="D1705" s="1" t="s">
        <v>2076</v>
      </c>
      <c r="E1705" s="1" t="s">
        <v>1675</v>
      </c>
      <c r="F1705" s="1" t="s">
        <v>30</v>
      </c>
      <c r="G1705" s="1" t="s">
        <v>24</v>
      </c>
      <c r="H1705" s="1">
        <v>1</v>
      </c>
      <c r="I1705" s="1" t="s">
        <v>2077</v>
      </c>
      <c r="J1705" s="1" t="s">
        <v>26</v>
      </c>
      <c r="K1705" s="1">
        <v>74750000</v>
      </c>
      <c r="L1705" s="1">
        <v>0</v>
      </c>
      <c r="M1705" s="1">
        <v>0</v>
      </c>
      <c r="N1705" s="1">
        <v>8222500</v>
      </c>
      <c r="O1705" s="1">
        <v>0</v>
      </c>
      <c r="P1705" s="1">
        <v>0</v>
      </c>
      <c r="Q1705" s="1">
        <v>0</v>
      </c>
      <c r="R1705" s="1">
        <v>82972500</v>
      </c>
      <c r="S1705" s="1">
        <v>9434684.6846849993</v>
      </c>
      <c r="T1705" s="1">
        <v>12.621651752087001</v>
      </c>
      <c r="U1705" t="str">
        <f t="shared" si="26"/>
        <v>Week 2</v>
      </c>
    </row>
    <row r="1706" spans="1:21" x14ac:dyDescent="0.25">
      <c r="A1706" s="1">
        <v>1705</v>
      </c>
      <c r="B1706" s="1" t="s">
        <v>2078</v>
      </c>
      <c r="C1706" s="2">
        <v>46003</v>
      </c>
      <c r="D1706" s="1" t="s">
        <v>2076</v>
      </c>
      <c r="E1706" s="1" t="s">
        <v>1675</v>
      </c>
      <c r="F1706" s="1" t="s">
        <v>23</v>
      </c>
      <c r="G1706" s="1" t="s">
        <v>24</v>
      </c>
      <c r="H1706" s="1">
        <v>1</v>
      </c>
      <c r="I1706" s="1" t="s">
        <v>2077</v>
      </c>
      <c r="J1706" s="1" t="s">
        <v>26</v>
      </c>
      <c r="K1706" s="1">
        <v>37375000</v>
      </c>
      <c r="L1706" s="1">
        <v>0</v>
      </c>
      <c r="M1706" s="1">
        <v>0</v>
      </c>
      <c r="N1706" s="1">
        <v>4111250</v>
      </c>
      <c r="O1706" s="1">
        <v>0</v>
      </c>
      <c r="P1706" s="1">
        <v>0</v>
      </c>
      <c r="Q1706" s="1">
        <v>0</v>
      </c>
      <c r="R1706" s="1">
        <v>41486250</v>
      </c>
      <c r="S1706" s="1">
        <v>14176801.801802</v>
      </c>
      <c r="T1706" s="1">
        <v>37.931242279068002</v>
      </c>
      <c r="U1706" t="str">
        <f t="shared" si="26"/>
        <v>Week 2</v>
      </c>
    </row>
    <row r="1707" spans="1:21" x14ac:dyDescent="0.25">
      <c r="A1707" s="1">
        <v>1706</v>
      </c>
      <c r="B1707" s="1" t="s">
        <v>2079</v>
      </c>
      <c r="C1707" s="2">
        <v>46003</v>
      </c>
      <c r="D1707" s="1" t="s">
        <v>53</v>
      </c>
      <c r="E1707" s="1" t="s">
        <v>1530</v>
      </c>
      <c r="F1707" s="1" t="s">
        <v>30</v>
      </c>
      <c r="G1707" s="1" t="s">
        <v>24</v>
      </c>
      <c r="H1707" s="1">
        <v>1</v>
      </c>
      <c r="I1707" s="1" t="s">
        <v>2080</v>
      </c>
      <c r="J1707" s="1"/>
      <c r="K1707" s="1">
        <v>2052360</v>
      </c>
      <c r="L1707" s="1">
        <v>0</v>
      </c>
      <c r="M1707" s="1">
        <v>0</v>
      </c>
      <c r="N1707" s="1">
        <v>225759.6</v>
      </c>
      <c r="O1707" s="1">
        <v>0</v>
      </c>
      <c r="P1707" s="1">
        <v>0</v>
      </c>
      <c r="Q1707" s="1">
        <v>0</v>
      </c>
      <c r="R1707" s="1">
        <v>2278119.6</v>
      </c>
      <c r="S1707" s="1">
        <v>143631.72</v>
      </c>
      <c r="T1707" s="1">
        <v>6.9983687072444001</v>
      </c>
      <c r="U1707" t="str">
        <f t="shared" si="26"/>
        <v>Week 2</v>
      </c>
    </row>
    <row r="1708" spans="1:21" x14ac:dyDescent="0.25">
      <c r="A1708" s="1">
        <v>1707</v>
      </c>
      <c r="B1708" s="1" t="s">
        <v>2081</v>
      </c>
      <c r="C1708" s="2">
        <v>46003</v>
      </c>
      <c r="D1708" s="1" t="s">
        <v>98</v>
      </c>
      <c r="E1708" s="1" t="s">
        <v>99</v>
      </c>
      <c r="F1708" s="1" t="s">
        <v>30</v>
      </c>
      <c r="G1708" s="1" t="s">
        <v>24</v>
      </c>
      <c r="H1708" s="1">
        <v>1</v>
      </c>
      <c r="I1708" s="1" t="s">
        <v>2082</v>
      </c>
      <c r="J1708" s="1" t="s">
        <v>26</v>
      </c>
      <c r="K1708" s="1">
        <v>2472000</v>
      </c>
      <c r="L1708" s="1">
        <v>0</v>
      </c>
      <c r="M1708" s="1">
        <v>0</v>
      </c>
      <c r="N1708" s="1">
        <v>271920</v>
      </c>
      <c r="O1708" s="1">
        <v>0</v>
      </c>
      <c r="P1708" s="1">
        <v>0</v>
      </c>
      <c r="Q1708" s="1">
        <v>0</v>
      </c>
      <c r="R1708" s="1">
        <v>2743920</v>
      </c>
      <c r="S1708" s="1">
        <v>72000</v>
      </c>
      <c r="T1708" s="1">
        <v>2.9126213592233001</v>
      </c>
      <c r="U1708" t="str">
        <f t="shared" si="26"/>
        <v>Week 2</v>
      </c>
    </row>
    <row r="1709" spans="1:21" x14ac:dyDescent="0.25">
      <c r="A1709" s="1">
        <v>1708</v>
      </c>
      <c r="B1709" s="1" t="s">
        <v>2083</v>
      </c>
      <c r="C1709" s="2">
        <v>46003</v>
      </c>
      <c r="D1709" s="1" t="s">
        <v>98</v>
      </c>
      <c r="E1709" s="1" t="s">
        <v>99</v>
      </c>
      <c r="F1709" s="1" t="s">
        <v>30</v>
      </c>
      <c r="G1709" s="1" t="s">
        <v>24</v>
      </c>
      <c r="H1709" s="1">
        <v>1</v>
      </c>
      <c r="I1709" s="1" t="s">
        <v>2010</v>
      </c>
      <c r="J1709" s="1"/>
      <c r="K1709" s="1">
        <v>8672600</v>
      </c>
      <c r="L1709" s="1">
        <v>0</v>
      </c>
      <c r="M1709" s="1">
        <v>0</v>
      </c>
      <c r="N1709" s="1">
        <v>953986</v>
      </c>
      <c r="O1709" s="1">
        <v>0</v>
      </c>
      <c r="P1709" s="1">
        <v>0</v>
      </c>
      <c r="Q1709" s="1">
        <v>0</v>
      </c>
      <c r="R1709" s="1">
        <v>9626586</v>
      </c>
      <c r="S1709" s="1">
        <v>3602635</v>
      </c>
      <c r="T1709" s="1">
        <v>41.540426169775998</v>
      </c>
      <c r="U1709" t="str">
        <f t="shared" si="26"/>
        <v>Week 2</v>
      </c>
    </row>
    <row r="1710" spans="1:21" x14ac:dyDescent="0.25">
      <c r="A1710" s="1">
        <v>1709</v>
      </c>
      <c r="B1710" s="1" t="s">
        <v>2084</v>
      </c>
      <c r="C1710" s="2">
        <v>46003</v>
      </c>
      <c r="D1710" s="1" t="s">
        <v>33</v>
      </c>
      <c r="E1710" s="1" t="s">
        <v>1530</v>
      </c>
      <c r="F1710" s="1" t="s">
        <v>30</v>
      </c>
      <c r="G1710" s="1" t="s">
        <v>24</v>
      </c>
      <c r="H1710" s="1">
        <v>1</v>
      </c>
      <c r="I1710" s="1" t="s">
        <v>2085</v>
      </c>
      <c r="J1710" s="1"/>
      <c r="K1710" s="1">
        <v>24720000</v>
      </c>
      <c r="L1710" s="1">
        <v>0</v>
      </c>
      <c r="M1710" s="1">
        <v>0</v>
      </c>
      <c r="N1710" s="1">
        <v>2719200</v>
      </c>
      <c r="O1710" s="1">
        <v>0</v>
      </c>
      <c r="P1710" s="1">
        <v>0</v>
      </c>
      <c r="Q1710" s="1">
        <v>0</v>
      </c>
      <c r="R1710" s="1">
        <v>27439200</v>
      </c>
      <c r="S1710" s="1">
        <v>720000</v>
      </c>
      <c r="T1710" s="1">
        <v>2.9126213592233001</v>
      </c>
      <c r="U1710" t="str">
        <f t="shared" si="26"/>
        <v>Week 2</v>
      </c>
    </row>
    <row r="1711" spans="1:21" x14ac:dyDescent="0.25">
      <c r="A1711" s="1">
        <v>1710</v>
      </c>
      <c r="B1711" s="1" t="s">
        <v>2086</v>
      </c>
      <c r="C1711" s="2">
        <v>46003</v>
      </c>
      <c r="D1711" s="1" t="s">
        <v>21</v>
      </c>
      <c r="E1711" s="1" t="s">
        <v>22</v>
      </c>
      <c r="F1711" s="1" t="s">
        <v>30</v>
      </c>
      <c r="G1711" s="1" t="s">
        <v>24</v>
      </c>
      <c r="H1711" s="1">
        <v>1</v>
      </c>
      <c r="I1711" s="1" t="s">
        <v>2087</v>
      </c>
      <c r="J1711" s="1" t="s">
        <v>26</v>
      </c>
      <c r="K1711" s="1">
        <v>17294116.84</v>
      </c>
      <c r="L1711" s="1">
        <v>0</v>
      </c>
      <c r="M1711" s="1">
        <v>0</v>
      </c>
      <c r="N1711" s="1">
        <v>1902352.8524</v>
      </c>
      <c r="O1711" s="1">
        <v>0</v>
      </c>
      <c r="P1711" s="1">
        <v>0</v>
      </c>
      <c r="Q1711" s="1">
        <v>0</v>
      </c>
      <c r="R1711" s="1">
        <v>19196469.692400001</v>
      </c>
      <c r="S1711" s="1">
        <v>-205883.16</v>
      </c>
      <c r="T1711" s="1">
        <v>-1.1904809126986</v>
      </c>
      <c r="U1711" t="str">
        <f t="shared" si="26"/>
        <v>Week 2</v>
      </c>
    </row>
    <row r="1712" spans="1:21" x14ac:dyDescent="0.25">
      <c r="A1712" s="1">
        <v>1711</v>
      </c>
      <c r="B1712" s="1" t="s">
        <v>2088</v>
      </c>
      <c r="C1712" s="2">
        <v>46002</v>
      </c>
      <c r="D1712" s="1" t="s">
        <v>2089</v>
      </c>
      <c r="E1712" s="1" t="s">
        <v>1675</v>
      </c>
      <c r="F1712" s="1" t="s">
        <v>30</v>
      </c>
      <c r="G1712" s="1" t="s">
        <v>24</v>
      </c>
      <c r="H1712" s="1">
        <v>1</v>
      </c>
      <c r="I1712" s="1" t="s">
        <v>2090</v>
      </c>
      <c r="J1712" s="1"/>
      <c r="K1712" s="1">
        <v>14000000</v>
      </c>
      <c r="L1712" s="1">
        <v>0</v>
      </c>
      <c r="M1712" s="1">
        <v>0</v>
      </c>
      <c r="N1712" s="1">
        <v>1540000</v>
      </c>
      <c r="O1712" s="1">
        <v>0</v>
      </c>
      <c r="P1712" s="1">
        <v>0</v>
      </c>
      <c r="Q1712" s="1">
        <v>0</v>
      </c>
      <c r="R1712" s="1">
        <v>15540000</v>
      </c>
      <c r="S1712" s="1">
        <v>2560000</v>
      </c>
      <c r="T1712" s="1">
        <v>18.285714285714</v>
      </c>
      <c r="U1712" t="str">
        <f t="shared" si="26"/>
        <v>Week 2</v>
      </c>
    </row>
    <row r="1713" spans="1:21" x14ac:dyDescent="0.25">
      <c r="A1713" s="1">
        <v>1712</v>
      </c>
      <c r="B1713" s="1" t="s">
        <v>2091</v>
      </c>
      <c r="C1713" s="2">
        <v>46002</v>
      </c>
      <c r="D1713" s="1" t="s">
        <v>53</v>
      </c>
      <c r="E1713" s="1" t="s">
        <v>1530</v>
      </c>
      <c r="F1713" s="1" t="s">
        <v>30</v>
      </c>
      <c r="G1713" s="1" t="s">
        <v>24</v>
      </c>
      <c r="H1713" s="1">
        <v>1</v>
      </c>
      <c r="I1713" s="1" t="s">
        <v>2092</v>
      </c>
      <c r="J1713" s="1"/>
      <c r="K1713" s="1">
        <v>4650000</v>
      </c>
      <c r="L1713" s="1">
        <v>0</v>
      </c>
      <c r="M1713" s="1">
        <v>0</v>
      </c>
      <c r="N1713" s="1">
        <v>511500</v>
      </c>
      <c r="O1713" s="1">
        <v>0</v>
      </c>
      <c r="P1713" s="1">
        <v>0</v>
      </c>
      <c r="Q1713" s="1">
        <v>0</v>
      </c>
      <c r="R1713" s="1">
        <v>5161500</v>
      </c>
      <c r="S1713" s="1">
        <v>-350000</v>
      </c>
      <c r="T1713" s="1">
        <v>-7.5268817204301</v>
      </c>
      <c r="U1713" t="str">
        <f t="shared" si="26"/>
        <v>Week 2</v>
      </c>
    </row>
    <row r="1714" spans="1:21" x14ac:dyDescent="0.25">
      <c r="A1714" s="1">
        <v>1713</v>
      </c>
      <c r="B1714" s="1" t="s">
        <v>2093</v>
      </c>
      <c r="C1714" s="2">
        <v>46002</v>
      </c>
      <c r="D1714" s="1" t="s">
        <v>53</v>
      </c>
      <c r="E1714" s="1" t="s">
        <v>1530</v>
      </c>
      <c r="F1714" s="1" t="s">
        <v>30</v>
      </c>
      <c r="G1714" s="1" t="s">
        <v>24</v>
      </c>
      <c r="H1714" s="1">
        <v>1</v>
      </c>
      <c r="I1714" s="1" t="s">
        <v>2094</v>
      </c>
      <c r="J1714" s="1" t="s">
        <v>56</v>
      </c>
      <c r="K1714" s="1">
        <v>121247280</v>
      </c>
      <c r="L1714" s="1">
        <v>0</v>
      </c>
      <c r="M1714" s="1">
        <v>0</v>
      </c>
      <c r="N1714" s="1">
        <v>13337200.800000001</v>
      </c>
      <c r="O1714" s="1">
        <v>0</v>
      </c>
      <c r="P1714" s="1">
        <v>0</v>
      </c>
      <c r="Q1714" s="1">
        <v>0</v>
      </c>
      <c r="R1714" s="1">
        <v>134584480.80000001</v>
      </c>
      <c r="S1714" s="1">
        <v>10055280</v>
      </c>
      <c r="T1714" s="1">
        <v>8.2932004742703995</v>
      </c>
      <c r="U1714" t="str">
        <f t="shared" si="26"/>
        <v>Week 2</v>
      </c>
    </row>
    <row r="1715" spans="1:21" x14ac:dyDescent="0.25">
      <c r="A1715" s="1">
        <v>1714</v>
      </c>
      <c r="B1715" s="1" t="s">
        <v>2095</v>
      </c>
      <c r="C1715" s="2">
        <v>46002</v>
      </c>
      <c r="D1715" s="1" t="s">
        <v>53</v>
      </c>
      <c r="E1715" s="1" t="s">
        <v>1530</v>
      </c>
      <c r="F1715" s="1" t="s">
        <v>30</v>
      </c>
      <c r="G1715" s="1" t="s">
        <v>24</v>
      </c>
      <c r="H1715" s="1">
        <v>1</v>
      </c>
      <c r="I1715" s="1" t="s">
        <v>2096</v>
      </c>
      <c r="J1715" s="1"/>
      <c r="K1715" s="1">
        <v>15070294</v>
      </c>
      <c r="L1715" s="1">
        <v>0</v>
      </c>
      <c r="M1715" s="1">
        <v>0</v>
      </c>
      <c r="N1715" s="1">
        <v>1657732.34</v>
      </c>
      <c r="O1715" s="1">
        <v>0</v>
      </c>
      <c r="P1715" s="1">
        <v>0</v>
      </c>
      <c r="Q1715" s="1">
        <v>0</v>
      </c>
      <c r="R1715" s="1">
        <v>16728026.34</v>
      </c>
      <c r="S1715" s="1">
        <v>3019798.5045045</v>
      </c>
      <c r="T1715" s="1">
        <v>20.038086214539</v>
      </c>
      <c r="U1715" t="str">
        <f t="shared" si="26"/>
        <v>Week 2</v>
      </c>
    </row>
    <row r="1716" spans="1:21" x14ac:dyDescent="0.25">
      <c r="A1716" s="1">
        <v>1715</v>
      </c>
      <c r="B1716" s="1" t="s">
        <v>2097</v>
      </c>
      <c r="C1716" s="2">
        <v>46002</v>
      </c>
      <c r="D1716" s="1" t="s">
        <v>53</v>
      </c>
      <c r="E1716" s="1" t="s">
        <v>1530</v>
      </c>
      <c r="F1716" s="1" t="s">
        <v>30</v>
      </c>
      <c r="G1716" s="1" t="s">
        <v>24</v>
      </c>
      <c r="H1716" s="1">
        <v>1</v>
      </c>
      <c r="I1716" s="1" t="s">
        <v>2098</v>
      </c>
      <c r="J1716" s="1"/>
      <c r="K1716" s="1">
        <v>1886500</v>
      </c>
      <c r="L1716" s="1">
        <v>0</v>
      </c>
      <c r="M1716" s="1">
        <v>0</v>
      </c>
      <c r="N1716" s="1">
        <v>207515</v>
      </c>
      <c r="O1716" s="1">
        <v>0</v>
      </c>
      <c r="P1716" s="1">
        <v>0</v>
      </c>
      <c r="Q1716" s="1">
        <v>0</v>
      </c>
      <c r="R1716" s="1">
        <v>2094015</v>
      </c>
      <c r="S1716" s="1">
        <v>411770.27027024998</v>
      </c>
      <c r="T1716" s="1">
        <v>21.827207541492001</v>
      </c>
      <c r="U1716" t="str">
        <f t="shared" si="26"/>
        <v>Week 2</v>
      </c>
    </row>
    <row r="1717" spans="1:21" x14ac:dyDescent="0.25">
      <c r="A1717" s="1">
        <v>1716</v>
      </c>
      <c r="B1717" s="1" t="s">
        <v>2297</v>
      </c>
      <c r="C1717" s="2">
        <v>46002</v>
      </c>
      <c r="D1717" s="1" t="s">
        <v>2293</v>
      </c>
      <c r="E1717" s="1" t="s">
        <v>1675</v>
      </c>
      <c r="F1717" s="1" t="s">
        <v>23</v>
      </c>
      <c r="G1717" s="1" t="s">
        <v>24</v>
      </c>
      <c r="H1717" s="1">
        <v>1</v>
      </c>
      <c r="I1717" s="1" t="s">
        <v>2298</v>
      </c>
      <c r="J1717" s="1"/>
      <c r="K1717" s="1">
        <v>10412500</v>
      </c>
      <c r="L1717" s="1">
        <v>0</v>
      </c>
      <c r="M1717" s="1">
        <v>0</v>
      </c>
      <c r="N1717" s="1">
        <v>1145375</v>
      </c>
      <c r="O1717" s="1">
        <v>0</v>
      </c>
      <c r="P1717" s="1">
        <v>0</v>
      </c>
      <c r="Q1717" s="1">
        <v>0</v>
      </c>
      <c r="R1717" s="1">
        <v>11557875</v>
      </c>
      <c r="S1717" s="1">
        <v>3896720.8</v>
      </c>
      <c r="T1717" s="1">
        <v>37.423489075630002</v>
      </c>
      <c r="U1717" t="str">
        <f t="shared" si="26"/>
        <v>Week 2</v>
      </c>
    </row>
    <row r="1718" spans="1:21" x14ac:dyDescent="0.25">
      <c r="A1718" s="1">
        <v>1717</v>
      </c>
      <c r="B1718" s="1" t="s">
        <v>2099</v>
      </c>
      <c r="C1718" s="2">
        <v>46002</v>
      </c>
      <c r="D1718" s="1" t="s">
        <v>248</v>
      </c>
      <c r="E1718" s="1" t="s">
        <v>99</v>
      </c>
      <c r="F1718" s="1" t="s">
        <v>30</v>
      </c>
      <c r="G1718" s="1" t="s">
        <v>24</v>
      </c>
      <c r="H1718" s="1">
        <v>1</v>
      </c>
      <c r="I1718" s="1" t="s">
        <v>2100</v>
      </c>
      <c r="J1718" s="1" t="s">
        <v>26</v>
      </c>
      <c r="K1718" s="1">
        <v>382200</v>
      </c>
      <c r="L1718" s="1">
        <v>0</v>
      </c>
      <c r="M1718" s="1">
        <v>0</v>
      </c>
      <c r="N1718" s="1">
        <v>42042</v>
      </c>
      <c r="O1718" s="1">
        <v>0</v>
      </c>
      <c r="P1718" s="1">
        <v>0</v>
      </c>
      <c r="Q1718" s="1">
        <v>0</v>
      </c>
      <c r="R1718" s="1">
        <v>424242</v>
      </c>
      <c r="S1718" s="1">
        <v>8818.7999999999993</v>
      </c>
      <c r="T1718" s="1">
        <v>2.3073783359497999</v>
      </c>
      <c r="U1718" t="str">
        <f t="shared" si="26"/>
        <v>Week 2</v>
      </c>
    </row>
    <row r="1719" spans="1:21" x14ac:dyDescent="0.25">
      <c r="A1719" s="1">
        <v>1718</v>
      </c>
      <c r="B1719" s="1" t="s">
        <v>2101</v>
      </c>
      <c r="C1719" s="2">
        <v>46002</v>
      </c>
      <c r="D1719" s="1" t="s">
        <v>511</v>
      </c>
      <c r="E1719" s="1" t="s">
        <v>1530</v>
      </c>
      <c r="F1719" s="1" t="s">
        <v>30</v>
      </c>
      <c r="G1719" s="1" t="s">
        <v>24</v>
      </c>
      <c r="H1719" s="1">
        <v>1</v>
      </c>
      <c r="I1719" s="1" t="s">
        <v>2102</v>
      </c>
      <c r="J1719" s="1" t="s">
        <v>56</v>
      </c>
      <c r="K1719" s="1">
        <v>160165721</v>
      </c>
      <c r="L1719" s="1">
        <v>0</v>
      </c>
      <c r="M1719" s="1">
        <v>0</v>
      </c>
      <c r="N1719" s="1">
        <v>17618229.309999999</v>
      </c>
      <c r="O1719" s="1">
        <v>0</v>
      </c>
      <c r="P1719" s="1">
        <v>0</v>
      </c>
      <c r="Q1719" s="1">
        <v>0</v>
      </c>
      <c r="R1719" s="1">
        <v>177783950.31</v>
      </c>
      <c r="S1719" s="1">
        <v>24051690</v>
      </c>
      <c r="T1719" s="1">
        <v>15.016752554687001</v>
      </c>
      <c r="U1719" t="str">
        <f t="shared" si="26"/>
        <v>Week 2</v>
      </c>
    </row>
    <row r="1720" spans="1:21" x14ac:dyDescent="0.25">
      <c r="A1720" s="1">
        <v>1719</v>
      </c>
      <c r="B1720" s="1" t="s">
        <v>2103</v>
      </c>
      <c r="C1720" s="2">
        <v>46002</v>
      </c>
      <c r="D1720" s="1" t="s">
        <v>28</v>
      </c>
      <c r="E1720" s="1" t="s">
        <v>1523</v>
      </c>
      <c r="F1720" s="1" t="s">
        <v>30</v>
      </c>
      <c r="G1720" s="1" t="s">
        <v>24</v>
      </c>
      <c r="H1720" s="1">
        <v>1</v>
      </c>
      <c r="I1720" s="1" t="s">
        <v>2104</v>
      </c>
      <c r="J1720" s="1" t="s">
        <v>56</v>
      </c>
      <c r="K1720" s="1">
        <v>110423424</v>
      </c>
      <c r="L1720" s="1">
        <v>0</v>
      </c>
      <c r="M1720" s="1">
        <v>0</v>
      </c>
      <c r="N1720" s="1">
        <v>12146576.640000001</v>
      </c>
      <c r="O1720" s="1">
        <v>0</v>
      </c>
      <c r="P1720" s="1">
        <v>0</v>
      </c>
      <c r="Q1720" s="1">
        <v>0</v>
      </c>
      <c r="R1720" s="1">
        <v>122570000.64</v>
      </c>
      <c r="S1720" s="1">
        <v>3216216.8</v>
      </c>
      <c r="T1720" s="1">
        <v>2.9126218726925002</v>
      </c>
      <c r="U1720" t="str">
        <f t="shared" si="26"/>
        <v>Week 2</v>
      </c>
    </row>
    <row r="1721" spans="1:21" x14ac:dyDescent="0.25">
      <c r="A1721" s="1">
        <v>1720</v>
      </c>
      <c r="B1721" s="1" t="s">
        <v>2105</v>
      </c>
      <c r="C1721" s="2">
        <v>46001</v>
      </c>
      <c r="D1721" s="1" t="s">
        <v>21</v>
      </c>
      <c r="E1721" s="1" t="s">
        <v>22</v>
      </c>
      <c r="F1721" s="1" t="s">
        <v>30</v>
      </c>
      <c r="G1721" s="1" t="s">
        <v>24</v>
      </c>
      <c r="H1721" s="1">
        <v>1</v>
      </c>
      <c r="I1721" s="1" t="s">
        <v>2106</v>
      </c>
      <c r="J1721" s="1" t="s">
        <v>26</v>
      </c>
      <c r="K1721" s="1">
        <v>85750</v>
      </c>
      <c r="L1721" s="1">
        <v>0</v>
      </c>
      <c r="M1721" s="1">
        <v>0</v>
      </c>
      <c r="N1721" s="1">
        <v>9432.5</v>
      </c>
      <c r="O1721" s="1">
        <v>0</v>
      </c>
      <c r="P1721" s="1">
        <v>0</v>
      </c>
      <c r="Q1721" s="1">
        <v>0</v>
      </c>
      <c r="R1721" s="1">
        <v>95182.5</v>
      </c>
      <c r="S1721" s="1">
        <v>1724.72</v>
      </c>
      <c r="T1721" s="1">
        <v>2.0113352769679</v>
      </c>
      <c r="U1721" t="str">
        <f t="shared" si="26"/>
        <v>Week 2</v>
      </c>
    </row>
    <row r="1722" spans="1:21" x14ac:dyDescent="0.25">
      <c r="A1722" s="1">
        <v>1721</v>
      </c>
      <c r="B1722" s="1" t="s">
        <v>2107</v>
      </c>
      <c r="C1722" s="2">
        <v>46001</v>
      </c>
      <c r="D1722" s="1" t="s">
        <v>98</v>
      </c>
      <c r="E1722" s="1" t="s">
        <v>99</v>
      </c>
      <c r="F1722" s="1" t="s">
        <v>30</v>
      </c>
      <c r="G1722" s="1" t="s">
        <v>24</v>
      </c>
      <c r="H1722" s="1">
        <v>1</v>
      </c>
      <c r="I1722" s="1" t="s">
        <v>2047</v>
      </c>
      <c r="J1722" s="1" t="s">
        <v>26</v>
      </c>
      <c r="K1722" s="1">
        <v>25176000</v>
      </c>
      <c r="L1722" s="1">
        <v>0</v>
      </c>
      <c r="M1722" s="1">
        <v>0</v>
      </c>
      <c r="N1722" s="1">
        <v>2769360</v>
      </c>
      <c r="O1722" s="1">
        <v>0</v>
      </c>
      <c r="P1722" s="1">
        <v>0</v>
      </c>
      <c r="Q1722" s="1">
        <v>0</v>
      </c>
      <c r="R1722" s="1">
        <v>27945360</v>
      </c>
      <c r="S1722" s="1">
        <v>2076000</v>
      </c>
      <c r="T1722" s="1">
        <v>8.2459485224022995</v>
      </c>
      <c r="U1722" t="str">
        <f t="shared" si="26"/>
        <v>Week 2</v>
      </c>
    </row>
    <row r="1723" spans="1:21" x14ac:dyDescent="0.25">
      <c r="A1723" s="1">
        <v>1722</v>
      </c>
      <c r="B1723" s="1" t="s">
        <v>2108</v>
      </c>
      <c r="C1723" s="2">
        <v>46001</v>
      </c>
      <c r="D1723" s="1" t="s">
        <v>21</v>
      </c>
      <c r="E1723" s="1" t="s">
        <v>22</v>
      </c>
      <c r="F1723" s="1" t="s">
        <v>30</v>
      </c>
      <c r="G1723" s="1" t="s">
        <v>24</v>
      </c>
      <c r="H1723" s="1">
        <v>1</v>
      </c>
      <c r="I1723" s="1" t="s">
        <v>2109</v>
      </c>
      <c r="J1723" s="1" t="s">
        <v>26</v>
      </c>
      <c r="K1723" s="1">
        <v>377300</v>
      </c>
      <c r="L1723" s="1">
        <v>0</v>
      </c>
      <c r="M1723" s="1">
        <v>0</v>
      </c>
      <c r="N1723" s="1">
        <v>41503</v>
      </c>
      <c r="O1723" s="1">
        <v>0</v>
      </c>
      <c r="P1723" s="1">
        <v>0</v>
      </c>
      <c r="Q1723" s="1">
        <v>0</v>
      </c>
      <c r="R1723" s="1">
        <v>418803</v>
      </c>
      <c r="S1723" s="1">
        <v>11319</v>
      </c>
      <c r="T1723" s="1">
        <v>3</v>
      </c>
      <c r="U1723" t="str">
        <f t="shared" si="26"/>
        <v>Week 2</v>
      </c>
    </row>
    <row r="1724" spans="1:21" x14ac:dyDescent="0.25">
      <c r="A1724" s="1">
        <v>1723</v>
      </c>
      <c r="B1724" s="1" t="s">
        <v>2110</v>
      </c>
      <c r="C1724" s="2">
        <v>46001</v>
      </c>
      <c r="D1724" s="1" t="s">
        <v>2111</v>
      </c>
      <c r="E1724" s="1" t="s">
        <v>1486</v>
      </c>
      <c r="F1724" s="1" t="s">
        <v>30</v>
      </c>
      <c r="G1724" s="1" t="s">
        <v>24</v>
      </c>
      <c r="H1724" s="1">
        <v>1</v>
      </c>
      <c r="I1724" s="1" t="s">
        <v>2112</v>
      </c>
      <c r="J1724" s="1"/>
      <c r="K1724" s="1">
        <v>1320000</v>
      </c>
      <c r="L1724" s="1">
        <v>0</v>
      </c>
      <c r="M1724" s="1">
        <v>0</v>
      </c>
      <c r="N1724" s="1">
        <v>145200</v>
      </c>
      <c r="O1724" s="1">
        <v>0</v>
      </c>
      <c r="P1724" s="1">
        <v>0</v>
      </c>
      <c r="Q1724" s="1">
        <v>0</v>
      </c>
      <c r="R1724" s="1">
        <v>1465200</v>
      </c>
      <c r="S1724" s="1">
        <v>264000</v>
      </c>
      <c r="T1724" s="1">
        <v>20</v>
      </c>
      <c r="U1724" t="str">
        <f t="shared" si="26"/>
        <v>Week 2</v>
      </c>
    </row>
    <row r="1725" spans="1:21" x14ac:dyDescent="0.25">
      <c r="A1725" s="1">
        <v>1724</v>
      </c>
      <c r="B1725" s="1" t="s">
        <v>2113</v>
      </c>
      <c r="C1725" s="2">
        <v>46001</v>
      </c>
      <c r="D1725" s="1" t="s">
        <v>98</v>
      </c>
      <c r="E1725" s="1" t="s">
        <v>99</v>
      </c>
      <c r="F1725" s="1" t="s">
        <v>30</v>
      </c>
      <c r="G1725" s="1" t="s">
        <v>24</v>
      </c>
      <c r="H1725" s="1">
        <v>1</v>
      </c>
      <c r="I1725" s="1" t="s">
        <v>2114</v>
      </c>
      <c r="J1725" s="1"/>
      <c r="K1725" s="1">
        <v>515000</v>
      </c>
      <c r="L1725" s="1">
        <v>0</v>
      </c>
      <c r="M1725" s="1">
        <v>0</v>
      </c>
      <c r="N1725" s="1">
        <v>56650</v>
      </c>
      <c r="O1725" s="1">
        <v>0</v>
      </c>
      <c r="P1725" s="1">
        <v>0</v>
      </c>
      <c r="Q1725" s="1">
        <v>0</v>
      </c>
      <c r="R1725" s="1">
        <v>571650</v>
      </c>
      <c r="S1725" s="1">
        <v>-7830</v>
      </c>
      <c r="T1725" s="1">
        <v>-1.5203883495146</v>
      </c>
      <c r="U1725" t="str">
        <f t="shared" si="26"/>
        <v>Week 2</v>
      </c>
    </row>
    <row r="1726" spans="1:21" x14ac:dyDescent="0.25">
      <c r="A1726" s="1">
        <v>1725</v>
      </c>
      <c r="B1726" s="1" t="s">
        <v>2115</v>
      </c>
      <c r="C1726" s="2">
        <v>46001</v>
      </c>
      <c r="D1726" s="1" t="s">
        <v>98</v>
      </c>
      <c r="E1726" s="1" t="s">
        <v>99</v>
      </c>
      <c r="F1726" s="1" t="s">
        <v>30</v>
      </c>
      <c r="G1726" s="1" t="s">
        <v>24</v>
      </c>
      <c r="H1726" s="1">
        <v>1</v>
      </c>
      <c r="I1726" s="1" t="s">
        <v>2116</v>
      </c>
      <c r="J1726" s="1"/>
      <c r="K1726" s="1">
        <v>45738560</v>
      </c>
      <c r="L1726" s="1">
        <v>0</v>
      </c>
      <c r="M1726" s="1">
        <v>0</v>
      </c>
      <c r="N1726" s="1">
        <v>5031241.5999999996</v>
      </c>
      <c r="O1726" s="1">
        <v>0</v>
      </c>
      <c r="P1726" s="1">
        <v>0</v>
      </c>
      <c r="Q1726" s="1">
        <v>0</v>
      </c>
      <c r="R1726" s="1">
        <v>50769801.600000001</v>
      </c>
      <c r="S1726" s="1">
        <v>27180001.440000001</v>
      </c>
      <c r="T1726" s="1">
        <v>59.424698635025003</v>
      </c>
      <c r="U1726" t="str">
        <f t="shared" si="26"/>
        <v>Week 2</v>
      </c>
    </row>
    <row r="1727" spans="1:21" x14ac:dyDescent="0.25">
      <c r="A1727" s="1">
        <v>1726</v>
      </c>
      <c r="B1727" s="1" t="s">
        <v>2117</v>
      </c>
      <c r="C1727" s="2">
        <v>46001</v>
      </c>
      <c r="D1727" s="1" t="s">
        <v>98</v>
      </c>
      <c r="E1727" s="1" t="s">
        <v>99</v>
      </c>
      <c r="F1727" s="1" t="s">
        <v>30</v>
      </c>
      <c r="G1727" s="1" t="s">
        <v>24</v>
      </c>
      <c r="H1727" s="1">
        <v>1</v>
      </c>
      <c r="I1727" s="1" t="s">
        <v>2118</v>
      </c>
      <c r="J1727" s="1" t="s">
        <v>26</v>
      </c>
      <c r="K1727" s="1">
        <v>3708000</v>
      </c>
      <c r="L1727" s="1">
        <v>0</v>
      </c>
      <c r="M1727" s="1">
        <v>0</v>
      </c>
      <c r="N1727" s="1">
        <v>407880</v>
      </c>
      <c r="O1727" s="1">
        <v>0</v>
      </c>
      <c r="P1727" s="1">
        <v>0</v>
      </c>
      <c r="Q1727" s="1">
        <v>0</v>
      </c>
      <c r="R1727" s="1">
        <v>4115880</v>
      </c>
      <c r="S1727" s="1">
        <v>-12000</v>
      </c>
      <c r="T1727" s="1">
        <v>-0.32362459546925998</v>
      </c>
      <c r="U1727" t="str">
        <f t="shared" si="26"/>
        <v>Week 2</v>
      </c>
    </row>
    <row r="1728" spans="1:21" x14ac:dyDescent="0.25">
      <c r="A1728" s="1">
        <v>1727</v>
      </c>
      <c r="B1728" s="1" t="s">
        <v>2119</v>
      </c>
      <c r="C1728" s="2">
        <v>46001</v>
      </c>
      <c r="D1728" s="1" t="s">
        <v>98</v>
      </c>
      <c r="E1728" s="1" t="s">
        <v>99</v>
      </c>
      <c r="F1728" s="1" t="s">
        <v>30</v>
      </c>
      <c r="G1728" s="1" t="s">
        <v>24</v>
      </c>
      <c r="H1728" s="1">
        <v>1</v>
      </c>
      <c r="I1728" s="1" t="s">
        <v>2120</v>
      </c>
      <c r="J1728" s="1" t="s">
        <v>26</v>
      </c>
      <c r="K1728" s="1">
        <v>32932000</v>
      </c>
      <c r="L1728" s="1">
        <v>0</v>
      </c>
      <c r="M1728" s="1">
        <v>0</v>
      </c>
      <c r="N1728" s="1">
        <v>3622520</v>
      </c>
      <c r="O1728" s="1">
        <v>0</v>
      </c>
      <c r="P1728" s="1">
        <v>0</v>
      </c>
      <c r="Q1728" s="1">
        <v>0</v>
      </c>
      <c r="R1728" s="1">
        <v>36554520</v>
      </c>
      <c r="S1728" s="1">
        <v>9344134.7200000007</v>
      </c>
      <c r="T1728" s="1">
        <v>28.374027450503998</v>
      </c>
      <c r="U1728" t="str">
        <f t="shared" si="26"/>
        <v>Week 2</v>
      </c>
    </row>
    <row r="1729" spans="1:21" x14ac:dyDescent="0.25">
      <c r="A1729" s="1">
        <v>1728</v>
      </c>
      <c r="B1729" s="1" t="s">
        <v>2121</v>
      </c>
      <c r="C1729" s="2">
        <v>46001</v>
      </c>
      <c r="D1729" s="1" t="s">
        <v>21</v>
      </c>
      <c r="E1729" s="1" t="s">
        <v>22</v>
      </c>
      <c r="F1729" s="1" t="s">
        <v>30</v>
      </c>
      <c r="G1729" s="1" t="s">
        <v>24</v>
      </c>
      <c r="H1729" s="1">
        <v>1</v>
      </c>
      <c r="I1729" s="1" t="s">
        <v>2122</v>
      </c>
      <c r="J1729" s="1" t="s">
        <v>26</v>
      </c>
      <c r="K1729" s="1">
        <v>159250</v>
      </c>
      <c r="L1729" s="1">
        <v>0</v>
      </c>
      <c r="M1729" s="1">
        <v>0</v>
      </c>
      <c r="N1729" s="1">
        <v>17517.5</v>
      </c>
      <c r="O1729" s="1">
        <v>0</v>
      </c>
      <c r="P1729" s="1">
        <v>0</v>
      </c>
      <c r="Q1729" s="1">
        <v>0</v>
      </c>
      <c r="R1729" s="1">
        <v>176767.5</v>
      </c>
      <c r="S1729" s="1">
        <v>29250</v>
      </c>
      <c r="T1729" s="1">
        <v>18.367346938775999</v>
      </c>
      <c r="U1729" t="str">
        <f t="shared" si="26"/>
        <v>Week 2</v>
      </c>
    </row>
    <row r="1730" spans="1:21" x14ac:dyDescent="0.25">
      <c r="A1730" s="1">
        <v>1729</v>
      </c>
      <c r="B1730" s="1" t="s">
        <v>2123</v>
      </c>
      <c r="C1730" s="2">
        <v>46001</v>
      </c>
      <c r="D1730" s="1" t="s">
        <v>306</v>
      </c>
      <c r="E1730" s="1" t="s">
        <v>1281</v>
      </c>
      <c r="F1730" s="1" t="s">
        <v>30</v>
      </c>
      <c r="G1730" s="1" t="s">
        <v>24</v>
      </c>
      <c r="H1730" s="1">
        <v>1</v>
      </c>
      <c r="I1730" s="1" t="s">
        <v>2124</v>
      </c>
      <c r="J1730" s="1" t="s">
        <v>26</v>
      </c>
      <c r="K1730" s="1">
        <v>19773940</v>
      </c>
      <c r="L1730" s="1">
        <v>0</v>
      </c>
      <c r="M1730" s="1">
        <v>0</v>
      </c>
      <c r="N1730" s="1">
        <v>2175133.4</v>
      </c>
      <c r="O1730" s="1">
        <v>0</v>
      </c>
      <c r="P1730" s="1">
        <v>0</v>
      </c>
      <c r="Q1730" s="1">
        <v>0</v>
      </c>
      <c r="R1730" s="1">
        <v>21949073.399999999</v>
      </c>
      <c r="S1730" s="1">
        <v>9806748.8399999999</v>
      </c>
      <c r="T1730" s="1">
        <v>49.594308670906997</v>
      </c>
      <c r="U1730" t="str">
        <f t="shared" si="26"/>
        <v>Week 2</v>
      </c>
    </row>
    <row r="1731" spans="1:21" x14ac:dyDescent="0.25">
      <c r="A1731" s="1">
        <v>1730</v>
      </c>
      <c r="B1731" s="1" t="s">
        <v>2125</v>
      </c>
      <c r="C1731" s="2">
        <v>46001</v>
      </c>
      <c r="D1731" s="1" t="s">
        <v>21</v>
      </c>
      <c r="E1731" s="1" t="s">
        <v>22</v>
      </c>
      <c r="F1731" s="1" t="s">
        <v>30</v>
      </c>
      <c r="G1731" s="1" t="s">
        <v>24</v>
      </c>
      <c r="H1731" s="1">
        <v>1</v>
      </c>
      <c r="I1731" s="1" t="s">
        <v>2126</v>
      </c>
      <c r="J1731" s="1" t="s">
        <v>26</v>
      </c>
      <c r="K1731" s="1">
        <v>971302.5</v>
      </c>
      <c r="L1731" s="1">
        <v>0</v>
      </c>
      <c r="M1731" s="1">
        <v>0</v>
      </c>
      <c r="N1731" s="1">
        <v>106843.27499999999</v>
      </c>
      <c r="O1731" s="1">
        <v>0</v>
      </c>
      <c r="P1731" s="1">
        <v>0</v>
      </c>
      <c r="Q1731" s="1">
        <v>0</v>
      </c>
      <c r="R1731" s="1">
        <v>1078145.7749999999</v>
      </c>
      <c r="S1731" s="1">
        <v>124951.14865</v>
      </c>
      <c r="T1731" s="1">
        <v>12.864287763081</v>
      </c>
      <c r="U1731" t="str">
        <f t="shared" ref="U1731:U1744" si="27">"Week "&amp;IF(DAY(C1731)&gt;=24,4,INT((DAY(C1731)-1)/7)+1)</f>
        <v>Week 2</v>
      </c>
    </row>
    <row r="1732" spans="1:21" x14ac:dyDescent="0.25">
      <c r="A1732" s="1">
        <v>1731</v>
      </c>
      <c r="B1732" s="1" t="s">
        <v>2127</v>
      </c>
      <c r="C1732" s="2">
        <v>46000</v>
      </c>
      <c r="D1732" s="1" t="s">
        <v>2111</v>
      </c>
      <c r="E1732" s="1" t="s">
        <v>1486</v>
      </c>
      <c r="F1732" s="1" t="s">
        <v>30</v>
      </c>
      <c r="G1732" s="1" t="s">
        <v>24</v>
      </c>
      <c r="H1732" s="1">
        <v>1</v>
      </c>
      <c r="I1732" s="1" t="s">
        <v>2112</v>
      </c>
      <c r="J1732" s="1"/>
      <c r="K1732" s="1">
        <v>8800000</v>
      </c>
      <c r="L1732" s="1">
        <v>0</v>
      </c>
      <c r="M1732" s="1">
        <v>0</v>
      </c>
      <c r="N1732" s="1">
        <v>968000</v>
      </c>
      <c r="O1732" s="1">
        <v>0</v>
      </c>
      <c r="P1732" s="1">
        <v>0</v>
      </c>
      <c r="Q1732" s="1">
        <v>0</v>
      </c>
      <c r="R1732" s="1">
        <v>9768000</v>
      </c>
      <c r="S1732" s="1">
        <v>2673873.8738738</v>
      </c>
      <c r="T1732" s="1">
        <v>30.384930384930001</v>
      </c>
      <c r="U1732" t="str">
        <f t="shared" si="27"/>
        <v>Week 2</v>
      </c>
    </row>
    <row r="1733" spans="1:21" x14ac:dyDescent="0.25">
      <c r="A1733" s="1">
        <v>1732</v>
      </c>
      <c r="B1733" s="1" t="s">
        <v>2299</v>
      </c>
      <c r="C1733" s="2">
        <v>46000</v>
      </c>
      <c r="D1733" s="1" t="s">
        <v>2293</v>
      </c>
      <c r="E1733" s="1" t="s">
        <v>1486</v>
      </c>
      <c r="F1733" s="1" t="s">
        <v>30</v>
      </c>
      <c r="G1733" s="1" t="s">
        <v>24</v>
      </c>
      <c r="H1733" s="1">
        <v>1</v>
      </c>
      <c r="I1733" s="1" t="s">
        <v>2300</v>
      </c>
      <c r="J1733" s="1"/>
      <c r="K1733" s="1">
        <v>14425000</v>
      </c>
      <c r="L1733" s="1">
        <v>0</v>
      </c>
      <c r="M1733" s="1">
        <v>0</v>
      </c>
      <c r="N1733" s="1">
        <v>1586750</v>
      </c>
      <c r="O1733" s="1">
        <v>0</v>
      </c>
      <c r="P1733" s="1">
        <v>0</v>
      </c>
      <c r="Q1733" s="1">
        <v>0</v>
      </c>
      <c r="R1733" s="1">
        <v>16011750</v>
      </c>
      <c r="S1733" s="1">
        <v>2109684.6846846999</v>
      </c>
      <c r="T1733" s="1">
        <v>14.625197120864</v>
      </c>
      <c r="U1733" t="str">
        <f t="shared" si="27"/>
        <v>Week 2</v>
      </c>
    </row>
    <row r="1734" spans="1:21" x14ac:dyDescent="0.25">
      <c r="A1734" s="1">
        <v>1733</v>
      </c>
      <c r="B1734" s="1" t="s">
        <v>2128</v>
      </c>
      <c r="C1734" s="2">
        <v>46000</v>
      </c>
      <c r="D1734" s="1" t="s">
        <v>306</v>
      </c>
      <c r="E1734" s="1" t="s">
        <v>22</v>
      </c>
      <c r="F1734" s="1" t="s">
        <v>39</v>
      </c>
      <c r="G1734" s="1" t="s">
        <v>24</v>
      </c>
      <c r="H1734" s="1">
        <v>1</v>
      </c>
      <c r="I1734" s="1" t="s">
        <v>2129</v>
      </c>
      <c r="J1734" s="1" t="s">
        <v>56</v>
      </c>
      <c r="K1734" s="1">
        <v>223304000</v>
      </c>
      <c r="L1734" s="1">
        <v>0</v>
      </c>
      <c r="M1734" s="1">
        <v>0</v>
      </c>
      <c r="N1734" s="1">
        <v>24563440</v>
      </c>
      <c r="O1734" s="1">
        <v>0</v>
      </c>
      <c r="P1734" s="1">
        <v>0</v>
      </c>
      <c r="Q1734" s="1">
        <v>0</v>
      </c>
      <c r="R1734" s="1">
        <v>247867440</v>
      </c>
      <c r="S1734" s="1">
        <v>17344000</v>
      </c>
      <c r="T1734" s="1">
        <v>7.7669902912620996</v>
      </c>
      <c r="U1734" t="str">
        <f t="shared" si="27"/>
        <v>Week 2</v>
      </c>
    </row>
    <row r="1735" spans="1:21" x14ac:dyDescent="0.25">
      <c r="A1735" s="1">
        <v>1734</v>
      </c>
      <c r="B1735" s="1" t="s">
        <v>2130</v>
      </c>
      <c r="C1735" s="2">
        <v>46000</v>
      </c>
      <c r="D1735" s="1" t="s">
        <v>21</v>
      </c>
      <c r="E1735" s="1" t="s">
        <v>22</v>
      </c>
      <c r="F1735" s="1" t="s">
        <v>30</v>
      </c>
      <c r="G1735" s="1" t="s">
        <v>24</v>
      </c>
      <c r="H1735" s="1">
        <v>1</v>
      </c>
      <c r="I1735" s="1" t="s">
        <v>2131</v>
      </c>
      <c r="J1735" s="1" t="s">
        <v>26</v>
      </c>
      <c r="K1735" s="1">
        <v>1370040</v>
      </c>
      <c r="L1735" s="1">
        <v>0</v>
      </c>
      <c r="M1735" s="1">
        <v>0</v>
      </c>
      <c r="N1735" s="1">
        <v>150704.4</v>
      </c>
      <c r="O1735" s="1">
        <v>0</v>
      </c>
      <c r="P1735" s="1">
        <v>0</v>
      </c>
      <c r="Q1735" s="1">
        <v>0</v>
      </c>
      <c r="R1735" s="1">
        <v>1520744.4</v>
      </c>
      <c r="S1735" s="1">
        <v>604271.36936937005</v>
      </c>
      <c r="T1735" s="1">
        <v>44.106111454363997</v>
      </c>
      <c r="U1735" t="str">
        <f t="shared" si="27"/>
        <v>Week 2</v>
      </c>
    </row>
    <row r="1736" spans="1:21" x14ac:dyDescent="0.25">
      <c r="A1736" s="1">
        <v>1735</v>
      </c>
      <c r="B1736" s="1" t="s">
        <v>2132</v>
      </c>
      <c r="C1736" s="2">
        <v>46000</v>
      </c>
      <c r="D1736" s="1" t="s">
        <v>1558</v>
      </c>
      <c r="E1736" s="1" t="s">
        <v>116</v>
      </c>
      <c r="F1736" s="1" t="s">
        <v>30</v>
      </c>
      <c r="G1736" s="1" t="s">
        <v>24</v>
      </c>
      <c r="H1736" s="1">
        <v>1</v>
      </c>
      <c r="I1736" s="1" t="s">
        <v>2133</v>
      </c>
      <c r="J1736" s="1"/>
      <c r="K1736" s="1">
        <v>27114312.5</v>
      </c>
      <c r="L1736" s="1">
        <v>0</v>
      </c>
      <c r="M1736" s="1">
        <v>0</v>
      </c>
      <c r="N1736" s="1">
        <v>2982574.375</v>
      </c>
      <c r="O1736" s="1">
        <v>0</v>
      </c>
      <c r="P1736" s="1">
        <v>0</v>
      </c>
      <c r="Q1736" s="1">
        <v>0</v>
      </c>
      <c r="R1736" s="1">
        <v>30096886.875</v>
      </c>
      <c r="S1736" s="1">
        <v>789750.5</v>
      </c>
      <c r="T1736" s="1">
        <v>2.9126701995487001</v>
      </c>
      <c r="U1736" t="str">
        <f t="shared" si="27"/>
        <v>Week 2</v>
      </c>
    </row>
    <row r="1737" spans="1:21" x14ac:dyDescent="0.25">
      <c r="A1737" s="1">
        <v>1736</v>
      </c>
      <c r="B1737" s="1" t="s">
        <v>2301</v>
      </c>
      <c r="C1737" s="2">
        <v>46000</v>
      </c>
      <c r="D1737" s="1" t="s">
        <v>2293</v>
      </c>
      <c r="E1737" s="1" t="s">
        <v>1486</v>
      </c>
      <c r="F1737" s="1" t="s">
        <v>865</v>
      </c>
      <c r="G1737" s="1" t="s">
        <v>24</v>
      </c>
      <c r="H1737" s="1">
        <v>1</v>
      </c>
      <c r="I1737" s="1" t="s">
        <v>2302</v>
      </c>
      <c r="J1737" s="1"/>
      <c r="K1737" s="1">
        <v>10550000</v>
      </c>
      <c r="L1737" s="1">
        <v>0</v>
      </c>
      <c r="M1737" s="1">
        <v>0</v>
      </c>
      <c r="N1737" s="1">
        <v>1160500</v>
      </c>
      <c r="O1737" s="1">
        <v>0</v>
      </c>
      <c r="P1737" s="1">
        <v>0</v>
      </c>
      <c r="Q1737" s="1">
        <v>0</v>
      </c>
      <c r="R1737" s="1">
        <v>11710500</v>
      </c>
      <c r="S1737" s="1">
        <v>550000</v>
      </c>
      <c r="T1737" s="1">
        <v>5.2132701421801002</v>
      </c>
      <c r="U1737" t="str">
        <f t="shared" si="27"/>
        <v>Week 2</v>
      </c>
    </row>
    <row r="1738" spans="1:21" x14ac:dyDescent="0.25">
      <c r="A1738" s="1">
        <v>1737</v>
      </c>
      <c r="B1738" s="1" t="s">
        <v>2134</v>
      </c>
      <c r="C1738" s="2">
        <v>45999</v>
      </c>
      <c r="D1738" s="1" t="s">
        <v>21</v>
      </c>
      <c r="E1738" s="1" t="s">
        <v>1530</v>
      </c>
      <c r="F1738" s="1" t="s">
        <v>30</v>
      </c>
      <c r="G1738" s="1" t="s">
        <v>24</v>
      </c>
      <c r="H1738" s="1">
        <v>1</v>
      </c>
      <c r="I1738" s="1" t="s">
        <v>2135</v>
      </c>
      <c r="J1738" s="1"/>
      <c r="K1738" s="1">
        <v>8967000</v>
      </c>
      <c r="L1738" s="1">
        <v>0</v>
      </c>
      <c r="M1738" s="1">
        <v>0</v>
      </c>
      <c r="N1738" s="1">
        <v>986370</v>
      </c>
      <c r="O1738" s="1">
        <v>0</v>
      </c>
      <c r="P1738" s="1">
        <v>0</v>
      </c>
      <c r="Q1738" s="1">
        <v>0</v>
      </c>
      <c r="R1738" s="1">
        <v>9953370</v>
      </c>
      <c r="S1738" s="1">
        <v>169702.70270267999</v>
      </c>
      <c r="T1738" s="1">
        <v>1.8925248433443</v>
      </c>
      <c r="U1738" t="str">
        <f t="shared" si="27"/>
        <v>Week 2</v>
      </c>
    </row>
    <row r="1739" spans="1:21" x14ac:dyDescent="0.25">
      <c r="A1739" s="1">
        <v>1738</v>
      </c>
      <c r="B1739" s="1" t="s">
        <v>2136</v>
      </c>
      <c r="C1739" s="2">
        <v>45999</v>
      </c>
      <c r="D1739" s="1" t="s">
        <v>306</v>
      </c>
      <c r="E1739" s="1" t="s">
        <v>22</v>
      </c>
      <c r="F1739" s="1" t="s">
        <v>30</v>
      </c>
      <c r="G1739" s="1" t="s">
        <v>24</v>
      </c>
      <c r="H1739" s="1">
        <v>1</v>
      </c>
      <c r="I1739" s="1" t="s">
        <v>2137</v>
      </c>
      <c r="J1739" s="1" t="s">
        <v>26</v>
      </c>
      <c r="K1739" s="1">
        <v>9524700</v>
      </c>
      <c r="L1739" s="1">
        <v>0</v>
      </c>
      <c r="M1739" s="1">
        <v>0</v>
      </c>
      <c r="N1739" s="1">
        <v>1047717</v>
      </c>
      <c r="O1739" s="1">
        <v>0</v>
      </c>
      <c r="P1739" s="1">
        <v>0</v>
      </c>
      <c r="Q1739" s="1">
        <v>0</v>
      </c>
      <c r="R1739" s="1">
        <v>10572417</v>
      </c>
      <c r="S1739" s="1">
        <v>3425572.0315315002</v>
      </c>
      <c r="T1739" s="1">
        <v>35.965143590156003</v>
      </c>
      <c r="U1739" t="str">
        <f t="shared" si="27"/>
        <v>Week 2</v>
      </c>
    </row>
    <row r="1740" spans="1:21" x14ac:dyDescent="0.25">
      <c r="A1740" s="1">
        <v>1739</v>
      </c>
      <c r="B1740" s="1" t="s">
        <v>2138</v>
      </c>
      <c r="C1740" s="2">
        <v>45996</v>
      </c>
      <c r="D1740" s="1" t="s">
        <v>21</v>
      </c>
      <c r="E1740" s="1" t="s">
        <v>22</v>
      </c>
      <c r="F1740" s="1" t="s">
        <v>30</v>
      </c>
      <c r="G1740" s="1" t="s">
        <v>24</v>
      </c>
      <c r="H1740" s="1">
        <v>1</v>
      </c>
      <c r="I1740" s="1" t="s">
        <v>2139</v>
      </c>
      <c r="J1740" s="1" t="s">
        <v>26</v>
      </c>
      <c r="K1740" s="1">
        <v>1857786</v>
      </c>
      <c r="L1740" s="1">
        <v>0</v>
      </c>
      <c r="M1740" s="1">
        <v>0</v>
      </c>
      <c r="N1740" s="1">
        <v>204356.46</v>
      </c>
      <c r="O1740" s="1">
        <v>0</v>
      </c>
      <c r="P1740" s="1">
        <v>0</v>
      </c>
      <c r="Q1740" s="1">
        <v>0</v>
      </c>
      <c r="R1740" s="1">
        <v>2062142.46</v>
      </c>
      <c r="S1740" s="1">
        <v>127786</v>
      </c>
      <c r="T1740" s="1">
        <v>6.8784025716633002</v>
      </c>
      <c r="U1740" t="str">
        <f t="shared" si="27"/>
        <v>Week 1</v>
      </c>
    </row>
    <row r="1741" spans="1:21" x14ac:dyDescent="0.25">
      <c r="A1741" s="1">
        <v>1740</v>
      </c>
      <c r="B1741" s="1" t="s">
        <v>2140</v>
      </c>
      <c r="C1741" s="2">
        <v>45996</v>
      </c>
      <c r="D1741" s="1" t="s">
        <v>53</v>
      </c>
      <c r="E1741" s="1" t="s">
        <v>1530</v>
      </c>
      <c r="F1741" s="1" t="s">
        <v>23</v>
      </c>
      <c r="G1741" s="1" t="s">
        <v>24</v>
      </c>
      <c r="H1741" s="1">
        <v>1</v>
      </c>
      <c r="I1741" s="1" t="s">
        <v>1746</v>
      </c>
      <c r="J1741" s="1"/>
      <c r="K1741" s="1">
        <v>16968016</v>
      </c>
      <c r="L1741" s="1">
        <v>0</v>
      </c>
      <c r="M1741" s="1">
        <v>0</v>
      </c>
      <c r="N1741" s="1">
        <v>1866481.76</v>
      </c>
      <c r="O1741" s="1">
        <v>0</v>
      </c>
      <c r="P1741" s="1">
        <v>0</v>
      </c>
      <c r="Q1741" s="1">
        <v>0</v>
      </c>
      <c r="R1741" s="1">
        <v>18834497.760000002</v>
      </c>
      <c r="S1741" s="1">
        <v>3393602</v>
      </c>
      <c r="T1741" s="1">
        <v>19.999992927870998</v>
      </c>
      <c r="U1741" t="str">
        <f t="shared" si="27"/>
        <v>Week 1</v>
      </c>
    </row>
    <row r="1742" spans="1:21" x14ac:dyDescent="0.25">
      <c r="A1742" s="1">
        <v>1741</v>
      </c>
      <c r="B1742" s="1" t="s">
        <v>2141</v>
      </c>
      <c r="C1742" s="2">
        <v>45996</v>
      </c>
      <c r="D1742" s="1" t="s">
        <v>306</v>
      </c>
      <c r="E1742" s="1" t="s">
        <v>22</v>
      </c>
      <c r="F1742" s="1" t="s">
        <v>30</v>
      </c>
      <c r="G1742" s="1" t="s">
        <v>24</v>
      </c>
      <c r="H1742" s="1">
        <v>1</v>
      </c>
      <c r="I1742" s="1" t="s">
        <v>2142</v>
      </c>
      <c r="J1742" s="1" t="s">
        <v>26</v>
      </c>
      <c r="K1742" s="1">
        <v>1605204</v>
      </c>
      <c r="L1742" s="1">
        <v>0</v>
      </c>
      <c r="M1742" s="1">
        <v>0</v>
      </c>
      <c r="N1742" s="1">
        <v>176572.44</v>
      </c>
      <c r="O1742" s="1">
        <v>0</v>
      </c>
      <c r="P1742" s="1">
        <v>0</v>
      </c>
      <c r="Q1742" s="1">
        <v>0</v>
      </c>
      <c r="R1742" s="1">
        <v>1781776.44</v>
      </c>
      <c r="S1742" s="1">
        <v>65204</v>
      </c>
      <c r="T1742" s="1">
        <v>4.0620382206872003</v>
      </c>
      <c r="U1742" t="str">
        <f t="shared" si="27"/>
        <v>Week 1</v>
      </c>
    </row>
    <row r="1743" spans="1:21" x14ac:dyDescent="0.25">
      <c r="A1743" s="1">
        <v>1742</v>
      </c>
      <c r="B1743" s="1" t="s">
        <v>2143</v>
      </c>
      <c r="C1743" s="2">
        <v>45996</v>
      </c>
      <c r="D1743" s="1" t="s">
        <v>306</v>
      </c>
      <c r="E1743" s="1" t="s">
        <v>22</v>
      </c>
      <c r="F1743" s="1" t="s">
        <v>30</v>
      </c>
      <c r="G1743" s="1" t="s">
        <v>24</v>
      </c>
      <c r="H1743" s="1">
        <v>1</v>
      </c>
      <c r="I1743" s="1" t="s">
        <v>2144</v>
      </c>
      <c r="J1743" s="1" t="s">
        <v>56</v>
      </c>
      <c r="K1743" s="1">
        <v>26234100</v>
      </c>
      <c r="L1743" s="1">
        <v>0</v>
      </c>
      <c r="M1743" s="1">
        <v>0</v>
      </c>
      <c r="N1743" s="1">
        <v>2885751</v>
      </c>
      <c r="O1743" s="1">
        <v>0</v>
      </c>
      <c r="P1743" s="1">
        <v>0</v>
      </c>
      <c r="Q1743" s="1">
        <v>0</v>
      </c>
      <c r="R1743" s="1">
        <v>29119851</v>
      </c>
      <c r="S1743" s="1">
        <v>1084100</v>
      </c>
      <c r="T1743" s="1">
        <v>4.1324078203559003</v>
      </c>
      <c r="U1743" t="str">
        <f t="shared" si="27"/>
        <v>Week 1</v>
      </c>
    </row>
    <row r="1744" spans="1:21" x14ac:dyDescent="0.25">
      <c r="A1744" s="1">
        <v>1743</v>
      </c>
      <c r="B1744" s="1" t="s">
        <v>2145</v>
      </c>
      <c r="C1744" s="2">
        <v>45996</v>
      </c>
      <c r="D1744" s="1" t="s">
        <v>306</v>
      </c>
      <c r="E1744" s="1" t="s">
        <v>1281</v>
      </c>
      <c r="F1744" s="1" t="s">
        <v>30</v>
      </c>
      <c r="G1744" s="1" t="s">
        <v>24</v>
      </c>
      <c r="H1744" s="1">
        <v>1</v>
      </c>
      <c r="I1744" s="1" t="s">
        <v>2146</v>
      </c>
      <c r="J1744" s="1" t="s">
        <v>26</v>
      </c>
      <c r="K1744" s="1">
        <v>782800</v>
      </c>
      <c r="L1744" s="1">
        <v>0</v>
      </c>
      <c r="M1744" s="1">
        <v>0</v>
      </c>
      <c r="N1744" s="1">
        <v>86108</v>
      </c>
      <c r="O1744" s="1">
        <v>0</v>
      </c>
      <c r="P1744" s="1">
        <v>0</v>
      </c>
      <c r="Q1744" s="1">
        <v>0</v>
      </c>
      <c r="R1744" s="1">
        <v>868908</v>
      </c>
      <c r="S1744" s="1">
        <v>-217200</v>
      </c>
      <c r="T1744" s="1">
        <v>-27.746550843127</v>
      </c>
      <c r="U1744" t="str">
        <f t="shared" si="27"/>
        <v>Week 1</v>
      </c>
    </row>
  </sheetData>
  <conditionalFormatting sqref="B2:B1237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SBM</dc:creator>
  <cp:lastModifiedBy>lenovo sbm</cp:lastModifiedBy>
  <dcterms:created xsi:type="dcterms:W3CDTF">2026-03-28T03:40:34Z</dcterms:created>
  <dcterms:modified xsi:type="dcterms:W3CDTF">2026-05-02T01:03:54Z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2026-03-28T11:39:34+08:00</dcterms:created>
  <dcterms:modified xsi:type="dcterms:W3CDTF">2026-03-28T11:39:34+08:00</dcterms:modified>
  <cp:revision>0</cp:revision>
</cp:coreProperties>
</file>