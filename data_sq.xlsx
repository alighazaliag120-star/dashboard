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ore0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Core" Type="http://schemas.openxmlformats.org/officedocument/2006/relationships/metadata/core-properties" Target="docProps/core0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 defaultThemeVersion="166925"/>
  <mc:AlternateContent xmlns:mc="http://schemas.openxmlformats.org/markup-compatibility/2006">
    <mc:Choice Requires="x15">
      <x15ac:absPath xmlns:x15ac="http://schemas.microsoft.com/office/spreadsheetml/2010/11/ac" url="D:\Ali\belajar python\"/>
    </mc:Choice>
  </mc:AlternateContent>
  <xr:revisionPtr revIDLastSave="0" documentId="13_ncr:1_{E6002184-85BD-499D-9577-F03EB214B401}" xr6:coauthVersionLast="47" xr6:coauthVersionMax="47" xr10:uidLastSave="{00000000-0000-0000-0000-000000000000}"/>
  <bookViews>
    <workbookView xWindow="-120" yWindow="-120" windowWidth="20730" windowHeight="11040" xr2:uid="{00000000-000D-0000-FFFF-FFFF00000000}"/>
  </bookViews>
  <sheets>
    <sheet name="Sheet1" sheetId="1" r:id="rId1"/>
  </sheets>
  <definedNames>
    <definedName name="_xlnm._FilterDatabase" localSheetId="0" hidden="1">Sheet1!$A$1:$U$1173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" i="1" l="1"/>
  <c r="U4" i="1"/>
  <c r="U5" i="1"/>
  <c r="U6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20" i="1"/>
  <c r="U521" i="1"/>
  <c r="U522" i="1"/>
  <c r="U523" i="1"/>
  <c r="U524" i="1"/>
  <c r="U525" i="1"/>
  <c r="U527" i="1"/>
  <c r="U528" i="1"/>
  <c r="U529" i="1"/>
  <c r="U530" i="1"/>
  <c r="U531" i="1"/>
  <c r="U532" i="1"/>
  <c r="U533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4" i="1"/>
  <c r="U555" i="1"/>
  <c r="U556" i="1"/>
  <c r="U557" i="1"/>
  <c r="U558" i="1"/>
  <c r="U559" i="1"/>
  <c r="U560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5" i="1"/>
  <c r="U586" i="1"/>
  <c r="U587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6" i="1"/>
  <c r="U607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804" i="1"/>
  <c r="U805" i="1"/>
  <c r="U807" i="1"/>
  <c r="U808" i="1"/>
  <c r="U810" i="1"/>
  <c r="U811" i="1"/>
  <c r="U812" i="1"/>
  <c r="U813" i="1"/>
  <c r="U814" i="1"/>
  <c r="U815" i="1"/>
  <c r="U816" i="1"/>
  <c r="U817" i="1"/>
  <c r="U818" i="1"/>
  <c r="U819" i="1"/>
  <c r="U820" i="1"/>
  <c r="U821" i="1"/>
  <c r="U822" i="1"/>
  <c r="U823" i="1"/>
  <c r="U824" i="1"/>
  <c r="U825" i="1"/>
  <c r="U826" i="1"/>
  <c r="U827" i="1"/>
  <c r="U828" i="1"/>
  <c r="U829" i="1"/>
  <c r="U830" i="1"/>
  <c r="U831" i="1"/>
  <c r="U832" i="1"/>
  <c r="U833" i="1"/>
  <c r="U834" i="1"/>
  <c r="U835" i="1"/>
  <c r="U836" i="1"/>
  <c r="U837" i="1"/>
  <c r="U838" i="1"/>
  <c r="U839" i="1"/>
  <c r="U840" i="1"/>
  <c r="U841" i="1"/>
  <c r="U842" i="1"/>
  <c r="U843" i="1"/>
  <c r="U844" i="1"/>
  <c r="U845" i="1"/>
  <c r="U846" i="1"/>
  <c r="U847" i="1"/>
  <c r="U848" i="1"/>
  <c r="U849" i="1"/>
  <c r="U850" i="1"/>
  <c r="U851" i="1"/>
  <c r="U852" i="1"/>
  <c r="U853" i="1"/>
  <c r="U854" i="1"/>
  <c r="U855" i="1"/>
  <c r="U856" i="1"/>
  <c r="U857" i="1"/>
  <c r="U858" i="1"/>
  <c r="U859" i="1"/>
  <c r="U860" i="1"/>
  <c r="U861" i="1"/>
  <c r="U862" i="1"/>
  <c r="U863" i="1"/>
  <c r="U864" i="1"/>
  <c r="U865" i="1"/>
  <c r="U866" i="1"/>
  <c r="U867" i="1"/>
  <c r="U868" i="1"/>
  <c r="U869" i="1"/>
  <c r="U871" i="1"/>
  <c r="U872" i="1"/>
  <c r="U873" i="1"/>
  <c r="U874" i="1"/>
  <c r="U875" i="1"/>
  <c r="U876" i="1"/>
  <c r="U877" i="1"/>
  <c r="U878" i="1"/>
  <c r="U879" i="1"/>
  <c r="U880" i="1"/>
  <c r="U881" i="1"/>
  <c r="U883" i="1"/>
  <c r="U885" i="1"/>
  <c r="U886" i="1"/>
  <c r="U887" i="1"/>
  <c r="U888" i="1"/>
  <c r="U889" i="1"/>
  <c r="U890" i="1"/>
  <c r="U891" i="1"/>
  <c r="U892" i="1"/>
  <c r="U893" i="1"/>
  <c r="U894" i="1"/>
  <c r="U895" i="1"/>
  <c r="U896" i="1"/>
  <c r="U897" i="1"/>
  <c r="U898" i="1"/>
  <c r="U899" i="1"/>
  <c r="U900" i="1"/>
  <c r="U901" i="1"/>
  <c r="U902" i="1"/>
  <c r="U903" i="1"/>
  <c r="U904" i="1"/>
  <c r="U905" i="1"/>
  <c r="U906" i="1"/>
  <c r="U907" i="1"/>
  <c r="U908" i="1"/>
  <c r="U909" i="1"/>
  <c r="U910" i="1"/>
  <c r="U911" i="1"/>
  <c r="U912" i="1"/>
  <c r="U915" i="1"/>
  <c r="U916" i="1"/>
  <c r="U917" i="1"/>
  <c r="U918" i="1"/>
  <c r="U919" i="1"/>
  <c r="U920" i="1"/>
  <c r="U921" i="1"/>
  <c r="U922" i="1"/>
  <c r="U923" i="1"/>
  <c r="U924" i="1"/>
  <c r="U925" i="1"/>
  <c r="U926" i="1"/>
  <c r="U927" i="1"/>
  <c r="U928" i="1"/>
  <c r="U929" i="1"/>
  <c r="U930" i="1"/>
  <c r="U931" i="1"/>
  <c r="U932" i="1"/>
  <c r="U933" i="1"/>
  <c r="U934" i="1"/>
  <c r="U935" i="1"/>
  <c r="U936" i="1"/>
  <c r="U937" i="1"/>
  <c r="U938" i="1"/>
  <c r="U939" i="1"/>
  <c r="U940" i="1"/>
  <c r="U941" i="1"/>
  <c r="U942" i="1"/>
  <c r="U943" i="1"/>
  <c r="U944" i="1"/>
  <c r="U945" i="1"/>
  <c r="U946" i="1"/>
  <c r="U947" i="1"/>
  <c r="U948" i="1"/>
  <c r="U949" i="1"/>
  <c r="U950" i="1"/>
  <c r="U951" i="1"/>
  <c r="U952" i="1"/>
  <c r="U953" i="1"/>
  <c r="U954" i="1"/>
  <c r="U955" i="1"/>
  <c r="U956" i="1"/>
  <c r="U957" i="1"/>
  <c r="U958" i="1"/>
  <c r="U959" i="1"/>
  <c r="U960" i="1"/>
  <c r="U961" i="1"/>
  <c r="U962" i="1"/>
  <c r="U963" i="1"/>
  <c r="U964" i="1"/>
  <c r="U965" i="1"/>
  <c r="U966" i="1"/>
  <c r="U967" i="1"/>
  <c r="U968" i="1"/>
  <c r="U970" i="1"/>
  <c r="U971" i="1"/>
  <c r="U972" i="1"/>
  <c r="U973" i="1"/>
  <c r="U974" i="1"/>
  <c r="U975" i="1"/>
  <c r="U976" i="1"/>
  <c r="U977" i="1"/>
  <c r="U978" i="1"/>
  <c r="U979" i="1"/>
  <c r="U980" i="1"/>
  <c r="U981" i="1"/>
  <c r="U982" i="1"/>
  <c r="U983" i="1"/>
  <c r="U984" i="1"/>
  <c r="U985" i="1"/>
  <c r="U986" i="1"/>
  <c r="U987" i="1"/>
  <c r="U988" i="1"/>
  <c r="U989" i="1"/>
  <c r="U991" i="1"/>
  <c r="U992" i="1"/>
  <c r="U993" i="1"/>
  <c r="U995" i="1"/>
  <c r="U996" i="1"/>
  <c r="U997" i="1"/>
  <c r="U998" i="1"/>
  <c r="U999" i="1"/>
  <c r="U1000" i="1"/>
  <c r="U1001" i="1"/>
  <c r="U1002" i="1"/>
  <c r="U1003" i="1"/>
  <c r="U1004" i="1"/>
  <c r="U1005" i="1"/>
  <c r="U1006" i="1"/>
  <c r="U1007" i="1"/>
  <c r="U1008" i="1"/>
  <c r="U1009" i="1"/>
  <c r="U1010" i="1"/>
  <c r="U1011" i="1"/>
  <c r="U1012" i="1"/>
  <c r="U1013" i="1"/>
  <c r="U1014" i="1"/>
  <c r="U1015" i="1"/>
  <c r="U1016" i="1"/>
  <c r="U1017" i="1"/>
  <c r="U1018" i="1"/>
  <c r="U1019" i="1"/>
  <c r="U1020" i="1"/>
  <c r="U1021" i="1"/>
  <c r="U1022" i="1"/>
  <c r="U1023" i="1"/>
  <c r="U1024" i="1"/>
  <c r="U1025" i="1"/>
  <c r="U1026" i="1"/>
  <c r="U1027" i="1"/>
  <c r="U1028" i="1"/>
  <c r="U1029" i="1"/>
  <c r="U1031" i="1"/>
  <c r="U1032" i="1"/>
  <c r="U1033" i="1"/>
  <c r="U1034" i="1"/>
  <c r="U1035" i="1"/>
  <c r="U1036" i="1"/>
  <c r="U1037" i="1"/>
  <c r="U1038" i="1"/>
  <c r="U1039" i="1"/>
  <c r="U1040" i="1"/>
  <c r="U1041" i="1"/>
  <c r="U1042" i="1"/>
  <c r="U1043" i="1"/>
  <c r="U1044" i="1"/>
  <c r="U1045" i="1"/>
  <c r="U1046" i="1"/>
  <c r="U1047" i="1"/>
  <c r="U1048" i="1"/>
  <c r="U1049" i="1"/>
  <c r="U1050" i="1"/>
  <c r="U1051" i="1"/>
  <c r="U1052" i="1"/>
  <c r="U1053" i="1"/>
  <c r="U1054" i="1"/>
  <c r="U1056" i="1"/>
  <c r="U1057" i="1"/>
  <c r="U1058" i="1"/>
  <c r="U1059" i="1"/>
  <c r="U1060" i="1"/>
  <c r="U1061" i="1"/>
  <c r="U1062" i="1"/>
  <c r="U1063" i="1"/>
  <c r="U1064" i="1"/>
  <c r="U1065" i="1"/>
  <c r="U1066" i="1"/>
  <c r="U1067" i="1"/>
  <c r="U1068" i="1"/>
  <c r="U1069" i="1"/>
  <c r="U1070" i="1"/>
  <c r="U1071" i="1"/>
  <c r="U1072" i="1"/>
  <c r="U1073" i="1"/>
  <c r="U1074" i="1"/>
  <c r="U1075" i="1"/>
  <c r="U1076" i="1"/>
  <c r="U1077" i="1"/>
  <c r="U1078" i="1"/>
  <c r="U1079" i="1"/>
  <c r="U1080" i="1"/>
  <c r="U1081" i="1"/>
  <c r="U1083" i="1"/>
  <c r="U1084" i="1"/>
  <c r="U1085" i="1"/>
  <c r="U1086" i="1"/>
  <c r="U1088" i="1"/>
  <c r="U1089" i="1"/>
  <c r="U1090" i="1"/>
  <c r="U1091" i="1"/>
  <c r="U1092" i="1"/>
  <c r="U1093" i="1"/>
  <c r="U1094" i="1"/>
  <c r="U1095" i="1"/>
  <c r="U1096" i="1"/>
  <c r="U1097" i="1"/>
  <c r="U1098" i="1"/>
  <c r="U1099" i="1"/>
  <c r="U1100" i="1"/>
  <c r="U1101" i="1"/>
  <c r="U1102" i="1"/>
  <c r="U1103" i="1"/>
  <c r="U1104" i="1"/>
  <c r="U1105" i="1"/>
  <c r="U1106" i="1"/>
  <c r="U1107" i="1"/>
  <c r="U1108" i="1"/>
  <c r="U1109" i="1"/>
  <c r="U1110" i="1"/>
  <c r="U1111" i="1"/>
  <c r="U1112" i="1"/>
  <c r="U1113" i="1"/>
  <c r="U1114" i="1"/>
  <c r="U1115" i="1"/>
  <c r="U1116" i="1"/>
  <c r="U1117" i="1"/>
  <c r="U1118" i="1"/>
  <c r="U1119" i="1"/>
  <c r="U1120" i="1"/>
  <c r="U1122" i="1"/>
  <c r="U1123" i="1"/>
  <c r="U1124" i="1"/>
  <c r="U1125" i="1"/>
  <c r="U1126" i="1"/>
  <c r="U1127" i="1"/>
  <c r="U1128" i="1"/>
  <c r="U1129" i="1"/>
  <c r="U1130" i="1"/>
  <c r="U1131" i="1"/>
  <c r="U1132" i="1"/>
  <c r="U1133" i="1"/>
  <c r="U1134" i="1"/>
  <c r="U1135" i="1"/>
  <c r="U1136" i="1"/>
  <c r="U1137" i="1"/>
  <c r="U1138" i="1"/>
  <c r="U1139" i="1"/>
  <c r="U1140" i="1"/>
  <c r="U1141" i="1"/>
  <c r="U1142" i="1"/>
  <c r="U1143" i="1"/>
  <c r="U1144" i="1"/>
  <c r="U1145" i="1"/>
  <c r="U1147" i="1"/>
  <c r="U1148" i="1"/>
  <c r="U1149" i="1"/>
  <c r="U1150" i="1"/>
  <c r="U1151" i="1"/>
  <c r="U1152" i="1"/>
  <c r="U1153" i="1"/>
  <c r="U1154" i="1"/>
  <c r="U1155" i="1"/>
  <c r="U1156" i="1"/>
  <c r="U1157" i="1"/>
  <c r="U1158" i="1"/>
  <c r="U1159" i="1"/>
  <c r="U1160" i="1"/>
  <c r="U1161" i="1"/>
  <c r="U1163" i="1"/>
  <c r="U1164" i="1"/>
  <c r="U1165" i="1"/>
  <c r="U1167" i="1"/>
  <c r="U1168" i="1"/>
  <c r="U1169" i="1"/>
  <c r="U1170" i="1"/>
  <c r="U1171" i="1"/>
  <c r="U1172" i="1"/>
  <c r="U1173" i="1"/>
  <c r="U2" i="1"/>
</calcChain>
</file>

<file path=xl/sharedStrings.xml><?xml version="1.0" encoding="utf-8"?>
<sst xmlns="http://schemas.openxmlformats.org/spreadsheetml/2006/main" count="7270" uniqueCount="2174">
  <si>
    <t>No</t>
  </si>
  <si>
    <t>No Transaksi</t>
  </si>
  <si>
    <t>Tanggal</t>
  </si>
  <si>
    <t>Customer</t>
  </si>
  <si>
    <t>Sales</t>
  </si>
  <si>
    <t>Status</t>
  </si>
  <si>
    <t>Mata Uang</t>
  </si>
  <si>
    <t>Kurs</t>
  </si>
  <si>
    <t>Uraian</t>
  </si>
  <si>
    <t>Termin</t>
  </si>
  <si>
    <t>Sub Total</t>
  </si>
  <si>
    <t>Diskon (%)</t>
  </si>
  <si>
    <t>Diskon</t>
  </si>
  <si>
    <t>Pajak 1 Total</t>
  </si>
  <si>
    <t>Pajak 2 Totak</t>
  </si>
  <si>
    <t>Biaya Lain (%)</t>
  </si>
  <si>
    <t>Biaya Lain</t>
  </si>
  <si>
    <t>Total Transaksi</t>
  </si>
  <si>
    <t>Margin</t>
  </si>
  <si>
    <t>Margin (%)</t>
  </si>
  <si>
    <t>SIBSQ26030247</t>
  </si>
  <si>
    <t>PT. JHONLIN BARATAMA</t>
  </si>
  <si>
    <t>Erwin Suriansyah</t>
  </si>
  <si>
    <t>Approved</t>
  </si>
  <si>
    <t>IDR</t>
  </si>
  <si>
    <t>REQ JB PLANT SEI 2 FLOW METER FCM 50 NX</t>
  </si>
  <si>
    <t>PEMBAYARAN INVOICE 30 HARI</t>
  </si>
  <si>
    <t>SIBSQ26030246</t>
  </si>
  <si>
    <t>PT. PRIMA ALAM GEMILANG</t>
  </si>
  <si>
    <t>SARDIMAN</t>
  </si>
  <si>
    <t>Complete</t>
  </si>
  <si>
    <t>P004173 - Date 2026-03-24 - Due Date 08-05-2026</t>
  </si>
  <si>
    <t>SIBSQ26030245</t>
  </si>
  <si>
    <t>PT. Jhonlin Marine Trans</t>
  </si>
  <si>
    <t>Yulius Kriswida</t>
  </si>
  <si>
    <t>6000006960 OPS JMT DD 20/05/26</t>
  </si>
  <si>
    <t>SIBSQ26030244</t>
  </si>
  <si>
    <t>PT. Jhonlin Marine Lines</t>
  </si>
  <si>
    <t>RULLY PARAMITA</t>
  </si>
  <si>
    <t>Draft</t>
  </si>
  <si>
    <t>6100004417 JML</t>
  </si>
  <si>
    <t>SIBSQ26030243</t>
  </si>
  <si>
    <t>6100004430 BM JMT DD 18/05/26</t>
  </si>
  <si>
    <t>SIBSQ26030242</t>
  </si>
  <si>
    <t>6100004399 PLANT JML</t>
  </si>
  <si>
    <t>SIBSQ26030241</t>
  </si>
  <si>
    <t>RFQ PP-JMT-0003-III-2026 - MS</t>
  </si>
  <si>
    <t>SIBSQ26030240</t>
  </si>
  <si>
    <t>REQ JB PLANT</t>
  </si>
  <si>
    <t>SIBSQ26030239</t>
  </si>
  <si>
    <t>6500002509 JB PLANT SEI 2</t>
  </si>
  <si>
    <t>SIBSQ26030238</t>
  </si>
  <si>
    <t>6000007145 JB HSE SBB</t>
  </si>
  <si>
    <t>SIBSQ26030237</t>
  </si>
  <si>
    <t>PT. DUA SAMUDERA PERKASA</t>
  </si>
  <si>
    <t>SUGIYANOR</t>
  </si>
  <si>
    <t>REQ DSP SEI 2 (BP FIRMAN)</t>
  </si>
  <si>
    <t>CASH BEFORE DELIVERY</t>
  </si>
  <si>
    <t>SIBSQ26030236</t>
  </si>
  <si>
    <t>6000006923 JB PLANT TJG</t>
  </si>
  <si>
    <t>SIBSQ26030235</t>
  </si>
  <si>
    <t>6000006929 JB PLANT TJG</t>
  </si>
  <si>
    <t>SIBSQ26030234</t>
  </si>
  <si>
    <t>6000006976 DSP PP KODECO</t>
  </si>
  <si>
    <t>SIBSQ26030233</t>
  </si>
  <si>
    <t>6000006796 JB PLANT SBB</t>
  </si>
  <si>
    <t>SIBSQ26030232</t>
  </si>
  <si>
    <t>6000006610 JB PLANT SEI 2</t>
  </si>
  <si>
    <t>SIBSQ26030231</t>
  </si>
  <si>
    <t>6000006892 JB PLANT SEI 2</t>
  </si>
  <si>
    <t>SIBSQ26030230</t>
  </si>
  <si>
    <t>6100004397 JML</t>
  </si>
  <si>
    <t>SIBSQ26030229</t>
  </si>
  <si>
    <t>6800001378 JB INFRA SEI 2 (KEP. KM51)</t>
  </si>
  <si>
    <t>SIBSQ26030228</t>
  </si>
  <si>
    <t>6000006837 DSP SEI 2</t>
  </si>
  <si>
    <t>SIBSQ26030227</t>
  </si>
  <si>
    <t>REQ DSP SEI 2 ( BP.AHIM)</t>
  </si>
  <si>
    <t>SIBSQ26030226</t>
  </si>
  <si>
    <t>MV.JHONLIN001 - REQ E-37 / TRAFO JMT-STM</t>
  </si>
  <si>
    <t>SIBSQ26030225</t>
  </si>
  <si>
    <t>6000006962 DSP SEI 2 (TERUM PARIA)</t>
  </si>
  <si>
    <t>SIBSQ26030224</t>
  </si>
  <si>
    <t>6000006979 DSP SEI 2</t>
  </si>
  <si>
    <t>SIBSQ26030223</t>
  </si>
  <si>
    <t>6000006966 DSP SEI 2 (GROGOT)</t>
  </si>
  <si>
    <t>SIBSQ26030222</t>
  </si>
  <si>
    <t>MV.JHONLIN001 - REQ E-36 / TOOLS ENGINE  JMT-STM</t>
  </si>
  <si>
    <t>SIBSQ26030221</t>
  </si>
  <si>
    <t>6100004318 BM JMT (11/05/26)</t>
  </si>
  <si>
    <t>SIBSQ26030220</t>
  </si>
  <si>
    <t>6100004441 JB SEI 2 (TJG) FULL PAYMENT</t>
  </si>
  <si>
    <t>SIBSQ26030219</t>
  </si>
  <si>
    <t>6000006887 DSP SEI 2 (BUNATI)</t>
  </si>
  <si>
    <t>SIBSQ26030218</t>
  </si>
  <si>
    <t>6100004402 JML</t>
  </si>
  <si>
    <t>SIBSQ26030217</t>
  </si>
  <si>
    <t>6000006977 DSP (KURNAG 2 ITEM NPR)</t>
  </si>
  <si>
    <t>SIBSQ26030216</t>
  </si>
  <si>
    <t>PT. MULTI SARANA AGRO MANDIRI</t>
  </si>
  <si>
    <t>HANDIRA</t>
  </si>
  <si>
    <t>7000000645 MSAM</t>
  </si>
  <si>
    <t>SIBSQ26030215</t>
  </si>
  <si>
    <t>REQ DSP MBA RISKA</t>
  </si>
  <si>
    <t>SIBSQ26030214</t>
  </si>
  <si>
    <t>6000006947 SHE JMT (19/05/26)</t>
  </si>
  <si>
    <t>SIBSQ26030213</t>
  </si>
  <si>
    <t>6100004412 JML</t>
  </si>
  <si>
    <t>SIBSQ26030212</t>
  </si>
  <si>
    <t>REQ PENAWARAN JML (PAK JANUAR)</t>
  </si>
  <si>
    <t>SIBSQ26030211</t>
  </si>
  <si>
    <t>6100004322 DSP SP SEI 2 ( BARU AMPAR)</t>
  </si>
  <si>
    <t>SIBSQ26030210</t>
  </si>
  <si>
    <t>PT. SAMUDERA TIMUR MAS</t>
  </si>
  <si>
    <t>6000006926 GA STM</t>
  </si>
  <si>
    <t>SIBSQ26030209</t>
  </si>
  <si>
    <t>PT. HASIL PRIMA JAYA</t>
  </si>
  <si>
    <t>Afifah</t>
  </si>
  <si>
    <t>RFQ HPJ PR 3000057527 INSTALASI AIR PERUMAHAN</t>
  </si>
  <si>
    <t>SIBSQ26030208</t>
  </si>
  <si>
    <t>6000007058 PLANT JML</t>
  </si>
  <si>
    <t>SIBSQ26030207</t>
  </si>
  <si>
    <t>RFQ HPJ PR 3000057529 KANTOR &amp; VILLA</t>
  </si>
  <si>
    <t>SIBSQ26030206</t>
  </si>
  <si>
    <t>REQ PENAWARAN JML (PAK DIDIN)</t>
  </si>
  <si>
    <t>SIBSQ26030205</t>
  </si>
  <si>
    <t>REQ PENAWARAN JML (PAK BAYU)</t>
  </si>
  <si>
    <t>SIBSQ26030204</t>
  </si>
  <si>
    <t>E-23/RF/JL002/II-26 MV J 002 JMT-STM</t>
  </si>
  <si>
    <t>SIBSQ26030203</t>
  </si>
  <si>
    <t>6100004332 DSP BUNATI</t>
  </si>
  <si>
    <t>SIBSQ26030202</t>
  </si>
  <si>
    <t>REQ JB-JG</t>
  </si>
  <si>
    <t>SIBSQ26030201</t>
  </si>
  <si>
    <t>SIBSQ26030200</t>
  </si>
  <si>
    <t>6100004159 JB INFRA SEI 2 (KEP. KALTIM)</t>
  </si>
  <si>
    <t>SIBSQ26030199</t>
  </si>
  <si>
    <t>REQ PENAWARAN JML</t>
  </si>
  <si>
    <t>SIBSQ26030198</t>
  </si>
  <si>
    <t>P004126 - Date 2026-03-02 - Due Date  04-04-2026</t>
  </si>
  <si>
    <t>SIBSQ26030197</t>
  </si>
  <si>
    <t>5001219684 HPJ</t>
  </si>
  <si>
    <t>SIBSQ26030196</t>
  </si>
  <si>
    <t>5001219657 HPJ</t>
  </si>
  <si>
    <t>SIBSQ26030195</t>
  </si>
  <si>
    <t>REQ JB PLANT TJG</t>
  </si>
  <si>
    <t>SIBSQ26030194</t>
  </si>
  <si>
    <t>REQ FABR JMT</t>
  </si>
  <si>
    <t>SIBSQ26030193</t>
  </si>
  <si>
    <t>REQ JB PLANT SEI 2</t>
  </si>
  <si>
    <t>SIBSQ26030192</t>
  </si>
  <si>
    <t>6000006812 JB PLANT SBB</t>
  </si>
  <si>
    <t>SIBSQ26030191</t>
  </si>
  <si>
    <t>6000006830 JB PLANT SEI 2 (FULL PAYMENT)</t>
  </si>
  <si>
    <t>SIBSQ26030190</t>
  </si>
  <si>
    <t>6800001379 JB INFRA SEI 2 (KEP. KM.51)</t>
  </si>
  <si>
    <t>SIBSQ26030189</t>
  </si>
  <si>
    <t>6100004163 JB INFRA SEI 2 (KEP. KALTIM)</t>
  </si>
  <si>
    <t>SIBSQ26030188</t>
  </si>
  <si>
    <t>6000006773 DSP SEI 2 (HEAD OFFICE)</t>
  </si>
  <si>
    <t>SIBSQ26030187</t>
  </si>
  <si>
    <t>6000006852 HSE JML</t>
  </si>
  <si>
    <t>SIBSQ26030186</t>
  </si>
  <si>
    <t>6100004257 DSP SEI 2</t>
  </si>
  <si>
    <t>SIBSQ26030185</t>
  </si>
  <si>
    <t>6500002453 OPS JMT JHONI012</t>
  </si>
  <si>
    <t>SIBSQ26030184</t>
  </si>
  <si>
    <t>6000006740 OPS JMT DD 13/05/2026</t>
  </si>
  <si>
    <t>SIBSQ26030183</t>
  </si>
  <si>
    <t>6100003709 PLANT JML</t>
  </si>
  <si>
    <t>SIBSQ26030182</t>
  </si>
  <si>
    <t>PT. PRADIKSI GUNATAMA</t>
  </si>
  <si>
    <t>PERMINTAAN PENAWARAN HARGA PG</t>
  </si>
  <si>
    <t>SIBSQ26030181</t>
  </si>
  <si>
    <t>6000006688 DSP SEI 2 (TERUM SETANGGA)</t>
  </si>
  <si>
    <t>SIBSQ26030180</t>
  </si>
  <si>
    <t>BG LIANA XVI FABR JMT (FULLPAYMENT)</t>
  </si>
  <si>
    <t>SIBSQ26030179</t>
  </si>
  <si>
    <t>BG LIANA X FABR JMT (FULLPAYMENT)</t>
  </si>
  <si>
    <t>SIBSQ26030178</t>
  </si>
  <si>
    <t>BG LIANA XXXXVI FABR JMT (FULLPAYMENT)</t>
  </si>
  <si>
    <t>SIBSQ26030177</t>
  </si>
  <si>
    <t>REQ PENAWARAN JML (PAK REZA)</t>
  </si>
  <si>
    <t>SIBSQ26030176</t>
  </si>
  <si>
    <t>PERMINTAAN HARGA PG</t>
  </si>
  <si>
    <t>SIBSQ26030175</t>
  </si>
  <si>
    <t>PT Jhonlin Agro Mandiri</t>
  </si>
  <si>
    <t>5001219675 JA</t>
  </si>
  <si>
    <t>SIBSQ26030174</t>
  </si>
  <si>
    <t>BG LIANA XXXIV FABR JMT (FULLPAYMENT)</t>
  </si>
  <si>
    <t>SIBSQ26030173</t>
  </si>
  <si>
    <t>6500002451 OPS JMT DD 14/05/2026</t>
  </si>
  <si>
    <t>SIBSQ26030172</t>
  </si>
  <si>
    <t>6000006789 OPS JMT TB JHONI 008 (DOCKING PATRIA-BJM)</t>
  </si>
  <si>
    <t>ANDREAS BAGUS</t>
  </si>
  <si>
    <t>SIBSQ26030170</t>
  </si>
  <si>
    <t>6100004165 DSP SEI 2 (BATU AMPAR)</t>
  </si>
  <si>
    <t>SIBSQ26030169</t>
  </si>
  <si>
    <t>6000006739 OPS JMT DD 13/05/26</t>
  </si>
  <si>
    <t>SIBSQ26030168</t>
  </si>
  <si>
    <t>-</t>
  </si>
  <si>
    <t>SIBSQ26030167</t>
  </si>
  <si>
    <t>7000000576 MSAM</t>
  </si>
  <si>
    <t>SIBSQ26030166</t>
  </si>
  <si>
    <t>PT. Jhonlin Group</t>
  </si>
  <si>
    <t>Muhammad Soleh Indra Setiawan</t>
  </si>
  <si>
    <t>RFQ JG LAB</t>
  </si>
  <si>
    <t>SIBSQ26030165</t>
  </si>
  <si>
    <t>6100004274 DSP SEI 2</t>
  </si>
  <si>
    <t>SIBSQ26030164</t>
  </si>
  <si>
    <t>6100004266 DSP SEI 2</t>
  </si>
  <si>
    <t>SIBSQ26030163</t>
  </si>
  <si>
    <t>RFQ MILL PT.MSAM2 &gt;&gt; 002/MSAM</t>
  </si>
  <si>
    <t>SIBSQ26030162</t>
  </si>
  <si>
    <t>6000006703 DSP SEI 2 (GEROGOT)</t>
  </si>
  <si>
    <t>SIBSQ26030161</t>
  </si>
  <si>
    <t>7000000613 MSAM</t>
  </si>
  <si>
    <t>SIBSQ26030160</t>
  </si>
  <si>
    <t>7000000593 MSAM</t>
  </si>
  <si>
    <t>SIBSQ26030159</t>
  </si>
  <si>
    <t>7000000566 PG</t>
  </si>
  <si>
    <t>SIBSQ26030158</t>
  </si>
  <si>
    <t>SIBSQ26030157</t>
  </si>
  <si>
    <t>7000000562 PG</t>
  </si>
  <si>
    <t>SIBSQ26030156</t>
  </si>
  <si>
    <t>SIBSQ26030155</t>
  </si>
  <si>
    <t>6000006745 FUEL JML</t>
  </si>
  <si>
    <t>SIBSQ26030154</t>
  </si>
  <si>
    <t>req jss</t>
  </si>
  <si>
    <t>SIBSQ26030153</t>
  </si>
  <si>
    <t>6100004292 JB GA TJG</t>
  </si>
  <si>
    <t>SIBSQ26030152</t>
  </si>
  <si>
    <t>7100000428 MSAM</t>
  </si>
  <si>
    <t>SIBSQ26030151</t>
  </si>
  <si>
    <t>REQ PENAWARAN HARGA OPS (SUPPLY BATAM)</t>
  </si>
  <si>
    <t>SIBSQ26030150</t>
  </si>
  <si>
    <t>RFQ JG GARDEN</t>
  </si>
  <si>
    <t>SIBSQ26030149</t>
  </si>
  <si>
    <t>REQ DSP SEI 2 BP.FIMRAN</t>
  </si>
  <si>
    <t>SIBSQ26030148</t>
  </si>
  <si>
    <t>6000006679 OPS JMT DD 08/05/26</t>
  </si>
  <si>
    <t>SIBSQ26030147</t>
  </si>
  <si>
    <t>7100000388 MSAM // FULL PAYMENT</t>
  </si>
  <si>
    <t>SIBSQ26030146</t>
  </si>
  <si>
    <t>REQ PENAWARAN JMT-STM (PAK ADIATMA)</t>
  </si>
  <si>
    <t>SIBSQ26030145</t>
  </si>
  <si>
    <t>REQ JB GA SEI 2</t>
  </si>
  <si>
    <t>SIBSQ26030144</t>
  </si>
  <si>
    <t>7000000568 PG</t>
  </si>
  <si>
    <t>SIBSQ26030143</t>
  </si>
  <si>
    <t>REQ DSP SEI 2 BP. Saprianto</t>
  </si>
  <si>
    <t>SIBSQ26030142</t>
  </si>
  <si>
    <t>PT. JHONLIN AGRO RAYA TBK</t>
  </si>
  <si>
    <t>REQ TOOLS JAR BIO</t>
  </si>
  <si>
    <t>SIBSQ26030141</t>
  </si>
  <si>
    <t>PT. Batulicin Beton Asphalt</t>
  </si>
  <si>
    <t>P007803 // BBA // DD 07-MEI-2026 // BATULICIN</t>
  </si>
  <si>
    <t>SIBSQ26030140</t>
  </si>
  <si>
    <t>REQ DSP SEI 2 BP. Imran</t>
  </si>
  <si>
    <t>SIBSQ26030139</t>
  </si>
  <si>
    <t>7100000387 PG</t>
  </si>
  <si>
    <t>SIBSQ26030138</t>
  </si>
  <si>
    <t>6000006719 OPS JMT DD 12/05/2026</t>
  </si>
  <si>
    <t>SIBSQ26030137</t>
  </si>
  <si>
    <t>REQ BBA BOMBANA</t>
  </si>
  <si>
    <t>In Progress</t>
  </si>
  <si>
    <t>SIBSQ26030134</t>
  </si>
  <si>
    <t>E-23/HI-03/III-26  MV.HI-03 STM</t>
  </si>
  <si>
    <t>SIBSQ26030133</t>
  </si>
  <si>
    <t>6100004214</t>
  </si>
  <si>
    <t>SIBSQ26030132</t>
  </si>
  <si>
    <t>REQ DSP SEI 2</t>
  </si>
  <si>
    <t>SIBSQ26030131</t>
  </si>
  <si>
    <t>SIBSQ26030130</t>
  </si>
  <si>
    <t>6100004255 JB GA SBB</t>
  </si>
  <si>
    <t>SIBSQ26030129</t>
  </si>
  <si>
    <t>6100004250 JB GA SEI 2</t>
  </si>
  <si>
    <t>SIBSQ26030128</t>
  </si>
  <si>
    <t>SIBSQ26030127</t>
  </si>
  <si>
    <t>7000000573 MSAM // FULL PAYMENT</t>
  </si>
  <si>
    <t>SIBSQ26030126</t>
  </si>
  <si>
    <t>6000006449 PLANT JML</t>
  </si>
  <si>
    <t>SIBSQ26030125</t>
  </si>
  <si>
    <t>7000000549 MSAM</t>
  </si>
  <si>
    <t>SIBSQ26030124</t>
  </si>
  <si>
    <t>6000006701 DSP SEI 2 (TERUM PARIA)</t>
  </si>
  <si>
    <t>SIBSQ26030123</t>
  </si>
  <si>
    <t>6000006685 DSP SEI 2 (SERONGGA)</t>
  </si>
  <si>
    <t>SIBSQ26030122</t>
  </si>
  <si>
    <t>6000006684 DSP SEI 2 (GROGOT)</t>
  </si>
  <si>
    <t>SIBSQ26030121</t>
  </si>
  <si>
    <t>6000006520 DSP SEI ( SERONGGA )</t>
  </si>
  <si>
    <t>SIBSQ26030120</t>
  </si>
  <si>
    <t>6000006512 DSP SEI 2 ( GROGOT )</t>
  </si>
  <si>
    <t>SIBSQ26030119</t>
  </si>
  <si>
    <t>LIST PP 3-5 OPEX JAR LAB EAS</t>
  </si>
  <si>
    <t>SIBSQ26030118</t>
  </si>
  <si>
    <t>6000006464 DSP SEI 2 (BATU AMPAR)</t>
  </si>
  <si>
    <t>SIBSQ26030117</t>
  </si>
  <si>
    <t>6000006511 DSP SEI 2</t>
  </si>
  <si>
    <t>SIBSQ26030116</t>
  </si>
  <si>
    <t>RFQ CIVIL JG</t>
  </si>
  <si>
    <t>SIBSQ26030115</t>
  </si>
  <si>
    <t>6000005476 FABR JMT</t>
  </si>
  <si>
    <t>SIBSQ26030114</t>
  </si>
  <si>
    <t>SIBSQ26030113</t>
  </si>
  <si>
    <t>4000000360 JAR MILL</t>
  </si>
  <si>
    <t>SIBSQ26030112</t>
  </si>
  <si>
    <t>REQ DSP</t>
  </si>
  <si>
    <t>SIBSQ26030111</t>
  </si>
  <si>
    <t>7000000564 MSAM</t>
  </si>
  <si>
    <t>SIBSQ26030110</t>
  </si>
  <si>
    <t>PT. KODECO AGROJAYA MANDIRI</t>
  </si>
  <si>
    <t>PERMINTAAN HARGA EAS</t>
  </si>
  <si>
    <t>SIBSQ26020111</t>
  </si>
  <si>
    <t>REQ E-21/RF/JL002/II-26 JMT-STM</t>
  </si>
  <si>
    <t>SIBSQ26030109</t>
  </si>
  <si>
    <t>7000000586 ; BIO - B2B ; APRIL</t>
  </si>
  <si>
    <t>SIBSQ26030108</t>
  </si>
  <si>
    <t>REQ DSP 6100003440 HARGA UPDATE</t>
  </si>
  <si>
    <t>SIBSQ26030107</t>
  </si>
  <si>
    <t>6100004143 GA JML</t>
  </si>
  <si>
    <t>SIBSQ26030106</t>
  </si>
  <si>
    <t>PT. ENERGI ARMADA BERSAMA</t>
  </si>
  <si>
    <t>REQ PENAWARAN GA EAB</t>
  </si>
  <si>
    <t>SIBSQ26030105</t>
  </si>
  <si>
    <t>REQ ALAT LAB JAR BIO</t>
  </si>
  <si>
    <t>SIBSQ26030104</t>
  </si>
  <si>
    <t>PT. JAGAT JAYA SENTOSA</t>
  </si>
  <si>
    <t>PENAWARAN HARGA PT. JAGAT JAYA SENTOSA</t>
  </si>
  <si>
    <t>SIBSQ26030103</t>
  </si>
  <si>
    <t>6000006677 OPS JMT DD 08/05/2026</t>
  </si>
  <si>
    <t>SIBSQ26030102</t>
  </si>
  <si>
    <t>6000006696 JB PLANT SEI 2</t>
  </si>
  <si>
    <t>SIBSQ26030101</t>
  </si>
  <si>
    <t>SIBSQ26030100</t>
  </si>
  <si>
    <t>7000000431 ; PENGGANTI STOCK JB</t>
  </si>
  <si>
    <t>SIBSQ26030099</t>
  </si>
  <si>
    <t>6000006667 OPS JMT 08/05/2026</t>
  </si>
  <si>
    <t>SIBSQ26030098</t>
  </si>
  <si>
    <t>6100004446 JB GA TJG</t>
  </si>
  <si>
    <t>SIBSQ26030097</t>
  </si>
  <si>
    <t>6100004286 JB GA TJG</t>
  </si>
  <si>
    <t>SIBSQ26030096</t>
  </si>
  <si>
    <t>6000006458 OPS DD 27/04/26</t>
  </si>
  <si>
    <t>SIBSQ26030095</t>
  </si>
  <si>
    <t>6000006545 DSP SEI 2</t>
  </si>
  <si>
    <t>SIBSQ26030094</t>
  </si>
  <si>
    <t>6000006584 DSP SEI 2</t>
  </si>
  <si>
    <t>SIBSQ26030093</t>
  </si>
  <si>
    <t>6000006580 DSP SEI 2 (GROGOT)</t>
  </si>
  <si>
    <t>SIBSQ26030092</t>
  </si>
  <si>
    <t>6000006652 DSP SEI 2 (BUNATI)</t>
  </si>
  <si>
    <t>SIBSQ26030091</t>
  </si>
  <si>
    <t>6000006664 DSP SEI 2 (BATU AMPAR)</t>
  </si>
  <si>
    <t>SIBSQ26030089</t>
  </si>
  <si>
    <t>PT. JHONLIN BATU MANDIRI</t>
  </si>
  <si>
    <t>P007325 - Date 2026-03-03 - Due Date05-04-2026</t>
  </si>
  <si>
    <t>SIBSQ26030088</t>
  </si>
  <si>
    <t>RFQ 001-250226 JA</t>
  </si>
  <si>
    <t>SIBSQ26030087</t>
  </si>
  <si>
    <t>SIBSQ26030086</t>
  </si>
  <si>
    <t>6000006624 JB PLANT SEI 2</t>
  </si>
  <si>
    <t>SIBSQ26030085</t>
  </si>
  <si>
    <t>6000006623 JB PLANT SEI 2//FULL PAYMENT</t>
  </si>
  <si>
    <t>SIBSQ26030084</t>
  </si>
  <si>
    <t>6000006663 DSP SEI 2 (BUNATI)</t>
  </si>
  <si>
    <t>SIBSQ26020160</t>
  </si>
  <si>
    <t>REQ JB ENG SBB</t>
  </si>
  <si>
    <t>SIBSQ26030083</t>
  </si>
  <si>
    <t>REQ JB GA SEI 2 ELEKTRIK//MARET</t>
  </si>
  <si>
    <t>SIBSQ26030081</t>
  </si>
  <si>
    <t>7200000039 ; JAR 2 (LAB EAS) - DP 50%</t>
  </si>
  <si>
    <t>DP 50% dan Pelunasan N/30</t>
  </si>
  <si>
    <t>SIBSQ26030080</t>
  </si>
  <si>
    <t>6000006628 DSP SEI 2</t>
  </si>
  <si>
    <t>SIBSQ26030079</t>
  </si>
  <si>
    <t>6000006642 DSP PP SEI 2</t>
  </si>
  <si>
    <t>SIBSQ26030078</t>
  </si>
  <si>
    <t>6000006644 DSP SEI 2 (PPK)</t>
  </si>
  <si>
    <t>SIBSQ26030077</t>
  </si>
  <si>
    <t>6000006641 DSP SEI 2 (BATU AMPAR)</t>
  </si>
  <si>
    <t>SIBSQ26030076</t>
  </si>
  <si>
    <t>6000006631 DSP SEI 2 (SERONGGA)</t>
  </si>
  <si>
    <t>SIBSQ26030075</t>
  </si>
  <si>
    <t>6000006632 DSP SEI 2 (BUNATI)</t>
  </si>
  <si>
    <t>SIBSQ26030074</t>
  </si>
  <si>
    <t>6000006627 DSP SEI 2 (SETANGGA) DD 03/05/25</t>
  </si>
  <si>
    <t>SIBSQ26030073</t>
  </si>
  <si>
    <t>6000006625 DSP GROGOT</t>
  </si>
  <si>
    <t>SIBSQ26030072</t>
  </si>
  <si>
    <t>REQ JG HANGGAR BARU</t>
  </si>
  <si>
    <t>SIBSQ26030071</t>
  </si>
  <si>
    <t>SIBSQ26030070</t>
  </si>
  <si>
    <t>7000000543 MSAM // FULL PAYMENT - REFF SC SINAR BINTANG JAYA MAKMUR</t>
  </si>
  <si>
    <t>SIBSQ26030069</t>
  </si>
  <si>
    <t>7000000491 ; JAR MILL (37)</t>
  </si>
  <si>
    <t>SIBSQ26030068</t>
  </si>
  <si>
    <t>REQ JB PLANT SEI 2 UPDATE</t>
  </si>
  <si>
    <t>SIBSQ26030067</t>
  </si>
  <si>
    <t>6000006596 DSP SEI 2 FULL PAYMENT</t>
  </si>
  <si>
    <t>SIBSQ26030066</t>
  </si>
  <si>
    <t>6000006540 DSP SEI 2</t>
  </si>
  <si>
    <t>SIBSQ26030065</t>
  </si>
  <si>
    <t>PT. DAMAI BINTANG ABADI</t>
  </si>
  <si>
    <t>REQ DBA ICONIK HOUSE</t>
  </si>
  <si>
    <t>SIBSQ26030064</t>
  </si>
  <si>
    <t>E-23/RF/JL002/II-26 JMT-STM</t>
  </si>
  <si>
    <t>SIBSQ26030063</t>
  </si>
  <si>
    <t>6000006590 JB HSE SEI 2</t>
  </si>
  <si>
    <t>SIBSQ26030062</t>
  </si>
  <si>
    <t>6000006646 JMT FABR</t>
  </si>
  <si>
    <t>SIBSQ26030061</t>
  </si>
  <si>
    <t>6000006629 JB PLANT SBB</t>
  </si>
  <si>
    <t>SIBSQ26030060</t>
  </si>
  <si>
    <t>7000000491 JAR-37 MILL // REFF SC FORTUNA ANEKAMULTI</t>
  </si>
  <si>
    <t>SIBSQ26030059</t>
  </si>
  <si>
    <t>6000006630 OPS JMT</t>
  </si>
  <si>
    <t>SIBSQ26030058</t>
  </si>
  <si>
    <t>6100004148 // JG DD 30.04.2026</t>
  </si>
  <si>
    <t>SIBSQ26030057</t>
  </si>
  <si>
    <t>7000000472 ; JAR MILL (37)</t>
  </si>
  <si>
    <t>SIBSQ26030056</t>
  </si>
  <si>
    <t>6500002311 OPS STM</t>
  </si>
  <si>
    <t>SIBSQ26030055</t>
  </si>
  <si>
    <t>6100004186 JML</t>
  </si>
  <si>
    <t>SIBSQ26030054</t>
  </si>
  <si>
    <t>6100004188 JML</t>
  </si>
  <si>
    <t>SIBSQ26030053</t>
  </si>
  <si>
    <t>CV. ONO CRAFT</t>
  </si>
  <si>
    <t>SIBSQ26030052</t>
  </si>
  <si>
    <t>6000006558 DSP SEI 2 (BATU AMPAR)</t>
  </si>
  <si>
    <t>SIBSQ26030051</t>
  </si>
  <si>
    <t>PENAWARAN HARGA PERMINTAAN CV. ONO CRAFT</t>
  </si>
  <si>
    <t>SIBSQ26030050</t>
  </si>
  <si>
    <t>7000000470 ; JAR MILL (37)</t>
  </si>
  <si>
    <t>SIBSQ26030049</t>
  </si>
  <si>
    <t>PT. BANGUN KARYA PRATAMA LESTARI</t>
  </si>
  <si>
    <t>REQ BKPL</t>
  </si>
  <si>
    <t>SIBSQ26030048</t>
  </si>
  <si>
    <t>PT. TUNAS HUTAN MANDIRI</t>
  </si>
  <si>
    <t>5001219593 THM</t>
  </si>
  <si>
    <t>SIBSQ26030047</t>
  </si>
  <si>
    <t>6100004111 DSP SEI 2 (SERONGGA)</t>
  </si>
  <si>
    <t>SIBSQ26030046</t>
  </si>
  <si>
    <t>HPJ PR 3000057530 MS 070</t>
  </si>
  <si>
    <t>SIBSQ26030045</t>
  </si>
  <si>
    <t>SIBSQ26030044</t>
  </si>
  <si>
    <t>SIBSQ26030043</t>
  </si>
  <si>
    <t>015/DIR/PGUN-SBM/INT/III/2026 - URGENT PG</t>
  </si>
  <si>
    <t>SIBSQ26030042</t>
  </si>
  <si>
    <t>7000000501 ; JAR 1 (37)</t>
  </si>
  <si>
    <t>SIBSQ26030041</t>
  </si>
  <si>
    <t>REQ 6000006571 OPS JMT DD 30/04/2026</t>
  </si>
  <si>
    <t>SIBSQ26030040</t>
  </si>
  <si>
    <t>3000057662 THM</t>
  </si>
  <si>
    <t>SIBSQ26030039</t>
  </si>
  <si>
    <t>REQ E-24/RF/JL002/II-26 MV. J 002 JMT-STM</t>
  </si>
  <si>
    <t>SIBSQ26030038</t>
  </si>
  <si>
    <t>SIBSQ26030037</t>
  </si>
  <si>
    <t>6000006554 OPS JMT DD 30/04/26</t>
  </si>
  <si>
    <t>SIBSQ26020343</t>
  </si>
  <si>
    <t>REQ JB HSE SEI 2 MARET</t>
  </si>
  <si>
    <t>SIBSQ26030036</t>
  </si>
  <si>
    <t>REVISI HARGA UNTUK PO 6100004148</t>
  </si>
  <si>
    <t>SIBSQ26030035</t>
  </si>
  <si>
    <t>6000006538 OPS JMT (DENDRA001) 30/04/2026</t>
  </si>
  <si>
    <t>SIBSQ26030034</t>
  </si>
  <si>
    <t>6600000231 FABR DD 05/05/2026</t>
  </si>
  <si>
    <t>SIBSQ26030033</t>
  </si>
  <si>
    <t>6100004166 // JG // DD  30.04.2026</t>
  </si>
  <si>
    <t>SIBSQ26030032</t>
  </si>
  <si>
    <t>6000006583 JB HSE SEI 2</t>
  </si>
  <si>
    <t>SIBSQ26030031</t>
  </si>
  <si>
    <t>6100004179 JB PLANT SBB</t>
  </si>
  <si>
    <t>SIBSQ26030030</t>
  </si>
  <si>
    <t>REQ JB GA SBB//IT DAN HT</t>
  </si>
  <si>
    <t>SIBSQ26030029</t>
  </si>
  <si>
    <t>6100004133 DSP SEI 2 BUNATI DD 30/04/26 FULL PAYMENT</t>
  </si>
  <si>
    <t>SIBSQ26030028</t>
  </si>
  <si>
    <t>7100000369 JAR-22</t>
  </si>
  <si>
    <t>SIBSQ26030027</t>
  </si>
  <si>
    <t>PAG- RFQ Tube Expander</t>
  </si>
  <si>
    <t>SIBSQ26030026</t>
  </si>
  <si>
    <t>6600000205 FABR JMT</t>
  </si>
  <si>
    <t>SIBSQ26030025</t>
  </si>
  <si>
    <t>6000006476 DSP SEI 2 (BATU AMPAR)</t>
  </si>
  <si>
    <t>SIBSQ26030024</t>
  </si>
  <si>
    <t>KEPERLUAN HANGGAR BARU</t>
  </si>
  <si>
    <t>SIBSQ26030023</t>
  </si>
  <si>
    <t>6000006445 DSP SEI 2</t>
  </si>
  <si>
    <t>SIBSQ26030022</t>
  </si>
  <si>
    <t>SIBSQ26030021</t>
  </si>
  <si>
    <t>6000006443 DSP SEI 2</t>
  </si>
  <si>
    <t>SIBSQ26030020</t>
  </si>
  <si>
    <t>6000006452 DSP SEI 2</t>
  </si>
  <si>
    <t>SIBSQ26020032</t>
  </si>
  <si>
    <t>SIBSQ26020016</t>
  </si>
  <si>
    <t>SIBSQ26030018</t>
  </si>
  <si>
    <t>6000006530 DSP BUNATI</t>
  </si>
  <si>
    <t>SIBSQ26030017</t>
  </si>
  <si>
    <t>SIBSQ26030016</t>
  </si>
  <si>
    <t>6000006462 DSP SEI 2 (BATU AMPAR)</t>
  </si>
  <si>
    <t>SIBSQ26030015</t>
  </si>
  <si>
    <t>PT. SARANA INTI PRADANA</t>
  </si>
  <si>
    <t>PENAWARAN HARGA LAPTOP ROG//PT. SARANA INTI PRADANA</t>
  </si>
  <si>
    <t>SIBSQ26030014</t>
  </si>
  <si>
    <t>6500002316 JB PLANT SEI 2 FULL PAYMENT</t>
  </si>
  <si>
    <t>SIBSQ26030013</t>
  </si>
  <si>
    <t>7000000481 KAM-2</t>
  </si>
  <si>
    <t>SIBSQ26030012</t>
  </si>
  <si>
    <t>SIBSQ26030011</t>
  </si>
  <si>
    <t>PENAWARAN HARGA MILL PG</t>
  </si>
  <si>
    <t>SQ-26010214</t>
  </si>
  <si>
    <t>REQ JB PLANT SEI 2//MATERIAL STH012</t>
  </si>
  <si>
    <t>SIBSQ26030010</t>
  </si>
  <si>
    <t>6000006414 JML</t>
  </si>
  <si>
    <t>SIBSQ26030009</t>
  </si>
  <si>
    <t>6100004113 JB PLANT SEI 2</t>
  </si>
  <si>
    <t>SIBSQ26030008</t>
  </si>
  <si>
    <t>PT.JHONLIN ENERGI KALIMANTAN</t>
  </si>
  <si>
    <t>tidak dipakai</t>
  </si>
  <si>
    <t>SIBSQ26030007</t>
  </si>
  <si>
    <t>SPB 23170 // BBA</t>
  </si>
  <si>
    <t>SIBSQ26030006</t>
  </si>
  <si>
    <t>REQ PENAWARAN HSE JML</t>
  </si>
  <si>
    <t>SIBSQ26030005</t>
  </si>
  <si>
    <t>7000000458 JAR 37</t>
  </si>
  <si>
    <t>SIBSQ26030004</t>
  </si>
  <si>
    <t>RFQ.PT.JG_GARDEN (PESTISIDA)</t>
  </si>
  <si>
    <t>SIBSQ26030003</t>
  </si>
  <si>
    <t>6000006505 FABR JMT DD 28/04/26</t>
  </si>
  <si>
    <t>SIBSQ26030002</t>
  </si>
  <si>
    <t>PERMINTAAN PENAWARAN HARGA EAS-CWS</t>
  </si>
  <si>
    <t>SIBSQ26030001</t>
  </si>
  <si>
    <t>6000006190 JB PLANT SBB//GANTI MASTER</t>
  </si>
  <si>
    <t>SIBSQ26020275</t>
  </si>
  <si>
    <t>PT. JHONLIN AIR TRANSPORT</t>
  </si>
  <si>
    <t>REQ JAT HANGGAR LAMA</t>
  </si>
  <si>
    <t>SQ-26010208</t>
  </si>
  <si>
    <t>RFQ 003-250226 THM</t>
  </si>
  <si>
    <t>SIBSQ26020351</t>
  </si>
  <si>
    <t>P004109 - Date 2026-02-12 - Due Date 19-03-2026</t>
  </si>
  <si>
    <t>SIBSQ26020350</t>
  </si>
  <si>
    <t>P004118 - Date 2026-02-23 - Due Date 04-04-2026</t>
  </si>
  <si>
    <t>SIBSQ26020349</t>
  </si>
  <si>
    <t>P007315 - Date 2026-02-24 - Due Date 28-04-2026</t>
  </si>
  <si>
    <t>SIBSQ26020348</t>
  </si>
  <si>
    <t>P004110 - Date 2026-02-13 Due Date 25-03-2026</t>
  </si>
  <si>
    <t>SIBSQ26020347</t>
  </si>
  <si>
    <t>P004114 - Date 2026-02-18 - Due Date 2026-02-18</t>
  </si>
  <si>
    <t>SIBSQ26020346</t>
  </si>
  <si>
    <t>P004119 - Date 2026-02-24 - Due Date 05-04-2026</t>
  </si>
  <si>
    <t>SIBSQ26020345</t>
  </si>
  <si>
    <t>SQ BOKING</t>
  </si>
  <si>
    <t>SIBSQ26020344</t>
  </si>
  <si>
    <t>SIBSQ26020341</t>
  </si>
  <si>
    <t>6000005530 FABR (SUPPLY MENUMBAR-SAMARINDA)</t>
  </si>
  <si>
    <t>SIBSQ26020340</t>
  </si>
  <si>
    <t>6000006425 DSP SEI 2</t>
  </si>
  <si>
    <t>SIBSQ26020339</t>
  </si>
  <si>
    <t>6000006420 DSP BATU AMPAR</t>
  </si>
  <si>
    <t>SIBSQ26020338</t>
  </si>
  <si>
    <t>6000006422 DSP BUNATI</t>
  </si>
  <si>
    <t>SIBSQ26020337</t>
  </si>
  <si>
    <t>REQ JG PRIVAT PLAJAU</t>
  </si>
  <si>
    <t>SIBSQ26020336</t>
  </si>
  <si>
    <t>PERMINTAAN PENAWARAN HARGA JMT - SIBIMA</t>
  </si>
  <si>
    <t>SQ-26010150</t>
  </si>
  <si>
    <t>RFQ 004-250226 THM</t>
  </si>
  <si>
    <t>SIBSQ26020335</t>
  </si>
  <si>
    <t>PENAWARAN LANJUTAN REQ JEK</t>
  </si>
  <si>
    <t>SIBSQ26020334</t>
  </si>
  <si>
    <t>6500001998 OPS (PROSES PP PENAMBAHAN DARI PIHAK JMT)</t>
  </si>
  <si>
    <t>SIBSQ26020333</t>
  </si>
  <si>
    <t>P004116 - DATE 2026-02-19 - DUE DATE 31-03-2026 PAG</t>
  </si>
  <si>
    <t>SIBSQ26020332</t>
  </si>
  <si>
    <t>5001219561 JA</t>
  </si>
  <si>
    <t>SIBSQ26020331</t>
  </si>
  <si>
    <t>6100004040 DSP PP SEI 2</t>
  </si>
  <si>
    <t>SIBSQ26020330</t>
  </si>
  <si>
    <t>5001219556 JA</t>
  </si>
  <si>
    <t>SIBSQ26020329</t>
  </si>
  <si>
    <t>PERMINTAAN PENAWARAN HARGA JAR</t>
  </si>
  <si>
    <t>SIBSQ26020328</t>
  </si>
  <si>
    <t>6100004083 JB GA SEI 2</t>
  </si>
  <si>
    <t>SIBSQ26020327</t>
  </si>
  <si>
    <t>6100004046 DSP SEI 2 (MERAUKE) UREGNT FULL PAYMENT</t>
  </si>
  <si>
    <t>SIBSQ26020326</t>
  </si>
  <si>
    <t>6100004047 JML</t>
  </si>
  <si>
    <t>SIBSQ26020325</t>
  </si>
  <si>
    <t>BATERAI DAN CHARGER REQ JG</t>
  </si>
  <si>
    <t>SQ-26010354</t>
  </si>
  <si>
    <t>RFQ MILL PT.MSAM2 &gt;&gt; 003/MSAM/LTRM</t>
  </si>
  <si>
    <t>SIBSQ26020324</t>
  </si>
  <si>
    <t>SIBSQ26020322</t>
  </si>
  <si>
    <t>6100004032 DSP HEAD OFFICE (DREDGING) FULL PAYMENT</t>
  </si>
  <si>
    <t>SIBSQ26020321</t>
  </si>
  <si>
    <t>6800001340 JB PLANT SEI 2</t>
  </si>
  <si>
    <t>SIBSQ26020320</t>
  </si>
  <si>
    <t>6000006299 GA JML</t>
  </si>
  <si>
    <t>SIBSQ26020319</t>
  </si>
  <si>
    <t>FPB JG GUNUNG PULAU</t>
  </si>
  <si>
    <t>SIBSQ26020318</t>
  </si>
  <si>
    <t>6000006134 JMT-STM</t>
  </si>
  <si>
    <t>SIBSQ26020317</t>
  </si>
  <si>
    <t>6000006465 OPS JMT DD 27/04/26</t>
  </si>
  <si>
    <t>SIBSQ26020316</t>
  </si>
  <si>
    <t>6100004038 DSP PP SEI 2</t>
  </si>
  <si>
    <t>SIBSQ26020315</t>
  </si>
  <si>
    <t>RFQ PT.MSAM1 &gt;&gt; PPNK 001/PPNK/IT</t>
  </si>
  <si>
    <t>SIBSQ26020314</t>
  </si>
  <si>
    <t>6000006435 JB PLANT SEI 2</t>
  </si>
  <si>
    <t>SIBSQ26020313</t>
  </si>
  <si>
    <t>6000006392 DSP SEI 2 (GROGOT)</t>
  </si>
  <si>
    <t>SIBSQ26020312</t>
  </si>
  <si>
    <t>6000006458 OPS JMT DD 27/04/26</t>
  </si>
  <si>
    <t>SIBSQ26020311</t>
  </si>
  <si>
    <t>6500002306 OPS STM</t>
  </si>
  <si>
    <t>SIBSQ26020310</t>
  </si>
  <si>
    <t>7000000532 MSAM</t>
  </si>
  <si>
    <t>SIBSQ26020309</t>
  </si>
  <si>
    <t>RFQ PG PEMASANGAN INSTALASI LISTRIK</t>
  </si>
  <si>
    <t>SIBSQ26020308</t>
  </si>
  <si>
    <t>6000006395 DSP PP SEI 2</t>
  </si>
  <si>
    <t>SIBSQ26020307</t>
  </si>
  <si>
    <t>6800001371 JB INFRA SEI 2 (KEP. KM51)</t>
  </si>
  <si>
    <t>SIBSQ26020306</t>
  </si>
  <si>
    <t>6100004102 JB INFRA SEI 2 (KEP. KALTIM)</t>
  </si>
  <si>
    <t>SIBSQ26020305</t>
  </si>
  <si>
    <t>SIBSQ26020304</t>
  </si>
  <si>
    <t>6500002296 OPS STM</t>
  </si>
  <si>
    <t>SIBSQ26020303</t>
  </si>
  <si>
    <t>SIBSQ26020302</t>
  </si>
  <si>
    <t>6000006411 DSP SEI 2</t>
  </si>
  <si>
    <t>SIBSQ26020301</t>
  </si>
  <si>
    <t>REQ PENAWARAN HARGA FABR JMT</t>
  </si>
  <si>
    <t>SIBSQ26020300</t>
  </si>
  <si>
    <t>RFQ JML PERMINTAAN FLOATING CRANE JHONI 57</t>
  </si>
  <si>
    <t>SIBSQ26020299</t>
  </si>
  <si>
    <t>SIBSQ26020298</t>
  </si>
  <si>
    <t>6000006415 DSP GROGOT</t>
  </si>
  <si>
    <t>SIBSQ26020297</t>
  </si>
  <si>
    <t>6000006412 DSP FIXED PLANT</t>
  </si>
  <si>
    <t>SIBSQ26020295</t>
  </si>
  <si>
    <t>SIBSQ26020294</t>
  </si>
  <si>
    <t>7000000460 KAM-1</t>
  </si>
  <si>
    <t>SIBSQ26020293</t>
  </si>
  <si>
    <t>SIBSQ26020292</t>
  </si>
  <si>
    <t>6000005486 FABR DD 27/02/26</t>
  </si>
  <si>
    <t>SIBSQ26020291</t>
  </si>
  <si>
    <t>KEPERLUAN LAPANGAN GOLF REQ</t>
  </si>
  <si>
    <t>SIBSQ26020290</t>
  </si>
  <si>
    <t>6000005476 FABR JMT 26/02/26</t>
  </si>
  <si>
    <t>SIBSQ26020289</t>
  </si>
  <si>
    <t>6600000199 FABR JMT</t>
  </si>
  <si>
    <t>SIBSQ26020288</t>
  </si>
  <si>
    <t>6000006490 JB PLANT SEI 2</t>
  </si>
  <si>
    <t>SIBSQ26020287</t>
  </si>
  <si>
    <t>SIBSQ26020286</t>
  </si>
  <si>
    <t>6000005986 SHE JMT</t>
  </si>
  <si>
    <t>SIBSQ26020285</t>
  </si>
  <si>
    <t>6500002265 JB PLANT SEI 2</t>
  </si>
  <si>
    <t>SIBSQ26020284</t>
  </si>
  <si>
    <t>REQ JB PLANT SEI 2//CAT LANTAI</t>
  </si>
  <si>
    <t>SIBSQ26020282</t>
  </si>
  <si>
    <t>REQ JB FREON UPDATE</t>
  </si>
  <si>
    <t>SIBSQ26020281</t>
  </si>
  <si>
    <t>6000006388 JB PLANT SEI 2</t>
  </si>
  <si>
    <t>SIBSQ26020280</t>
  </si>
  <si>
    <t>RFQ. PT.JG_GARDEN (TOOLS)</t>
  </si>
  <si>
    <t>SIBSQ26020279</t>
  </si>
  <si>
    <t>REQ OPS JMT</t>
  </si>
  <si>
    <t>SIBSQ26020278</t>
  </si>
  <si>
    <t>6100004041 JB GA SEI 2</t>
  </si>
  <si>
    <t>SIBSQ26020277</t>
  </si>
  <si>
    <t>SIBSQ26020276</t>
  </si>
  <si>
    <t>REQ MS JMT</t>
  </si>
  <si>
    <t>SIBSQ26020274</t>
  </si>
  <si>
    <t>6100004030 JML</t>
  </si>
  <si>
    <t>SIBSQ26020273</t>
  </si>
  <si>
    <t>6100004039 MS DD 22/04/26</t>
  </si>
  <si>
    <t>SIBSQ26020272</t>
  </si>
  <si>
    <t>REQ SHE JMT</t>
  </si>
  <si>
    <t>SIBSQ26020271</t>
  </si>
  <si>
    <t>SIBSQ26020270</t>
  </si>
  <si>
    <t>KEBUTUHAN LAPANGAN GOLF</t>
  </si>
  <si>
    <t>SIBSQ26020269</t>
  </si>
  <si>
    <t>PENAWARAN HARGA SEPATU SAFETY REQ JEK</t>
  </si>
  <si>
    <t>SIBSQ26020268</t>
  </si>
  <si>
    <t>6000006278 DSP BUNATI</t>
  </si>
  <si>
    <t>SIBSQ26020267</t>
  </si>
  <si>
    <t>6100004418 JB ENG TJG</t>
  </si>
  <si>
    <t>SIBSQ26020266</t>
  </si>
  <si>
    <t>6100004231 JB PLANT SEI 2</t>
  </si>
  <si>
    <t>SIBSQ26020265</t>
  </si>
  <si>
    <t>RFQ 003-130226 JA</t>
  </si>
  <si>
    <t>SIBSQ26020264</t>
  </si>
  <si>
    <t>6000006486 DSP FIXED PLANT (TOP URGENT)</t>
  </si>
  <si>
    <t>SIBSQ26020263</t>
  </si>
  <si>
    <t>6000006268 JB PLANT SEI 2</t>
  </si>
  <si>
    <t>SIBSQ26020262</t>
  </si>
  <si>
    <t>PENAWARAN HARGA KAM</t>
  </si>
  <si>
    <t>SIBSQ26020261</t>
  </si>
  <si>
    <t>6000006255 JB PLANT SEI 2</t>
  </si>
  <si>
    <t>SIBSQ26020260</t>
  </si>
  <si>
    <t>6000006275 DSP GROGOT</t>
  </si>
  <si>
    <t>SIBSQ26020259</t>
  </si>
  <si>
    <t>6000006274 DSP SEI 2</t>
  </si>
  <si>
    <t>SIBSQ26020258</t>
  </si>
  <si>
    <t>6000006253 DSP POWER PLANT KODECO</t>
  </si>
  <si>
    <t>SIBSQ26020257</t>
  </si>
  <si>
    <t>6000006262 DSP POWER PLANT SEI 2</t>
  </si>
  <si>
    <t>SIBSQ26020256</t>
  </si>
  <si>
    <t>6000006261 JB PLANT SEI 2</t>
  </si>
  <si>
    <t>SIBSQ26020255</t>
  </si>
  <si>
    <t>6000006267 JB PLANT MDL</t>
  </si>
  <si>
    <t>SIBSQ26020254</t>
  </si>
  <si>
    <t>6000006260 JB PLANT SEI 2</t>
  </si>
  <si>
    <t>SIBSQ26020253</t>
  </si>
  <si>
    <t>P004112 - Date. 2026-02-16 - Due Date  23-03-2026</t>
  </si>
  <si>
    <t>SIBSQ26020252</t>
  </si>
  <si>
    <t>RB_XXVI-00.02 // RUMAH BANJAR</t>
  </si>
  <si>
    <t>SIBSQ26020251</t>
  </si>
  <si>
    <t>6100004023 JML</t>
  </si>
  <si>
    <t>SIBSQ26020250</t>
  </si>
  <si>
    <t>6100004024 JML</t>
  </si>
  <si>
    <t>SIBSQ26020249</t>
  </si>
  <si>
    <t>SIBSQ26020352</t>
  </si>
  <si>
    <t>7100000374 MSAM // FULL PAYMENT</t>
  </si>
  <si>
    <t>SIBSQ26020248</t>
  </si>
  <si>
    <t>REQ PENAWARAN KEBUTUHAN JML</t>
  </si>
  <si>
    <t>SIBSQ26020247</t>
  </si>
  <si>
    <t>REQ RFQ JML</t>
  </si>
  <si>
    <t>SIBSQ26020246</t>
  </si>
  <si>
    <t>RFQ MILL PT.MSAM2 &gt;&gt; 002/MSAM/LTRM</t>
  </si>
  <si>
    <t>SIBSQ26020245</t>
  </si>
  <si>
    <t>RB_XXVI-00.05 // JG</t>
  </si>
  <si>
    <t>SIBSQ26020244</t>
  </si>
  <si>
    <t>REQ JB GA SBB//MATERIAL CIVIL</t>
  </si>
  <si>
    <t>SIBSQ26020243</t>
  </si>
  <si>
    <t>RFQ MILL PT.MSAM1 &gt;&gt; PPNK 0021/MSAM/SMRM</t>
  </si>
  <si>
    <t>SIBSQ26020242</t>
  </si>
  <si>
    <t>SIBSQ26020241</t>
  </si>
  <si>
    <t>6100004011 JB GA SEI 2</t>
  </si>
  <si>
    <t>SIBSQ26020240</t>
  </si>
  <si>
    <t>SIBSQ26020239</t>
  </si>
  <si>
    <t>RB_XXVI-00.03 // JG</t>
  </si>
  <si>
    <t>SIBSQ26020238</t>
  </si>
  <si>
    <t>6100004010 JB ENG SEI 2</t>
  </si>
  <si>
    <t>SIBSQ26020237</t>
  </si>
  <si>
    <t>REQ D-15/HI 03/I-26 JMT-STM</t>
  </si>
  <si>
    <t>2/10 n/30</t>
  </si>
  <si>
    <t>SIBSQ26020236</t>
  </si>
  <si>
    <t>SIBSQ26020235</t>
  </si>
  <si>
    <t>REQ D-11/HI 03/I-26 JMT-STM</t>
  </si>
  <si>
    <t>SIBSQ26020234</t>
  </si>
  <si>
    <t>SIBSQ26020233</t>
  </si>
  <si>
    <t>SIBSQ26020232</t>
  </si>
  <si>
    <t>6100003451 DSP SEI 2 (BATU AMPAR)</t>
  </si>
  <si>
    <t>SIBSQ26020231</t>
  </si>
  <si>
    <t>REQ  KEBUTUHAN LOGISTIK JML PP MARET 2026</t>
  </si>
  <si>
    <t>SIBSQ26020230</t>
  </si>
  <si>
    <t>SIBSQ26020229</t>
  </si>
  <si>
    <t>SIBSQ26020228</t>
  </si>
  <si>
    <t>RB_XXVI-00.04 // JG</t>
  </si>
  <si>
    <t>SIBSQ26020227</t>
  </si>
  <si>
    <t>6100003923 DSP SEI 2 (BATU AMPAR)</t>
  </si>
  <si>
    <t>SIBSQ26020226</t>
  </si>
  <si>
    <t>REQ PP FEBRUARI SHE JMT</t>
  </si>
  <si>
    <t>SIBSQ26020225</t>
  </si>
  <si>
    <t>SIBSQ26020224</t>
  </si>
  <si>
    <t>REQ PT.DSP</t>
  </si>
  <si>
    <t>SIBSQ26020223</t>
  </si>
  <si>
    <t>SIBSQ26020222</t>
  </si>
  <si>
    <t>6000005864 JML</t>
  </si>
  <si>
    <t>SIBSQ26020221</t>
  </si>
  <si>
    <t>6100004043 JB GA TJG URGENT//SUPPLY TJG</t>
  </si>
  <si>
    <t>SIBSQ26020220</t>
  </si>
  <si>
    <t>SIBSQ26020219</t>
  </si>
  <si>
    <t>6000006190 JB PLANT SBB</t>
  </si>
  <si>
    <t>SIBSQ26020218</t>
  </si>
  <si>
    <t>PERMINTAAN HARGA IT EAS</t>
  </si>
  <si>
    <t>SIBSQ26020217</t>
  </si>
  <si>
    <t>SIBSQ26020216</t>
  </si>
  <si>
    <t>RFQ MILL PT.MSAM2 &gt;&gt; 002/MSAM/SUST</t>
  </si>
  <si>
    <t>SIBSQ26020215</t>
  </si>
  <si>
    <t>RFQ JMT GA ELEKTRONIK PLANNING FEB 2026</t>
  </si>
  <si>
    <t>SIBSQ26020214</t>
  </si>
  <si>
    <t>6800001335 JB-JG</t>
  </si>
  <si>
    <t>SIBSQ26020213</t>
  </si>
  <si>
    <t>KEBUTUHAN LOGISTIK JML PP MARET 2026</t>
  </si>
  <si>
    <t>SIBSQ26020212</t>
  </si>
  <si>
    <t>6000006210 JB PLANT SEI 2</t>
  </si>
  <si>
    <t>SIBSQ26020211</t>
  </si>
  <si>
    <t>REQ PPENAWARAN JHONI 57 JML</t>
  </si>
  <si>
    <t>SIBSQ26020210</t>
  </si>
  <si>
    <t>6000006245 JB PLANT TJG</t>
  </si>
  <si>
    <t>SIBSQ26020209</t>
  </si>
  <si>
    <t>6000006189 JB PLANT SEI 2</t>
  </si>
  <si>
    <t>SIBSQ26020208</t>
  </si>
  <si>
    <t>LAPTOP ASUS VIVOBOOK 14 REQ BBA SITE BOMBANA</t>
  </si>
  <si>
    <t>SIBSQ26020207</t>
  </si>
  <si>
    <t>SIBSQ26020206</t>
  </si>
  <si>
    <t>REQ DSP LIST ELEKTRIK</t>
  </si>
  <si>
    <t>SIBSQ26020205</t>
  </si>
  <si>
    <t>SIBSQ26020204</t>
  </si>
  <si>
    <t>6000006242 STM</t>
  </si>
  <si>
    <t>SIBSQ26020203</t>
  </si>
  <si>
    <t>SIBSQ26020202</t>
  </si>
  <si>
    <t>SIBSQ26020201</t>
  </si>
  <si>
    <t>6500002161 STM</t>
  </si>
  <si>
    <t>SIBSQ26020200</t>
  </si>
  <si>
    <t>6800001394 JB-JG</t>
  </si>
  <si>
    <t>SIBSQ26020199</t>
  </si>
  <si>
    <t>REQ JG LAB</t>
  </si>
  <si>
    <t>SIBSQ26020198</t>
  </si>
  <si>
    <t>REQ JB GA SEI SBB//TRAFFIC LIGHT</t>
  </si>
  <si>
    <t>SIBSQ26020197</t>
  </si>
  <si>
    <t>SIBSQ26020196</t>
  </si>
  <si>
    <t>6000005778 JML</t>
  </si>
  <si>
    <t>SIBSQ26020195</t>
  </si>
  <si>
    <t>REQ PENAWARAN JEK</t>
  </si>
  <si>
    <t>SIBSQ26020194</t>
  </si>
  <si>
    <t>E-31/SOF/JHONLIN 001/II-26 JMT-STM</t>
  </si>
  <si>
    <t>SIBSQ26020193</t>
  </si>
  <si>
    <t>6000006135 JB PLANT SBB</t>
  </si>
  <si>
    <t>SIBSQ26020192</t>
  </si>
  <si>
    <t>6000006092 JB PLANT SBB</t>
  </si>
  <si>
    <t>SIBSQ26020191</t>
  </si>
  <si>
    <t>6100003922 MS JMT DD 14/04/26</t>
  </si>
  <si>
    <t>SIBSQ26020190</t>
  </si>
  <si>
    <t>6000006036 DSP BUNATI</t>
  </si>
  <si>
    <t>SIBSQ26020189</t>
  </si>
  <si>
    <t>P00084 JEK</t>
  </si>
  <si>
    <t>SIBSQ26020188</t>
  </si>
  <si>
    <t>60000006035 DSP GROGOT</t>
  </si>
  <si>
    <t>SIBSQ26020187</t>
  </si>
  <si>
    <t>5001219463 JA</t>
  </si>
  <si>
    <t>SIBSQ26020186</t>
  </si>
  <si>
    <t>6000006111 JML</t>
  </si>
  <si>
    <t>SIBSQ26020185</t>
  </si>
  <si>
    <t>6000006113 JML</t>
  </si>
  <si>
    <t>SIBSQ26020184</t>
  </si>
  <si>
    <t>6100003942 OPS JMT DD 16/04/2026 (PLUS SERTIFIKAT DAN KALIBRASI)</t>
  </si>
  <si>
    <t>SIBSQ26020098</t>
  </si>
  <si>
    <t>REQ JB GA SBB//MATERIAL LISTRIK</t>
  </si>
  <si>
    <t>SIBSQ26020183</t>
  </si>
  <si>
    <t>SIBSQ26020182</t>
  </si>
  <si>
    <t>REQ JB PLANT SEI 2//PAK SAUKANI</t>
  </si>
  <si>
    <t>SIBSQ26020181</t>
  </si>
  <si>
    <t>RB_XXVI-00.01 // RUMAH BANJAR // JG</t>
  </si>
  <si>
    <t>SIBSQ26020180</t>
  </si>
  <si>
    <t>REQ JB GA SEI 2//ELEKTRIKAL</t>
  </si>
  <si>
    <t>SIBSQ26020179</t>
  </si>
  <si>
    <t>SPB 01096 // BBA KALTIM</t>
  </si>
  <si>
    <t>SIBSQ26020178</t>
  </si>
  <si>
    <t>RFQ PT.MSAM1_030/MSAM/WS-MSAM</t>
  </si>
  <si>
    <t>SIBSQ26020177</t>
  </si>
  <si>
    <t>SPB 01104 // BBA KALTIM</t>
  </si>
  <si>
    <t>SIBSQ26020176</t>
  </si>
  <si>
    <t>REQ PAG</t>
  </si>
  <si>
    <t>SIBSQ26020175</t>
  </si>
  <si>
    <t>PAG-RFQ UPS &amp; AC LEB</t>
  </si>
  <si>
    <t>SIBSQ26020174</t>
  </si>
  <si>
    <t>SIBSQ26020173</t>
  </si>
  <si>
    <t>6800001321 JB INFRA SEI 2 (KEP. KM51)</t>
  </si>
  <si>
    <t>SIBSQ26020045</t>
  </si>
  <si>
    <t>PERMINTAAN PENAWARAN HARGA KAM-1</t>
  </si>
  <si>
    <t>SIBSQ26020172</t>
  </si>
  <si>
    <t>SIBSQ26020171</t>
  </si>
  <si>
    <t>6100003873 DSP BATU AMPAR</t>
  </si>
  <si>
    <t>SIBSQ26020170</t>
  </si>
  <si>
    <t>SIBSQ26020169</t>
  </si>
  <si>
    <t>SIBSQ26020168</t>
  </si>
  <si>
    <t>SIBSQ26020167</t>
  </si>
  <si>
    <t>SIBSQ26020166</t>
  </si>
  <si>
    <t>REQ JG JSS</t>
  </si>
  <si>
    <t>SIBSQ26020165</t>
  </si>
  <si>
    <t>5001219458 JA</t>
  </si>
  <si>
    <t>SIBSQ26020164</t>
  </si>
  <si>
    <t>Need Approve</t>
  </si>
  <si>
    <t>REQ JB SEI 2 TOOLS</t>
  </si>
  <si>
    <t>SIBSQ26020163</t>
  </si>
  <si>
    <t>REQ RFQ PP-JMT-0001-II-2026 - MV JHONLIN 002</t>
  </si>
  <si>
    <t>SIBSQ26020162</t>
  </si>
  <si>
    <t>REQ RFQ PT.JHONLIN MARINE LINES PERMINTAAN BALOK KAYU ULIN JHONI 57</t>
  </si>
  <si>
    <t>SIBSQ26020161</t>
  </si>
  <si>
    <t>6800001348 JB-JG</t>
  </si>
  <si>
    <t>SIBSQ26020159</t>
  </si>
  <si>
    <t>REQ BBA TUAL // SPB 00252 // TAMBAHAN</t>
  </si>
  <si>
    <t>SIBSQ26020158</t>
  </si>
  <si>
    <t>REQ RFQ EAB OPS PLANNING FEB 2025 - SUPPLY BATAM</t>
  </si>
  <si>
    <t>SIBSQ26020043</t>
  </si>
  <si>
    <t>PERMINTAAN LOGISTIK EAS</t>
  </si>
  <si>
    <t>SIBSQ26020156</t>
  </si>
  <si>
    <t>REQ JB PERUM. KM 54</t>
  </si>
  <si>
    <t>SIBSQ26020155</t>
  </si>
  <si>
    <t>PENAWARAN HARGA PT. JGAT JAYA SENTOSA</t>
  </si>
  <si>
    <t>SIBSQ26020154</t>
  </si>
  <si>
    <t>REQ RFQ PP-STM-0009-II-2026</t>
  </si>
  <si>
    <t>SIBSQ26020153</t>
  </si>
  <si>
    <t>PENAWRAN HARGA PT. JAGAT JAYA SENTOSA//SIBSQ26020153</t>
  </si>
  <si>
    <t>SIBSQ26020152</t>
  </si>
  <si>
    <t>6500001947 JMTLV 001</t>
  </si>
  <si>
    <t>SIBSQ26020151</t>
  </si>
  <si>
    <t>REQ PENAWARAN JMT (PAK ADIATMA)</t>
  </si>
  <si>
    <t>SIBSQ26020150</t>
  </si>
  <si>
    <t>REQ E-31/SOF/JHONLIN 001/II-26 JMT-STM</t>
  </si>
  <si>
    <t>SIBSQ26020149</t>
  </si>
  <si>
    <t>PENAWRAN HARGA LAPTOP</t>
  </si>
  <si>
    <t>SIBSQ26020148</t>
  </si>
  <si>
    <t>REQ JB PLANT SEI 2//UNIT D5K</t>
  </si>
  <si>
    <t>SIBSQ26020147</t>
  </si>
  <si>
    <t>REQ JB INFRA TOOLS</t>
  </si>
  <si>
    <t>SIBSQ26020141</t>
  </si>
  <si>
    <t>6800001283 JB PLANT TJG||WATER PUMP</t>
  </si>
  <si>
    <t>SIBSQ26020146</t>
  </si>
  <si>
    <t>6000006050 JB PLANT SBB</t>
  </si>
  <si>
    <t>SIBSQ26020145</t>
  </si>
  <si>
    <t>SIBSQ26020144</t>
  </si>
  <si>
    <t>REQ JB GA SEI 2//MATERIAL</t>
  </si>
  <si>
    <t>SIBSQ26020143</t>
  </si>
  <si>
    <t>REQ DSP PAK DAUS</t>
  </si>
  <si>
    <t>SIBSQ26020142</t>
  </si>
  <si>
    <t>SIBSQ26020140</t>
  </si>
  <si>
    <t>CV  DE HARMONY  TOWN HOUSE</t>
  </si>
  <si>
    <t>PENAWARAN HARGA UNIT AC HARMONY TOWN HOUSE</t>
  </si>
  <si>
    <t>SIBSQ26020139</t>
  </si>
  <si>
    <t>6100003926 DSP SEI 2 (SERONGGA)</t>
  </si>
  <si>
    <t>SIBSQ26020138</t>
  </si>
  <si>
    <t>SIBSQ26020137</t>
  </si>
  <si>
    <t>6000006061 JB HSE TJG</t>
  </si>
  <si>
    <t>SIBSQ26020136</t>
  </si>
  <si>
    <t>REQ DSP PAK CHIKO</t>
  </si>
  <si>
    <t>SIBSQ26020135</t>
  </si>
  <si>
    <t>REQ Deck D-01/HI 03/I-26 STM</t>
  </si>
  <si>
    <t>SIBSQ26020134</t>
  </si>
  <si>
    <t>5001219448 JA</t>
  </si>
  <si>
    <t>SIBSQ26020133</t>
  </si>
  <si>
    <t>6100003877 JB HSE SBB</t>
  </si>
  <si>
    <t>SIBSQ26020132</t>
  </si>
  <si>
    <t>6000006037 JB HSE SBB</t>
  </si>
  <si>
    <t>SIBSQ26020131</t>
  </si>
  <si>
    <t>REQ DSP PAK DEBIN</t>
  </si>
  <si>
    <t>SIBSQ26020130</t>
  </si>
  <si>
    <t>RFQ MILL PT.MSAM2 &gt;&gt; 005/MSAM/SBTE</t>
  </si>
  <si>
    <t>SIBSQ26020129</t>
  </si>
  <si>
    <t>SIBSQ-26010230</t>
  </si>
  <si>
    <t>PENAWARAN HARGA PART AC TRUCK</t>
  </si>
  <si>
    <t>PEMBAYARAN INVOICE 14 HARI</t>
  </si>
  <si>
    <t>SQ-26010246</t>
  </si>
  <si>
    <t>6800001411 JB HSE TJG</t>
  </si>
  <si>
    <t>SQ-25120025</t>
  </si>
  <si>
    <t>REQ JAT/ LAPTOP LENOVO</t>
  </si>
  <si>
    <t>SIBSQ26020128</t>
  </si>
  <si>
    <t>REQ DBA KTT</t>
  </si>
  <si>
    <t>SIBSQ26020127</t>
  </si>
  <si>
    <t>REQ CONSUMABLE JAR</t>
  </si>
  <si>
    <t>SIBSQ26020126</t>
  </si>
  <si>
    <t>REQ JB GA SEI 2||TOOLS</t>
  </si>
  <si>
    <t>SIBSQ26020125</t>
  </si>
  <si>
    <t>5001219442 JA</t>
  </si>
  <si>
    <t>SIBSQ26020124</t>
  </si>
  <si>
    <t>REQ JB GA SEI 2||ELEC</t>
  </si>
  <si>
    <t>SIBSQ26020123</t>
  </si>
  <si>
    <t>PENAWARAN HARGA KAM-1</t>
  </si>
  <si>
    <t>SIBSQ26020122</t>
  </si>
  <si>
    <t>SIBSQ26020121</t>
  </si>
  <si>
    <t>6100003718 OPS JMT</t>
  </si>
  <si>
    <t>SIBSQ26020119</t>
  </si>
  <si>
    <t>6000006031 DSP SERONGGA</t>
  </si>
  <si>
    <t>SIBSQ26020118</t>
  </si>
  <si>
    <t>6100003486 DSP BUNATI</t>
  </si>
  <si>
    <t>SIBSQ26020117</t>
  </si>
  <si>
    <t>P00030 DBA LAPTOP</t>
  </si>
  <si>
    <t>SIBSQ26020116</t>
  </si>
  <si>
    <t>SIBSQ26020115</t>
  </si>
  <si>
    <t>6000006028 OPS JMT DD 08/04/26</t>
  </si>
  <si>
    <t>SIBSQ26020114</t>
  </si>
  <si>
    <t>DISC CLUTCH REQ BBA TUAL</t>
  </si>
  <si>
    <t>SIBSQ26020112</t>
  </si>
  <si>
    <t>5001219457 JA</t>
  </si>
  <si>
    <t>SIBSQ26020110</t>
  </si>
  <si>
    <t>6000006008 JB HSE SEI 2</t>
  </si>
  <si>
    <t>SIBSQ26020109</t>
  </si>
  <si>
    <t>5001219441 JA</t>
  </si>
  <si>
    <t>SIBSQ26020108</t>
  </si>
  <si>
    <t>SIBSQ26020107</t>
  </si>
  <si>
    <t>RFQ 004-020126 JA</t>
  </si>
  <si>
    <t>SIBSQ26020106</t>
  </si>
  <si>
    <t>RFQ PT.MSAM1_030/MSAM/WS-MSAM1</t>
  </si>
  <si>
    <t>SIBSQ26020105</t>
  </si>
  <si>
    <t>RFQ CHEMICAL LAB 3</t>
  </si>
  <si>
    <t>SIBSQ26020104</t>
  </si>
  <si>
    <t>RFQ CHEMICAL LAB 2</t>
  </si>
  <si>
    <t>SIBSQ26020103</t>
  </si>
  <si>
    <t>RFQ CHEMICAL PAG 1</t>
  </si>
  <si>
    <t>SIBSQ26020102</t>
  </si>
  <si>
    <t>RFQ PT.MSAM1_007/MSAM/GSME</t>
  </si>
  <si>
    <t>SIBSQ26020101</t>
  </si>
  <si>
    <t>6500002129 JMT-STM (MV J-002)</t>
  </si>
  <si>
    <t>SIBSQ26020100</t>
  </si>
  <si>
    <t>6000005712 JB PLANT SBB//REVISI BOHLER APPROVED USER</t>
  </si>
  <si>
    <t>SIBSQ26020099</t>
  </si>
  <si>
    <t>REQ 6500002039 JMT-STM</t>
  </si>
  <si>
    <t>SIBSQ26020097</t>
  </si>
  <si>
    <t>REQ JAR KEBUN</t>
  </si>
  <si>
    <t>SIBSQ26020096</t>
  </si>
  <si>
    <t>KEBUTUHAN JAR BIO</t>
  </si>
  <si>
    <t>SIBSQ26020095</t>
  </si>
  <si>
    <t>RFQ 002-050126 THM</t>
  </si>
  <si>
    <t>SIBSQ26020094</t>
  </si>
  <si>
    <t>REQ HSE DSP</t>
  </si>
  <si>
    <t>SIBSQ26020093</t>
  </si>
  <si>
    <t>SIBSQ26020090</t>
  </si>
  <si>
    <t>SIBSQ26020089</t>
  </si>
  <si>
    <t>SIBSQ26020088</t>
  </si>
  <si>
    <t>REQ JG</t>
  </si>
  <si>
    <t>SIBSQ26020087</t>
  </si>
  <si>
    <t>REQ JBM</t>
  </si>
  <si>
    <t>SIBSQ26020086</t>
  </si>
  <si>
    <t>SIBSQ26020085</t>
  </si>
  <si>
    <t>REQ DSP ( PAK OZAN )</t>
  </si>
  <si>
    <t>SIBSQ26020083</t>
  </si>
  <si>
    <t>REQ DSP FP ( PAK OZAN )</t>
  </si>
  <si>
    <t>SIBSQ26020082</t>
  </si>
  <si>
    <t>SIBSQ26020081</t>
  </si>
  <si>
    <t>SIBSQ26020080</t>
  </si>
  <si>
    <t>REQ PT DSP PAK CHIKO</t>
  </si>
  <si>
    <t>SIBSQ26020079</t>
  </si>
  <si>
    <t>REQ BBA STOK BARANG AKTIF</t>
  </si>
  <si>
    <t>SIBSQ26020078</t>
  </si>
  <si>
    <t>SIBSQ26020077</t>
  </si>
  <si>
    <t>REQ PT.DSP ELECTRICAL</t>
  </si>
  <si>
    <t>SIBSQ26020075</t>
  </si>
  <si>
    <t>SIBSQ26020074</t>
  </si>
  <si>
    <t>SIBSQ26020073</t>
  </si>
  <si>
    <t>SIBSQ26020072</t>
  </si>
  <si>
    <t>P00483 PP-EAB-0001-I-2026 - ENERGI ARMADA SUPPLY BATAM</t>
  </si>
  <si>
    <t>SIBSQ26020071</t>
  </si>
  <si>
    <t>6100003831 DSP BUNATI</t>
  </si>
  <si>
    <t>SIBSQ26020070</t>
  </si>
  <si>
    <t>RFQ PP-JMT-0007-I-2026 - MV J-001</t>
  </si>
  <si>
    <t>SIBSQ26020069</t>
  </si>
  <si>
    <t>6000006030 DSP BATU AMPAR</t>
  </si>
  <si>
    <t>SIBSQ26020068</t>
  </si>
  <si>
    <t>7000000386 MSAM</t>
  </si>
  <si>
    <t>SIBSQ26020067</t>
  </si>
  <si>
    <t>6000005986 SHE JMT DD 06/04/26</t>
  </si>
  <si>
    <t>SIBSQ26020066</t>
  </si>
  <si>
    <t>6000005954 SHE JMT DD 05/04/26</t>
  </si>
  <si>
    <t>SIBSQ26020065</t>
  </si>
  <si>
    <t>6000005985 JB PLANT SEI 2</t>
  </si>
  <si>
    <t>SIBSQ26020064</t>
  </si>
  <si>
    <t>6000005964 JB PLANT SBB</t>
  </si>
  <si>
    <t>SIBSQ26020063</t>
  </si>
  <si>
    <t>PERMINTAAN PUBLICATION ONBOARD STM</t>
  </si>
  <si>
    <t>SIBSQ26020062</t>
  </si>
  <si>
    <t>REQ JG LAB//ITEM REGISTER READY STOCK</t>
  </si>
  <si>
    <t>SIBSQ26020061</t>
  </si>
  <si>
    <t>RFQ JMT OPS PLANNING JAN 2026 - SPOB JHONI XLVII</t>
  </si>
  <si>
    <t>SIBSQ26020060</t>
  </si>
  <si>
    <t>REQ ONO CRAFT</t>
  </si>
  <si>
    <t>SIBSQ26020059</t>
  </si>
  <si>
    <t>6000005493 JMT-STM</t>
  </si>
  <si>
    <t>SIBSQ26020058</t>
  </si>
  <si>
    <t>REQ JB SEI 2||TOOLS SERIVCE</t>
  </si>
  <si>
    <t>SIBSQ26020056</t>
  </si>
  <si>
    <t>SPB 23216 // REQ BBA</t>
  </si>
  <si>
    <t>SIBSQ26020055</t>
  </si>
  <si>
    <t>6500002151 JB PLANT TJG</t>
  </si>
  <si>
    <t>SIBSQ26020054</t>
  </si>
  <si>
    <t>SIBSQ26020053</t>
  </si>
  <si>
    <t>REQ FC JHONI 57 JML</t>
  </si>
  <si>
    <t>SIBSQ26020052</t>
  </si>
  <si>
    <t>BARAMEGA CITRA MULIA PERSADA</t>
  </si>
  <si>
    <t>Request BCMP</t>
  </si>
  <si>
    <t>SIBSQ26020051</t>
  </si>
  <si>
    <t>REQ JB PLANT SEI 2 SIRINE &amp; TOA</t>
  </si>
  <si>
    <t>SIBSQ26020050</t>
  </si>
  <si>
    <t>SPB 23215 // REQ BBA</t>
  </si>
  <si>
    <t>SIBSQ26020048</t>
  </si>
  <si>
    <t>REQ MV.JHONLIN 002 JMT-STM</t>
  </si>
  <si>
    <t>SIBSQ26020047</t>
  </si>
  <si>
    <t>LEM CONVEYOR REQ BBA</t>
  </si>
  <si>
    <t>SIBSQ26020046</t>
  </si>
  <si>
    <t>KEBUTUHAN ELECTRICAL JG</t>
  </si>
  <si>
    <t>SIBSQ26020044</t>
  </si>
  <si>
    <t>2026-GS-II-003 // CIVIL JG</t>
  </si>
  <si>
    <t>SIBSQ26020042</t>
  </si>
  <si>
    <t>6500002039 JMT-STM</t>
  </si>
  <si>
    <t>SIBSQ26020041</t>
  </si>
  <si>
    <t>REQ APD JAR</t>
  </si>
  <si>
    <t>SIBSQ26020040</t>
  </si>
  <si>
    <t>REQ E-25/MV.JHONLIN001/-26 JMT-STM</t>
  </si>
  <si>
    <t>SIBSQ26020039</t>
  </si>
  <si>
    <t>REQ JBM BOMBANA</t>
  </si>
  <si>
    <t>SIBSQ26020038</t>
  </si>
  <si>
    <t>P007740 // REQ BBA // DD 30-03-2026</t>
  </si>
  <si>
    <t>SIBSQ26020037</t>
  </si>
  <si>
    <t>P007741 // URGENT BBA // FULL PAYMENT</t>
  </si>
  <si>
    <t>SIBSQ26020036</t>
  </si>
  <si>
    <t>REQ DSP PAK OZAN</t>
  </si>
  <si>
    <t>SIBSQ26020035</t>
  </si>
  <si>
    <t>SIBSQ26020034</t>
  </si>
  <si>
    <t>SIBSQ26020033</t>
  </si>
  <si>
    <t>REQ DSP PAK CHIKO KEP. DREDGING</t>
  </si>
  <si>
    <t>SIBSQ26020031</t>
  </si>
  <si>
    <t>BARANG SUDAH DIAMBIL // OCPO.26020012</t>
  </si>
  <si>
    <t>SIBSQ26020030</t>
  </si>
  <si>
    <t>6000007144 JB HSE SBB</t>
  </si>
  <si>
    <t>SIBSQ26020029</t>
  </si>
  <si>
    <t>6500002022 JMT-STM</t>
  </si>
  <si>
    <t>SIBSQ26020028</t>
  </si>
  <si>
    <t>PLASTIK MARKING SIR20 JAM</t>
  </si>
  <si>
    <t>SIBSQ26020027</t>
  </si>
  <si>
    <t>REQ JAR BIO</t>
  </si>
  <si>
    <t>SIBSQ26020026</t>
  </si>
  <si>
    <t>SIBSQ26020022</t>
  </si>
  <si>
    <t>REQ DSP WANAM (PAK ALI)</t>
  </si>
  <si>
    <t>SIBSQ26020021</t>
  </si>
  <si>
    <t>SIBSQ26020020</t>
  </si>
  <si>
    <t>REQ ALAT IT JAR MILL</t>
  </si>
  <si>
    <t>SIBSQ26020017</t>
  </si>
  <si>
    <t>6100003745 DSP SEI 2</t>
  </si>
  <si>
    <t>SIBSQ26020015</t>
  </si>
  <si>
    <t>SIBSQ26020014</t>
  </si>
  <si>
    <t>6100003743 DSP GROGOT</t>
  </si>
  <si>
    <t>SIBSQ26020013</t>
  </si>
  <si>
    <t>SIBSQ26020012</t>
  </si>
  <si>
    <t>SIBSQ26020011</t>
  </si>
  <si>
    <t>REQ DBA KINGSTON FURY</t>
  </si>
  <si>
    <t>SIBSQ26020010</t>
  </si>
  <si>
    <t>REQ PAG BOMBANA</t>
  </si>
  <si>
    <t>SIBSQ26020009</t>
  </si>
  <si>
    <t>6500002052 STM</t>
  </si>
  <si>
    <t>SIBSQ26020008</t>
  </si>
  <si>
    <t>PT.BAJANG RATU ENGINERING</t>
  </si>
  <si>
    <t>PENAWARAN PROYEK MAINCON NUNUKAN</t>
  </si>
  <si>
    <t>SIBSQ26020007</t>
  </si>
  <si>
    <t>REQ JB PLANT SBB PAK PRADANA</t>
  </si>
  <si>
    <t>SIBSQ26020006</t>
  </si>
  <si>
    <t>REQ PENAWARAN OPS JML</t>
  </si>
  <si>
    <t>SIBSQ26020005</t>
  </si>
  <si>
    <t>SIBSQ26020004</t>
  </si>
  <si>
    <t>SIBSQ26020003</t>
  </si>
  <si>
    <t>REQ JAT MESIN FINGER PRINT</t>
  </si>
  <si>
    <t>SIBSQ26020002</t>
  </si>
  <si>
    <t>6500002048 MV-JHONLIN 001 JMT-STM</t>
  </si>
  <si>
    <t>SQ-26010372</t>
  </si>
  <si>
    <t>7000000369 MSAM 1 ; SIBNPR26020009</t>
  </si>
  <si>
    <t>SQ-26010371</t>
  </si>
  <si>
    <t>REQ JB HSE SEI 2</t>
  </si>
  <si>
    <t>SQ-26010369</t>
  </si>
  <si>
    <t>6000005884 DSP SERONGGA URGENT 28/03/2026</t>
  </si>
  <si>
    <t>SQ-26010368</t>
  </si>
  <si>
    <t>7000000371 MSAM 1</t>
  </si>
  <si>
    <t>SQ-26010367</t>
  </si>
  <si>
    <t>7000000371 MSAM 1 ;</t>
  </si>
  <si>
    <t>SQ-26010366</t>
  </si>
  <si>
    <t>6000005882 DSP SEI 2</t>
  </si>
  <si>
    <t>SQ-26010365</t>
  </si>
  <si>
    <t>SQ-26010364</t>
  </si>
  <si>
    <t>6000005877 DSP BATU AMPAR (SEI 2)</t>
  </si>
  <si>
    <t>SQ-26010363</t>
  </si>
  <si>
    <t>TIDAK DIPAKAI</t>
  </si>
  <si>
    <t>SQ-26010362</t>
  </si>
  <si>
    <t>SQ-26010361</t>
  </si>
  <si>
    <t>P007279 // JBM BOMBANA // DD 01-03-2026</t>
  </si>
  <si>
    <t>SQ-26010360</t>
  </si>
  <si>
    <t>7000000372 MSAM</t>
  </si>
  <si>
    <t>SQ-26010359</t>
  </si>
  <si>
    <t>6000005871 DSP BUNATI</t>
  </si>
  <si>
    <t>SQ-26010358</t>
  </si>
  <si>
    <t>7000000372 MSAM-1</t>
  </si>
  <si>
    <t>SQ-26010357</t>
  </si>
  <si>
    <t>REQ E-11/RF/JL002/I-26 JMT (PIC RIKO)</t>
  </si>
  <si>
    <t>SQ-26010356</t>
  </si>
  <si>
    <t>7000000373 MSAM 1</t>
  </si>
  <si>
    <t>SQ-26010355</t>
  </si>
  <si>
    <t>7000000376 MSAM 1 ; NPR-26010440</t>
  </si>
  <si>
    <t>SQ-26010353</t>
  </si>
  <si>
    <t>pakai lagi</t>
  </si>
  <si>
    <t>SQ-26010352</t>
  </si>
  <si>
    <t>SQ-26010351</t>
  </si>
  <si>
    <t>SQ-26010350</t>
  </si>
  <si>
    <t>REQ PENAWARAN SUPPLY ENERGI ARMADA 001 EAB</t>
  </si>
  <si>
    <t>SQ-26010349</t>
  </si>
  <si>
    <t>Re: RE: PAG - RFQ - PIPE 2026</t>
  </si>
  <si>
    <t>SQ-26010348</t>
  </si>
  <si>
    <t>SQ-26010347</t>
  </si>
  <si>
    <t>6800001129 JB PLANT TJG</t>
  </si>
  <si>
    <t>SQ-26010346</t>
  </si>
  <si>
    <t>6100003767 DSP GROGOT</t>
  </si>
  <si>
    <t>SQ-26010345</t>
  </si>
  <si>
    <t>7000000376 MSAM 1</t>
  </si>
  <si>
    <t>SQ-26010344</t>
  </si>
  <si>
    <t>REQ PENAWARAN SUPPLY ENERGI ARMADA 01 EAB</t>
  </si>
  <si>
    <t>SQ-26010343</t>
  </si>
  <si>
    <t>RFQ 002-260126 JA</t>
  </si>
  <si>
    <t>SQ-26010342</t>
  </si>
  <si>
    <t>REQ EAS PART SPANTEN L300</t>
  </si>
  <si>
    <t>SQ-26010341</t>
  </si>
  <si>
    <t>REQ DSP PAK ILWAN</t>
  </si>
  <si>
    <t>SQ-26010340</t>
  </si>
  <si>
    <t>SQ-26010339</t>
  </si>
  <si>
    <t>6000005656 MS 22/03/26</t>
  </si>
  <si>
    <t>SQ-26010338</t>
  </si>
  <si>
    <t>6100003798 JB INFRA SEI 2 (KEP. KALTIM)</t>
  </si>
  <si>
    <t>SQ-26010337</t>
  </si>
  <si>
    <t>6200000201 DSP SEI 2 (MERAUKE)</t>
  </si>
  <si>
    <t>SQ-26010336</t>
  </si>
  <si>
    <t>6000006651 JMT FABR</t>
  </si>
  <si>
    <t>SQ-26010335</t>
  </si>
  <si>
    <t>6800001274 JB INFRA SEI 2 (KEP. KM51)</t>
  </si>
  <si>
    <t>SQ-26010334</t>
  </si>
  <si>
    <t>REQ URGENT OPS JMT (SUPPLY BATAM) REV I</t>
  </si>
  <si>
    <t>SQ-26010333</t>
  </si>
  <si>
    <t>SQ-26010332</t>
  </si>
  <si>
    <t>6500002036 JB PLANT SEI 2</t>
  </si>
  <si>
    <t>SQ-26010331</t>
  </si>
  <si>
    <t>SQ-26010330</t>
  </si>
  <si>
    <t>6100003937 DSP SEI 2 (GROGOT)</t>
  </si>
  <si>
    <t>SQ-26010329</t>
  </si>
  <si>
    <t>REQ URGENT SUPPLY BATAM OPS JMT</t>
  </si>
  <si>
    <t>SQ-26010328</t>
  </si>
  <si>
    <t>FPB 001/APD/JG-SHE/I/2026 // REQ JG DEPT SHE</t>
  </si>
  <si>
    <t>SQ-26010327</t>
  </si>
  <si>
    <t>6800001272 JB-JG</t>
  </si>
  <si>
    <t>SQ-26010132</t>
  </si>
  <si>
    <t>REQ JB ENG SEI 2</t>
  </si>
  <si>
    <t>SQ-26010326</t>
  </si>
  <si>
    <t>6800001271 JB INFRA SEI 2 (KEP. KM51)</t>
  </si>
  <si>
    <t>SQ-26010325</t>
  </si>
  <si>
    <t>SQ-26010324</t>
  </si>
  <si>
    <t>6100003709 JML (REF VENDOR ASRI TEKNIK)</t>
  </si>
  <si>
    <t>SQ-26010323</t>
  </si>
  <si>
    <t>6100003775 JB INFRA SEI 2(KEP. KALTIM)</t>
  </si>
  <si>
    <t>SQ-26010321</t>
  </si>
  <si>
    <t>6000005560 GA JMT DD 11/03/26</t>
  </si>
  <si>
    <t>SQ-26010320</t>
  </si>
  <si>
    <t>6600000217 FABR JMT 25/03/26</t>
  </si>
  <si>
    <t>SQ-26010319</t>
  </si>
  <si>
    <t>RFQ PT.MSAM1 PR 4100000122</t>
  </si>
  <si>
    <t>SQ-26010318</t>
  </si>
  <si>
    <t>RFQ PT.MSAM1 PR 4000000194</t>
  </si>
  <si>
    <t>SQ-26010317</t>
  </si>
  <si>
    <t>6000005573 STM</t>
  </si>
  <si>
    <t>SQ-26010316</t>
  </si>
  <si>
    <t>6000006311 JB PLANT TJG</t>
  </si>
  <si>
    <t>SQ-26010315</t>
  </si>
  <si>
    <t>REQ  PENAWARAN OPS JML (PIC BOWO)</t>
  </si>
  <si>
    <t>SQ-26010314</t>
  </si>
  <si>
    <t>SQ-26010313</t>
  </si>
  <si>
    <t>SQ-26010312</t>
  </si>
  <si>
    <t>6500002022 JMT</t>
  </si>
  <si>
    <t>SQ-26010311</t>
  </si>
  <si>
    <t>REQ 6000005845 STM</t>
  </si>
  <si>
    <t>SQ-26010310</t>
  </si>
  <si>
    <t>SQ-26010309</t>
  </si>
  <si>
    <t>SQ-26010308</t>
  </si>
  <si>
    <t>6100003773 DSP GROGOT</t>
  </si>
  <si>
    <t>SQ-26010307</t>
  </si>
  <si>
    <t>REQ JANUARI JAR BIO</t>
  </si>
  <si>
    <t>SQ-26010306</t>
  </si>
  <si>
    <t>SEBAGIAN EDIT MANUAL</t>
  </si>
  <si>
    <t>SQ-26010305</t>
  </si>
  <si>
    <t>6100003765 DSP BUNATI</t>
  </si>
  <si>
    <t>SQ-26010304</t>
  </si>
  <si>
    <t>6100003766 DSP SEI 2</t>
  </si>
  <si>
    <t>SQ-26010303</t>
  </si>
  <si>
    <t>6100003768 DSP SEI 2</t>
  </si>
  <si>
    <t>SQ-26010302</t>
  </si>
  <si>
    <t>6100003769 DSP SEI 2</t>
  </si>
  <si>
    <t>SQ-26010301</t>
  </si>
  <si>
    <t>REQ RUNNING STORE PACKING JMT</t>
  </si>
  <si>
    <t>SQ-26010300</t>
  </si>
  <si>
    <t>SQ-26010299</t>
  </si>
  <si>
    <t>6000005835 JB PLANT SEI 2</t>
  </si>
  <si>
    <t>SQ-26010298</t>
  </si>
  <si>
    <t>6100003753 DSP GROGOT</t>
  </si>
  <si>
    <t>SQ-26010297</t>
  </si>
  <si>
    <t>6000005675 JB PLANT SBB</t>
  </si>
  <si>
    <t>SQ-26010296</t>
  </si>
  <si>
    <t>6100003759 DSP GROGOT</t>
  </si>
  <si>
    <t>SQ-26010295</t>
  </si>
  <si>
    <t>6500002110 PP-JMT-0007-I-2026 - MV J-001</t>
  </si>
  <si>
    <t>SQ-26010294</t>
  </si>
  <si>
    <t>6100003747 DSP SERONGGA</t>
  </si>
  <si>
    <t>SQ-26010293</t>
  </si>
  <si>
    <t>POMPA PASIR 3 INCH REQ OC</t>
  </si>
  <si>
    <t>SQ-26010292</t>
  </si>
  <si>
    <t>REQ KELENGKAPAN MESS JML</t>
  </si>
  <si>
    <t>SQ-26010291</t>
  </si>
  <si>
    <t>REQ AC PG</t>
  </si>
  <si>
    <t>SQ-26010290</t>
  </si>
  <si>
    <t>6100003758 INFRA SEI 2 (KEP. KALTIM)</t>
  </si>
  <si>
    <t>SQ-26010289</t>
  </si>
  <si>
    <t>6100003771 DSP GROGOT</t>
  </si>
  <si>
    <t>SQ-26010288</t>
  </si>
  <si>
    <t>REQ E-12/RF/JL002/I-26 JMT-STM</t>
  </si>
  <si>
    <t>SQ-26010287</t>
  </si>
  <si>
    <t>Aulia Rahman</t>
  </si>
  <si>
    <t>RFQ PG-WSP // BATTERY 280126</t>
  </si>
  <si>
    <t>SQ-26010286</t>
  </si>
  <si>
    <t>REQ BATTERY PG</t>
  </si>
  <si>
    <t>SQ-26010285</t>
  </si>
  <si>
    <t>6100003529 DSP BUNATI</t>
  </si>
  <si>
    <t>SQ-25120171</t>
  </si>
  <si>
    <t>6800001275 JB INFRA SEI 2 (KEP. KM51)</t>
  </si>
  <si>
    <t>SQ-26010284</t>
  </si>
  <si>
    <t>REQ RUNNING STORE ENGINE ROOM JMT</t>
  </si>
  <si>
    <t>SQ-26010283</t>
  </si>
  <si>
    <t>REQ JANUARI JAR BIO-rev</t>
  </si>
  <si>
    <t>SQ-26010282</t>
  </si>
  <si>
    <t>REQ JMT (PIC MR.AFIF)</t>
  </si>
  <si>
    <t>SQ-26010281</t>
  </si>
  <si>
    <t>REQ E-06/HI-03/I-25 JMT-STM</t>
  </si>
  <si>
    <t>SQ-26010280</t>
  </si>
  <si>
    <t>3000057548 THM</t>
  </si>
  <si>
    <t>SQ-26010279</t>
  </si>
  <si>
    <t>REQ E-14/MV.JHONLIN001/I-26 JMT-STM</t>
  </si>
  <si>
    <t>SQ-26010278</t>
  </si>
  <si>
    <t>REQ DSP GA BUNATI</t>
  </si>
  <si>
    <t>SQ-26010277</t>
  </si>
  <si>
    <t>REQ DSP BOMBANA</t>
  </si>
  <si>
    <t>SQ-26010276</t>
  </si>
  <si>
    <t>6000005709 JB PLANT SBB</t>
  </si>
  <si>
    <t>SQ-26010275</t>
  </si>
  <si>
    <t>6800001350 JB-JG PLANT</t>
  </si>
  <si>
    <t>SQ-26010274</t>
  </si>
  <si>
    <t>RFQ PG / PAKU 270126</t>
  </si>
  <si>
    <t>SQ-26010273</t>
  </si>
  <si>
    <t>6000005712 JB PLANT SBB</t>
  </si>
  <si>
    <t>SQ-26010272</t>
  </si>
  <si>
    <t>REQ RUNNING STORE ELECTRICIAN JMT</t>
  </si>
  <si>
    <t>SQ-26010271</t>
  </si>
  <si>
    <t>PT. ONO TEKNOLOGI INDONESIA</t>
  </si>
  <si>
    <t>PENAWARANA HARGA MINI STAR LINK</t>
  </si>
  <si>
    <t>SQ-26010270</t>
  </si>
  <si>
    <t>PT BANGUN KARYA PRATAMA LESTARI</t>
  </si>
  <si>
    <t>SQ-26010269</t>
  </si>
  <si>
    <t>REQ OPS STM (PIC ADIATMA)</t>
  </si>
  <si>
    <t>SQ-26010268</t>
  </si>
  <si>
    <t>SQ-26010267</t>
  </si>
  <si>
    <t>P00053 BKPL BANNER</t>
  </si>
  <si>
    <t>SQ-26010266</t>
  </si>
  <si>
    <t>SQ-26010265</t>
  </si>
  <si>
    <t>RFQ PG -MILL / FLEXIBLE HOSE 6IN 240126</t>
  </si>
  <si>
    <t>SQ-26010264</t>
  </si>
  <si>
    <t>6100003406 DSP WANAM / MERAUKE</t>
  </si>
  <si>
    <t>SQ-26010263</t>
  </si>
  <si>
    <t>REQ HSE DSP SEI 2</t>
  </si>
  <si>
    <t>SQ-26010262</t>
  </si>
  <si>
    <t>RFQ PP-JMT-0003-XII-2025 - SHE</t>
  </si>
  <si>
    <t>SQ-26010261</t>
  </si>
  <si>
    <t>6600000218 FABR JMT</t>
  </si>
  <si>
    <t>SQ-26010260</t>
  </si>
  <si>
    <t>REQ  PENGAJUAN FEBRUARI JML</t>
  </si>
  <si>
    <t>SQ-26010258</t>
  </si>
  <si>
    <t>PENAWARAN STAR LINK MINI</t>
  </si>
  <si>
    <t>SQ-26010257</t>
  </si>
  <si>
    <t>REF SQ-251215001 // 6100003732 // DD 25.03.2026</t>
  </si>
  <si>
    <t>SQ-26010256</t>
  </si>
  <si>
    <t>6800001242 JB PLANT TJG</t>
  </si>
  <si>
    <t>SQ-26010255</t>
  </si>
  <si>
    <t>6800001256 JB PLANT TJG</t>
  </si>
  <si>
    <t>SQ-26010254</t>
  </si>
  <si>
    <t>6000005711 JB PLANT SEI 2</t>
  </si>
  <si>
    <t>SQ-26010253</t>
  </si>
  <si>
    <t>6000005713 JB PLANT SEI 2</t>
  </si>
  <si>
    <t>SQ-26010252</t>
  </si>
  <si>
    <t>6000005570</t>
  </si>
  <si>
    <t>SQ-26010251</t>
  </si>
  <si>
    <t>6000005774 FABR JMT DD 25/03/26</t>
  </si>
  <si>
    <t>SQ-26010250</t>
  </si>
  <si>
    <t>6000005715 JB PLANT MDL</t>
  </si>
  <si>
    <t>SQ-26010249</t>
  </si>
  <si>
    <t>6000005716 JB PLANT MDL</t>
  </si>
  <si>
    <t>SQ-26010248</t>
  </si>
  <si>
    <t>6000005735 JB PLANT SEI 2</t>
  </si>
  <si>
    <t>SQ-26010247</t>
  </si>
  <si>
    <t>REQ KEBUTUHAN LOGISTIK JML</t>
  </si>
  <si>
    <t>SQ-26010245</t>
  </si>
  <si>
    <t>SQ-26010244</t>
  </si>
  <si>
    <t>REQ JML OPS</t>
  </si>
  <si>
    <t>SQ-26010243</t>
  </si>
  <si>
    <t>RFQ PG 001-002</t>
  </si>
  <si>
    <t>SQ-26010242</t>
  </si>
  <si>
    <t>PART UMUM REQ BBA</t>
  </si>
  <si>
    <t>SQ-26010241</t>
  </si>
  <si>
    <t>SQ-26010240</t>
  </si>
  <si>
    <t>6000005763 DSP POWER PLANT</t>
  </si>
  <si>
    <t>SQ-26010239</t>
  </si>
  <si>
    <t>6000005762 DSP POWER PLANT SEI 2</t>
  </si>
  <si>
    <t>SQ-26010238</t>
  </si>
  <si>
    <t>7000000375 MSAM1</t>
  </si>
  <si>
    <t>SQ-26010237</t>
  </si>
  <si>
    <t>6100003450 DSP MERAUKE / WANAM</t>
  </si>
  <si>
    <t>SQ-26010236</t>
  </si>
  <si>
    <t>6100003450 MERAUKE/WANAM DD 31/01/2026</t>
  </si>
  <si>
    <t>SQ-26010235</t>
  </si>
  <si>
    <t>PERMINTAAN HARGA PG - FULL PAYMENT</t>
  </si>
  <si>
    <t>SQ-26010234</t>
  </si>
  <si>
    <t>REQ OPS JMT (PIC ERIKO)</t>
  </si>
  <si>
    <t>SQ-26010233</t>
  </si>
  <si>
    <t>REQ FABR JMT (PIC ALFIAN)</t>
  </si>
  <si>
    <t>SQ-26010232</t>
  </si>
  <si>
    <t>6100003450 DSP WANAM/MARAUKE</t>
  </si>
  <si>
    <t>SQ-26010231</t>
  </si>
  <si>
    <t>REQ OTS STM (PIC ADIATMA)</t>
  </si>
  <si>
    <t>SQ-26010219</t>
  </si>
  <si>
    <t>6100003717 JB PLANT SEI 2</t>
  </si>
  <si>
    <t>SQ-26010230</t>
  </si>
  <si>
    <t>RFQ PT.MSAM1 &gt;&gt; PPNK 0001/CE-MSAM1</t>
  </si>
  <si>
    <t>SQ-26010229</t>
  </si>
  <si>
    <t>SQ-26010227</t>
  </si>
  <si>
    <t>REQ DOCKING PATRIA &amp; MANUMBAR PABRIKASI JMT</t>
  </si>
  <si>
    <t>SQ-26010226</t>
  </si>
  <si>
    <t>RFQ JBM / OIL AND TOOLS 220126</t>
  </si>
  <si>
    <t>SQ-26010225</t>
  </si>
  <si>
    <t>P007732 // BBA // DD 23-03-2026</t>
  </si>
  <si>
    <t>SQ-26010224</t>
  </si>
  <si>
    <t>6000005573 MV HI 02 STM</t>
  </si>
  <si>
    <t>SQ-26010223</t>
  </si>
  <si>
    <t>REQ PT.DSP (PAK FIRDAUS)</t>
  </si>
  <si>
    <t>SQ-26010222</t>
  </si>
  <si>
    <t>REQ JG GARDEN</t>
  </si>
  <si>
    <t>SQ-26010221</t>
  </si>
  <si>
    <t>6000005705 JB PLANT MDL</t>
  </si>
  <si>
    <t>SQ-26010220</t>
  </si>
  <si>
    <t>SQ-26010218</t>
  </si>
  <si>
    <t>6000005656 MS JMT DD 22-3-2026</t>
  </si>
  <si>
    <t>SQ-26010217</t>
  </si>
  <si>
    <t>PUR-26010034 REQ DSP</t>
  </si>
  <si>
    <t>SQ-26010180</t>
  </si>
  <si>
    <t>RFQ MILL PT.MSAM2 002/MSAM/LTRM</t>
  </si>
  <si>
    <t>SQ-26010216</t>
  </si>
  <si>
    <t>6000005639 JB PLANT SEI 2</t>
  </si>
  <si>
    <t>SQ-26010215</t>
  </si>
  <si>
    <t>6000005641 JB PLANT MDL</t>
  </si>
  <si>
    <t>SQ-26010213</t>
  </si>
  <si>
    <t>6100003529 DSP BUNATI (PARTIAL)</t>
  </si>
  <si>
    <t>SQ-26010212</t>
  </si>
  <si>
    <t>6000005656 MS JMT</t>
  </si>
  <si>
    <t>SQ-26010211</t>
  </si>
  <si>
    <t>SQ-26010210</t>
  </si>
  <si>
    <t>610003529 DSP BUNATI</t>
  </si>
  <si>
    <t>SQ-26010209</t>
  </si>
  <si>
    <t>SQ-26010207</t>
  </si>
  <si>
    <t>6100003706 JML</t>
  </si>
  <si>
    <t>SQ-26010205</t>
  </si>
  <si>
    <t>REQ PERMINTAAN EAS</t>
  </si>
  <si>
    <t>SQ-26010204</t>
  </si>
  <si>
    <t>SQ-26010203</t>
  </si>
  <si>
    <t>6100003695 // DD 20/02/2026</t>
  </si>
  <si>
    <t>SQ-26010134</t>
  </si>
  <si>
    <t>REQ DSP PARTAIL PUNYA PAK ADI ANGGORO</t>
  </si>
  <si>
    <t>SQ-26010202</t>
  </si>
  <si>
    <t>PENAWARAN MINI EXCAVATOR// PT. ONO CRAFT</t>
  </si>
  <si>
    <t>SQ-26010201</t>
  </si>
  <si>
    <t>RFQ 003-020126 JA</t>
  </si>
  <si>
    <t>SQ-26010200</t>
  </si>
  <si>
    <t>REQ FARB JMT PP JANUARI 2026</t>
  </si>
  <si>
    <t>SQ-26010199</t>
  </si>
  <si>
    <t>RFQ MILL PT.MSAM2 &gt;&gt; 001/MSAM/LTRM</t>
  </si>
  <si>
    <t>SQ-26010198</t>
  </si>
  <si>
    <t>RFQ MILL PT.MSAM1 &gt;&gt; PPNK 0021/MSAM</t>
  </si>
  <si>
    <t>SQ-26010197</t>
  </si>
  <si>
    <t>RFQ 002-210126 JA</t>
  </si>
  <si>
    <t>SQ-26010196</t>
  </si>
  <si>
    <t>SQ-26010195</t>
  </si>
  <si>
    <t>6000005620  JML</t>
  </si>
  <si>
    <t>SQ-26010194</t>
  </si>
  <si>
    <t>6000005622 JML</t>
  </si>
  <si>
    <t>SQ-26010193</t>
  </si>
  <si>
    <t>00252 // URGENT BBA TUAL</t>
  </si>
  <si>
    <t>SQ-26010192</t>
  </si>
  <si>
    <t>VIBRATOR TRUSS SCREED // REQ BBA</t>
  </si>
  <si>
    <t>SQ-26010191</t>
  </si>
  <si>
    <t>6100003450 DSP MERAUKE</t>
  </si>
  <si>
    <t>SQ-26010190</t>
  </si>
  <si>
    <t>REQ JB GA SBB//TOOLS ELEC</t>
  </si>
  <si>
    <t>SQ-26010189</t>
  </si>
  <si>
    <t>SQ-26010188</t>
  </si>
  <si>
    <t>7000000431 ; BIO</t>
  </si>
  <si>
    <t>SQ-26010187</t>
  </si>
  <si>
    <t>SQ-26010186</t>
  </si>
  <si>
    <t>6000005255 JB PLANT SBB//GANTI MASTER</t>
  </si>
  <si>
    <t>SQ-26010185</t>
  </si>
  <si>
    <t>3000057444 THM</t>
  </si>
  <si>
    <t>SQ-26010184</t>
  </si>
  <si>
    <t>CUSTOMER UMUM</t>
  </si>
  <si>
    <t>PEMBELIAN BATTERY PACK 197235</t>
  </si>
  <si>
    <t>SQ-26010183</t>
  </si>
  <si>
    <t>SQ-26010182</t>
  </si>
  <si>
    <t>REQ OPS STM</t>
  </si>
  <si>
    <t>SQ-26010181</t>
  </si>
  <si>
    <t>6500001963 OPS</t>
  </si>
  <si>
    <t>SQ-26010179</t>
  </si>
  <si>
    <t>6100004017 JML</t>
  </si>
  <si>
    <t>SQ-26010178</t>
  </si>
  <si>
    <t>6000005592 JB PLANT SEI 2</t>
  </si>
  <si>
    <t>SQ-26010177</t>
  </si>
  <si>
    <t>6800001164 JB INFRA SEI 2 (KEP. KM 51)</t>
  </si>
  <si>
    <t>SQ-26010176</t>
  </si>
  <si>
    <t>SQ-26010175</t>
  </si>
  <si>
    <t>SQ-26010174</t>
  </si>
  <si>
    <t>PT. ONO KREASI GASINDO</t>
  </si>
  <si>
    <t>Ramadhan</t>
  </si>
  <si>
    <t>PENWARAN HARGA FINDER// PT. ONO KREASI GASINDO</t>
  </si>
  <si>
    <t>SQ-26010173</t>
  </si>
  <si>
    <t>SQ-26010172</t>
  </si>
  <si>
    <t>OCPO.26010076 // Kebutuhan Fiber-Retail</t>
  </si>
  <si>
    <t>SQ-26010170</t>
  </si>
  <si>
    <t>PP-BBA-0002-I-2026 // BBA KALTIM // FULL PAYMENT</t>
  </si>
  <si>
    <t>SQ-26010169</t>
  </si>
  <si>
    <t>6000005073 OPS J7 EXPLORER</t>
  </si>
  <si>
    <t>SQ-26010167</t>
  </si>
  <si>
    <t>7100000214 EAS ; CWS</t>
  </si>
  <si>
    <t>SQ-26010166</t>
  </si>
  <si>
    <t>7000000517 MSAM</t>
  </si>
  <si>
    <t>SQ-26010165</t>
  </si>
  <si>
    <t>REQ HRGA JML</t>
  </si>
  <si>
    <t>SQ-26010147</t>
  </si>
  <si>
    <t>RFQ PT.MSAM1_0001/PPNK/GJBE</t>
  </si>
  <si>
    <t>SQ-26010164</t>
  </si>
  <si>
    <t>SQ-26010163</t>
  </si>
  <si>
    <t>ALAT UKUR REQ ONO CRAFT</t>
  </si>
  <si>
    <t>SQ-26010162</t>
  </si>
  <si>
    <t>SQ-26010161</t>
  </si>
  <si>
    <t>6100003619 JB GA SBB</t>
  </si>
  <si>
    <t>SQ-26010160</t>
  </si>
  <si>
    <t>RFQ PT.MSAM1 &gt;&gt; PPNK 001/PPNK/IT-MSAM1</t>
  </si>
  <si>
    <t>SQ-26010159</t>
  </si>
  <si>
    <t>REQ URGENT BG LIANA XXLIX FULLPYMENT JMT</t>
  </si>
  <si>
    <t>SQ-26010158</t>
  </si>
  <si>
    <t>SQ-26010157</t>
  </si>
  <si>
    <t>SQ-26010156</t>
  </si>
  <si>
    <t>6000005452 JB PLANT SBBN</t>
  </si>
  <si>
    <t>SQ-26010155</t>
  </si>
  <si>
    <t>REQ JG ELECTRICAL FPB</t>
  </si>
  <si>
    <t>SQ-26010154</t>
  </si>
  <si>
    <t>6800001282 JB TJG WP</t>
  </si>
  <si>
    <t>SQ-26010153</t>
  </si>
  <si>
    <t>SQ-26010152</t>
  </si>
  <si>
    <t>OCTAVIA</t>
  </si>
  <si>
    <t>RFQ CONSUMABLE (1) JBM</t>
  </si>
  <si>
    <t>SQ-26010151</t>
  </si>
  <si>
    <t>MATEST REQ JG</t>
  </si>
  <si>
    <t>SQ-26010149</t>
  </si>
  <si>
    <t>7000000621 PG</t>
  </si>
  <si>
    <t>SQ-26010148</t>
  </si>
  <si>
    <t>MIRAH</t>
  </si>
  <si>
    <t>DSP PAK HAMDANI</t>
  </si>
  <si>
    <t>SQ-26010146</t>
  </si>
  <si>
    <t>SQ-26010145</t>
  </si>
  <si>
    <t>6000005489 FABR</t>
  </si>
  <si>
    <t>SQ-26010144</t>
  </si>
  <si>
    <t>SQ-26010143</t>
  </si>
  <si>
    <t>FPB JG PULAU CAT MINYAK</t>
  </si>
  <si>
    <t>SQ-26010142</t>
  </si>
  <si>
    <t>SQ-26010141</t>
  </si>
  <si>
    <t>SQ-26010140</t>
  </si>
  <si>
    <t>REQ JG // BKPL</t>
  </si>
  <si>
    <t>SQ-26010139</t>
  </si>
  <si>
    <t>SQ-26010138</t>
  </si>
  <si>
    <t>PERMINTAAN PENAWARAN HARGA IT JAR KEBUN</t>
  </si>
  <si>
    <t>SQ-26010137</t>
  </si>
  <si>
    <t>AC DAIKIN UNIT ONLY REQ JG</t>
  </si>
  <si>
    <t>SQ-26010136</t>
  </si>
  <si>
    <t>6500001965 OPS STM</t>
  </si>
  <si>
    <t>SQ-26010135</t>
  </si>
  <si>
    <t>6500001966 OPS</t>
  </si>
  <si>
    <t>SQ-26010133</t>
  </si>
  <si>
    <t>RFQ JMT OPS PLANNING JAN 2026 - SPOB JHONI 047</t>
  </si>
  <si>
    <t>SQ-26010131</t>
  </si>
  <si>
    <t>SQ-26010130</t>
  </si>
  <si>
    <t>SQ-26010129</t>
  </si>
  <si>
    <t>6100003659 DSP GA SEI 2</t>
  </si>
  <si>
    <t>SQ-26010128</t>
  </si>
  <si>
    <t>EAS GROUP</t>
  </si>
  <si>
    <t>KONSINYASI DES 2025 || TEKNIK || BATCH 2</t>
  </si>
  <si>
    <t>SQ-26010127</t>
  </si>
  <si>
    <t>PT. MEGA BINTANG SANTOSO</t>
  </si>
  <si>
    <t>PENAWARAN HARGA FINDER PT. MEGA BINTANG SANTOSO</t>
  </si>
  <si>
    <t>SQ-26010126</t>
  </si>
  <si>
    <t>KONSINYASI DES 2025 || AGRO || BATCH 2</t>
  </si>
  <si>
    <t>SQ-26010125</t>
  </si>
  <si>
    <t>SQ-26010124</t>
  </si>
  <si>
    <t>REQ TOP URGENT TB.Jhoni LXII JMT</t>
  </si>
  <si>
    <t>SQ-26010123</t>
  </si>
  <si>
    <t>REQ JB GA SEI 2 (PERUM.54)</t>
  </si>
  <si>
    <t>SQ-26010122</t>
  </si>
  <si>
    <t>PERMINTAAN SARUNG TANGAN SIBIMA.ID</t>
  </si>
  <si>
    <t>SQ-26010121</t>
  </si>
  <si>
    <t>KEBUTUHAN PRIVATE GARDEN &amp; NURSERY</t>
  </si>
  <si>
    <t>SQ-26010120</t>
  </si>
  <si>
    <t>6100003438 DSP WANAM</t>
  </si>
  <si>
    <t>SQ-26010119</t>
  </si>
  <si>
    <t>PERMINTAAN HARGA EAS PAL 1</t>
  </si>
  <si>
    <t>SQ-26010118</t>
  </si>
  <si>
    <t>5001219452 JA</t>
  </si>
  <si>
    <t>SQ-26010117</t>
  </si>
  <si>
    <t>6100003440 DSP WANAM // FULL PAYMENT</t>
  </si>
  <si>
    <t>SQ-26010116</t>
  </si>
  <si>
    <t>6000005550 FABR</t>
  </si>
  <si>
    <t>SQ-26010115</t>
  </si>
  <si>
    <t>6600000210 FABR</t>
  </si>
  <si>
    <t>SQ-26010114</t>
  </si>
  <si>
    <t>DSP BUNATI PAK HAMDANI</t>
  </si>
  <si>
    <t>SQ-26010113</t>
  </si>
  <si>
    <t>DSP FIXED PLANT BUNATI</t>
  </si>
  <si>
    <t>SQ-26010112</t>
  </si>
  <si>
    <t>SQ-26010111</t>
  </si>
  <si>
    <t>6500001910 JMT-STM (MV.JHONLIN 003)</t>
  </si>
  <si>
    <t>SQ-26010110</t>
  </si>
  <si>
    <t>REQ JB GA SEI 2//CHEMICAL</t>
  </si>
  <si>
    <t>SQ-26010109</t>
  </si>
  <si>
    <t>JJS-PO26-006 JSS</t>
  </si>
  <si>
    <t>SQ-26010108</t>
  </si>
  <si>
    <t>7000000623 PG</t>
  </si>
  <si>
    <t>SQ-26010107</t>
  </si>
  <si>
    <t>6000005942 JB PLANT SEI 2</t>
  </si>
  <si>
    <t>SQ-26010106</t>
  </si>
  <si>
    <t>FPB JG DEPT GUNUNG PULAU</t>
  </si>
  <si>
    <t>SQ-26010105</t>
  </si>
  <si>
    <t>STM MV.HI03</t>
  </si>
  <si>
    <t>SQ-26010103</t>
  </si>
  <si>
    <t>6500001828 JMT-STM (MV.JHONLIN 002) FULL PAYMNET</t>
  </si>
  <si>
    <t>SQ-26010102</t>
  </si>
  <si>
    <t>SQ-26010101</t>
  </si>
  <si>
    <t>SQ-26010100</t>
  </si>
  <si>
    <t>6100003406 DSP WANAM</t>
  </si>
  <si>
    <t>SQ-26010099</t>
  </si>
  <si>
    <t>6500001904 JMT-STM (MV.JHONLIN 001)</t>
  </si>
  <si>
    <t>SQ-26010098</t>
  </si>
  <si>
    <t>SQ-26010097</t>
  </si>
  <si>
    <t>6200000179 // DD 10/03/2026</t>
  </si>
  <si>
    <t>SQ-26010096</t>
  </si>
  <si>
    <t>6000005255 JB PLANT SBB//REVISI MASTER</t>
  </si>
  <si>
    <t>SQ-26010095</t>
  </si>
  <si>
    <t>SQ-26010094</t>
  </si>
  <si>
    <t>REQ JG DEPT GUNUNG PULAU</t>
  </si>
  <si>
    <t>SQ-26010093</t>
  </si>
  <si>
    <t>SQ-26010090</t>
  </si>
  <si>
    <t>6800001203 JB-JG</t>
  </si>
  <si>
    <t>SQ-26010088</t>
  </si>
  <si>
    <t>6500001898 JMT-STM (MV.JHONLIN 002)</t>
  </si>
  <si>
    <t>SQ-26010087</t>
  </si>
  <si>
    <t>6100003642 // PERALATAN KEJA DEPT. GARDEN &amp; NURSERY</t>
  </si>
  <si>
    <t>SQ-26010086</t>
  </si>
  <si>
    <t>6500001897 JMT-STM (MV.JHONLIN 003)</t>
  </si>
  <si>
    <t>SQ-26010085</t>
  </si>
  <si>
    <t>RFQ PG / KACANGAN MB 050126</t>
  </si>
  <si>
    <t>SQ-26010084</t>
  </si>
  <si>
    <t>5001215032 JAR BIO</t>
  </si>
  <si>
    <t>SQ-26010083</t>
  </si>
  <si>
    <t>RFQ PG-WSP / CONSUMABLE 060126</t>
  </si>
  <si>
    <t>SQ-26010082</t>
  </si>
  <si>
    <t>6000005545 JB PLANT SEI 2</t>
  </si>
  <si>
    <t>SQ-26010081</t>
  </si>
  <si>
    <t>DSP DREDGING PROJECT ACEH</t>
  </si>
  <si>
    <t>SQ-26010080</t>
  </si>
  <si>
    <t>5001214006 HPJ</t>
  </si>
  <si>
    <t>SQ-26010079</t>
  </si>
  <si>
    <t>6100003570 DSP FIXED PLANT BUNATI</t>
  </si>
  <si>
    <t>SQ-26010078</t>
  </si>
  <si>
    <t>REQ JB HSE SEI 2//7 JAN</t>
  </si>
  <si>
    <t>SQ-26010077</t>
  </si>
  <si>
    <t>RFQ KAM-1 / PERGANTIAN RAM 020126</t>
  </si>
  <si>
    <t>SQ-26010076</t>
  </si>
  <si>
    <t>PT. JAMRUD ANUGERAH PERKASA</t>
  </si>
  <si>
    <t>PROYEK PEMBANGUNAN CAFFE JSC PT. JAP</t>
  </si>
  <si>
    <t>SQ-26010075</t>
  </si>
  <si>
    <t>SQ-26010074</t>
  </si>
  <si>
    <t>6500002040 JMT-STM (MV.JHONLIN 001)</t>
  </si>
  <si>
    <t>SQ-26010073</t>
  </si>
  <si>
    <t>P007707 || BBA SEI 2 FULL PAYMENT</t>
  </si>
  <si>
    <t>SQ-26010072</t>
  </si>
  <si>
    <t>JMT-STM (MV.JHONLIN 001)</t>
  </si>
  <si>
    <t>SQ-26010071</t>
  </si>
  <si>
    <t>SQ-26010070</t>
  </si>
  <si>
    <t>P004044 PAG REFF KE MEGA MURNI KIMIA // DUE DATE 30 JAN 2026</t>
  </si>
  <si>
    <t>SQ-26010069</t>
  </si>
  <si>
    <t>SQ-26010068</t>
  </si>
  <si>
    <t>RFQ. PT.JG_GARDEN (SANITARY_ELE)</t>
  </si>
  <si>
    <t>SQ-26010067</t>
  </si>
  <si>
    <t>SQ-26010066</t>
  </si>
  <si>
    <t>RFQ. PT.JG_GARDEN (TOOLS II)</t>
  </si>
  <si>
    <t>SQ-26010065</t>
  </si>
  <si>
    <t>SQ-26010061</t>
  </si>
  <si>
    <t>RFQ PT.JHONLIN AGRO RAYA KEBUTUHAN POUCH DAN KARDUS 1L &amp; 2L</t>
  </si>
  <si>
    <t>SQ-26010064</t>
  </si>
  <si>
    <t>6600000192 FABR</t>
  </si>
  <si>
    <t>SQ-26010063</t>
  </si>
  <si>
    <t>6000005476 FABR</t>
  </si>
  <si>
    <t>SQ-26010062</t>
  </si>
  <si>
    <t>6600000190 FABR</t>
  </si>
  <si>
    <t>Selvi Gusnawati Rukwan</t>
  </si>
  <si>
    <t>SQ-26010058</t>
  </si>
  <si>
    <t>SQ-26010057</t>
  </si>
  <si>
    <t>RFQ PR 3500006887 JMT</t>
  </si>
  <si>
    <t>SQ-26010056</t>
  </si>
  <si>
    <t>DSP FIXED PLANT</t>
  </si>
  <si>
    <t>SQ-26010055</t>
  </si>
  <si>
    <t>6000005607 JB PLANT SEI 2</t>
  </si>
  <si>
    <t>SQ-26010054</t>
  </si>
  <si>
    <t>SQ-26010053</t>
  </si>
  <si>
    <t>6000005427 JB PLANT SEI 2//REVISI MASTER</t>
  </si>
  <si>
    <t>SQ-26010052</t>
  </si>
  <si>
    <t>REQ STM</t>
  </si>
  <si>
    <t>SQ-26010051</t>
  </si>
  <si>
    <t>6500001941 JMT-STM (MV.JHONLIN 001)</t>
  </si>
  <si>
    <t>SQ-26010050</t>
  </si>
  <si>
    <t>6000005566 OPS</t>
  </si>
  <si>
    <t>SQ-26010049</t>
  </si>
  <si>
    <t>6000005540 JMT-STM // MV.JHONLIN 001</t>
  </si>
  <si>
    <t>SQ-26010048</t>
  </si>
  <si>
    <t>SQ-26010047</t>
  </si>
  <si>
    <t>REQ SHE EAB</t>
  </si>
  <si>
    <t>SQ-26010046</t>
  </si>
  <si>
    <t>REQ JML - PLANT</t>
  </si>
  <si>
    <t>SQ-26010045</t>
  </si>
  <si>
    <t>RFQ PG-WSP / BATTERY 060126</t>
  </si>
  <si>
    <t>SQ-25120106</t>
  </si>
  <si>
    <t>RFQ PG-MILL / SPAREPART 181225</t>
  </si>
  <si>
    <t>SQ-26010044</t>
  </si>
  <si>
    <t>PO-250821003 // Pemenuhan Suplai Agustus // Ready Stok SBM</t>
  </si>
  <si>
    <t>SQ-26010043</t>
  </si>
  <si>
    <t>6100003438 DSP MERAUKE / WANAM</t>
  </si>
  <si>
    <t>SQ-26010042</t>
  </si>
  <si>
    <t>REQ BBA MAS FARIS FULL PAYMENT</t>
  </si>
  <si>
    <t>SQ-26010041</t>
  </si>
  <si>
    <t>DSP BUNATI (PAK HAMDANY)</t>
  </si>
  <si>
    <t>SQ-26010040</t>
  </si>
  <si>
    <t>RFQ PR 3500006886 JMT</t>
  </si>
  <si>
    <t>SQ-26010039</t>
  </si>
  <si>
    <t>RFQ PR 3100003391 JMT</t>
  </si>
  <si>
    <t>SQ-26010038</t>
  </si>
  <si>
    <t>REQ JB CIVIL SEI 2</t>
  </si>
  <si>
    <t>SQ-26010037</t>
  </si>
  <si>
    <t>RFQ PR 3500006977 JMT</t>
  </si>
  <si>
    <t>SQ-26010036</t>
  </si>
  <si>
    <t>REQ JML</t>
  </si>
  <si>
    <t>SQ-26010035</t>
  </si>
  <si>
    <t>DSP KEBUTUHAN MATERIAL OPERATIONAL // FULL PAYMENT</t>
  </si>
  <si>
    <t>SQ-26010034</t>
  </si>
  <si>
    <t>REQ DSP BATU AMPAR</t>
  </si>
  <si>
    <t>SQ-26010033</t>
  </si>
  <si>
    <t>DSP PAK DEBIN</t>
  </si>
  <si>
    <t>SQ-26010032</t>
  </si>
  <si>
    <t>P007712 || BBA SEI 2 FULL PAYMENT</t>
  </si>
  <si>
    <t>SQ-26010031</t>
  </si>
  <si>
    <t>DSP BUNATI (PAK HAMDANI)</t>
  </si>
  <si>
    <t>SQ-26010030</t>
  </si>
  <si>
    <t>Fwd: RFQ PP-JMT-0006-XI-2025 - MV JHONLIN 001,002</t>
  </si>
  <si>
    <t>SQ-26010029</t>
  </si>
  <si>
    <t>P00051 BKPL</t>
  </si>
  <si>
    <t>SQ-26010028</t>
  </si>
  <si>
    <t>PT. TABALONG PRIMA RESOURCES</t>
  </si>
  <si>
    <t>P00009 TPR</t>
  </si>
  <si>
    <t>SQ-26010027</t>
  </si>
  <si>
    <t>REQ JG CIVIL FPB</t>
  </si>
  <si>
    <t>SQ-26010026</t>
  </si>
  <si>
    <t>6000005538 JB PLANT SBB</t>
  </si>
  <si>
    <t>SQ-26010025</t>
  </si>
  <si>
    <t>P00464 EAB (SUPPLY BATAM)</t>
  </si>
  <si>
    <t>SQ-26010024</t>
  </si>
  <si>
    <t>Re: Fwd: RFQ PP-JMT-0006-XI-2025 - MV JHONLIN 001,002</t>
  </si>
  <si>
    <t>SQ-26010023</t>
  </si>
  <si>
    <t>DSP DREDGING</t>
  </si>
  <si>
    <t>SQ-26010022</t>
  </si>
  <si>
    <t>PERMINTAAN PENAWARAN HARGA (PT.SIBIMA BERKARYA MANDIRI) JML</t>
  </si>
  <si>
    <t>SQ-26010021</t>
  </si>
  <si>
    <t>6500001791 OPS</t>
  </si>
  <si>
    <t>SQ-26010020</t>
  </si>
  <si>
    <t>6100003534 FABR</t>
  </si>
  <si>
    <t>SQ-26010019</t>
  </si>
  <si>
    <t>6000005486 FABR</t>
  </si>
  <si>
    <t>SQ-26010018</t>
  </si>
  <si>
    <t>6600000193 FABR</t>
  </si>
  <si>
    <t>SQ-26010017</t>
  </si>
  <si>
    <t>6600000208 FABR</t>
  </si>
  <si>
    <t>SQ-26010016</t>
  </si>
  <si>
    <t>5001212991 JAM</t>
  </si>
  <si>
    <t>SQ-26010015</t>
  </si>
  <si>
    <t>6000005528 FABR</t>
  </si>
  <si>
    <t>SQ-26010014</t>
  </si>
  <si>
    <t>6000005500 FABR</t>
  </si>
  <si>
    <t>SQ-26010013</t>
  </si>
  <si>
    <t>6600000205 FABR</t>
  </si>
  <si>
    <t>SQ-26010012</t>
  </si>
  <si>
    <t>6600000204 FABR</t>
  </si>
  <si>
    <t>SQ-26010011</t>
  </si>
  <si>
    <t>6000005493 FABR</t>
  </si>
  <si>
    <t>SQ-26010010</t>
  </si>
  <si>
    <t>SQ-26010009</t>
  </si>
  <si>
    <t>6600000199 FABR</t>
  </si>
  <si>
    <t>SQ-26010008</t>
  </si>
  <si>
    <t>6600000198 FABR (FULLPAYMENT) TB PERSADA 05</t>
  </si>
  <si>
    <t>SQ-26010007</t>
  </si>
  <si>
    <t>7000000572 PG // FULL PAYMENT</t>
  </si>
  <si>
    <t>SQ-26010006</t>
  </si>
  <si>
    <t>6100003579 DSP FIXED PLANT BUNATI</t>
  </si>
  <si>
    <t>SQ-26010004</t>
  </si>
  <si>
    <t>RFQ KAM-1 / PERGANTIAN SPAREPART 181225</t>
  </si>
  <si>
    <t>SQ-26010003</t>
  </si>
  <si>
    <t>6100003553 DSP PORT BUNATI</t>
  </si>
  <si>
    <t>SQ-26010002</t>
  </si>
  <si>
    <t>P00054 BKPL</t>
  </si>
  <si>
    <t>SQ-26010001</t>
  </si>
  <si>
    <t>SQ-25120203</t>
  </si>
  <si>
    <t>SQ-25120202</t>
  </si>
  <si>
    <t>5001214972 KAM-1 ; REF JAYATINDO</t>
  </si>
  <si>
    <t>SQ-25120201</t>
  </si>
  <si>
    <t>6100003593 DSP MOB PLANT SEI2</t>
  </si>
  <si>
    <t>SQ-25120200</t>
  </si>
  <si>
    <t>SQ-25120199</t>
  </si>
  <si>
    <t>6000005464 FABR</t>
  </si>
  <si>
    <t>SQ-25120198</t>
  </si>
  <si>
    <t>6100003564 JB PLANT SEI 2</t>
  </si>
  <si>
    <t>SQ-25120197</t>
  </si>
  <si>
    <t>6100003516 JG LAB BATUBARA</t>
  </si>
  <si>
    <t>SQ-25120196</t>
  </si>
  <si>
    <t>REQ GA JML</t>
  </si>
  <si>
    <t>SQ-25120195</t>
  </si>
  <si>
    <t>61000003595 DSP SERONGGA</t>
  </si>
  <si>
    <t>SQ-25120194</t>
  </si>
  <si>
    <t>6100003582 DSP FIXED PLANT BUNATI</t>
  </si>
  <si>
    <t>SQ-25120193</t>
  </si>
  <si>
    <t>6000005454 FABR</t>
  </si>
  <si>
    <t>SQ-25120192</t>
  </si>
  <si>
    <t>6100003586 DSP FIXED PLANT BUNATI</t>
  </si>
  <si>
    <t>SQ-25120191</t>
  </si>
  <si>
    <t>6100003568 DSP MOB PLANT BUNATI</t>
  </si>
  <si>
    <t>SQ-25120190</t>
  </si>
  <si>
    <t>6100003512 DSP MOB PLANT GROGOT</t>
  </si>
  <si>
    <t>SQ-25120189</t>
  </si>
  <si>
    <t>6800001093 JB-JG</t>
  </si>
  <si>
    <t>SQ-25120188</t>
  </si>
  <si>
    <t>5001216296 KAM-1 / FULL PAYMENT ; REF TECHNINDO</t>
  </si>
  <si>
    <t>SQ-25120186</t>
  </si>
  <si>
    <t>DSP MOB PLANT (PAK BAYU)</t>
  </si>
  <si>
    <t>SQ-25120185</t>
  </si>
  <si>
    <t>SQ-25120184</t>
  </si>
  <si>
    <t>DSP FIXED PLANT (MAS KAREN)</t>
  </si>
  <si>
    <t>SQ-25120182</t>
  </si>
  <si>
    <t>6000005427 JB PLANT SEI 2</t>
  </si>
  <si>
    <t>SQ-25120181</t>
  </si>
  <si>
    <t>5001213887 PG</t>
  </si>
  <si>
    <t>SQ-25120180</t>
  </si>
  <si>
    <t>SQ-25120179</t>
  </si>
  <si>
    <t>P00065 LPT.JEK</t>
  </si>
  <si>
    <t>SQ-25120178</t>
  </si>
  <si>
    <t>6600000196 FABR</t>
  </si>
  <si>
    <t>SQ-25120177</t>
  </si>
  <si>
    <t>6000005444 || JB SEI 2</t>
  </si>
  <si>
    <t>SQ-25120176</t>
  </si>
  <si>
    <t>6100003583 || JB HEAD OFFICE</t>
  </si>
  <si>
    <t>SQ-25120175</t>
  </si>
  <si>
    <t>SQ-25120174</t>
  </si>
  <si>
    <t>6100003591 || JB HEAD OFFICE</t>
  </si>
  <si>
    <t>SQ-25120173</t>
  </si>
  <si>
    <t>6000005485 SHE</t>
  </si>
  <si>
    <t>SQ-25120172</t>
  </si>
  <si>
    <t>6000005484 SHE</t>
  </si>
  <si>
    <t>SQ-25120170</t>
  </si>
  <si>
    <t>5001213882 PG</t>
  </si>
  <si>
    <t>SQ-25120169</t>
  </si>
  <si>
    <t>6500001879 JB PLANT SEI 2</t>
  </si>
  <si>
    <t>SQ-25120168</t>
  </si>
  <si>
    <t>5001213891 THM</t>
  </si>
  <si>
    <t>SQ-25120167</t>
  </si>
  <si>
    <t>RFQ PG-MILL / BEARING BUNCH PRESS 201225</t>
  </si>
  <si>
    <t>SQ-25120166</t>
  </si>
  <si>
    <t>Quotation Hempel Paint RFQ D-02/MV- HI 02/I-26</t>
  </si>
  <si>
    <t>SQ-25120165</t>
  </si>
  <si>
    <t>6000005359 JMT</t>
  </si>
  <si>
    <t>SQ-25120164</t>
  </si>
  <si>
    <t>6100003587 DSP PORT BUNATI</t>
  </si>
  <si>
    <t>SQ-25120163</t>
  </si>
  <si>
    <t>6000005420 JB PLANT SEI 2</t>
  </si>
  <si>
    <t>SQ-25120162</t>
  </si>
  <si>
    <t>6100003589 JB KALTIM</t>
  </si>
  <si>
    <t>SQ-25120161</t>
  </si>
  <si>
    <t>6100003589 JB INFRA SEI 2 (KEP. KALTIM)</t>
  </si>
  <si>
    <t>SQ-25120160</t>
  </si>
  <si>
    <t>6100003597 JG LAB BATUBARA</t>
  </si>
  <si>
    <t>SQ-25120159</t>
  </si>
  <si>
    <t>6100003797 JB INFRA SEI 2 (KEP. KALTIM)</t>
  </si>
  <si>
    <t>SQ-25120158</t>
  </si>
  <si>
    <t>6800001306 JB INFRA SEI 2 (KEP. KM51)</t>
  </si>
  <si>
    <t>SQ-25120157</t>
  </si>
  <si>
    <t>RFQ PG-MILL / SEPATU SAFETY 241225</t>
  </si>
  <si>
    <t>SQ-25120156</t>
  </si>
  <si>
    <t>6000005300 DSP POWER PLANT SEI2</t>
  </si>
  <si>
    <t>SQ-25120155</t>
  </si>
  <si>
    <t>P00062 PT.JEK</t>
  </si>
  <si>
    <t>SQ-25120154</t>
  </si>
  <si>
    <t>6100003567 DSP SEI2</t>
  </si>
  <si>
    <t>SQ-25120153</t>
  </si>
  <si>
    <t>6100003569 DSP WANAM</t>
  </si>
  <si>
    <t>SQ-25120152</t>
  </si>
  <si>
    <t>5001215814 JAR BIO</t>
  </si>
  <si>
    <t>SQ-25120151</t>
  </si>
  <si>
    <t>6100003551 DSP MOB PLANT</t>
  </si>
  <si>
    <t>SQ-25120150</t>
  </si>
  <si>
    <t>6000005455 JB PLANT SBB</t>
  </si>
  <si>
    <t>SQ-25120149</t>
  </si>
  <si>
    <t>5001213096 JAR  BIO</t>
  </si>
  <si>
    <t>SQ-25120148</t>
  </si>
  <si>
    <t>SQ-25120147</t>
  </si>
  <si>
    <t>6000005452 || JB PLANT SBBN</t>
  </si>
  <si>
    <t>SQ-25120145</t>
  </si>
  <si>
    <t>6500001776 OPS</t>
  </si>
  <si>
    <t>SQ-25120144</t>
  </si>
  <si>
    <t>SQ-25120143</t>
  </si>
  <si>
    <t>6100003501 JG LAB</t>
  </si>
  <si>
    <t>SQ-25120142</t>
  </si>
  <si>
    <t>6000005463 JB PLANT MDL</t>
  </si>
  <si>
    <t>SQ-25120141</t>
  </si>
  <si>
    <t>REQ OKG BARANG SDH DI AMBIL</t>
  </si>
  <si>
    <t>SQ-25120140</t>
  </si>
  <si>
    <t>CASH</t>
  </si>
  <si>
    <t>REQ BY PAK REZALI</t>
  </si>
  <si>
    <t>SQ-25120139</t>
  </si>
  <si>
    <t>SQ-25120138</t>
  </si>
  <si>
    <t>3000057424 THM</t>
  </si>
  <si>
    <t>SQ-25120137</t>
  </si>
  <si>
    <t>REQ JG PULAU BUBU IKAN</t>
  </si>
  <si>
    <t>SQ-25120136</t>
  </si>
  <si>
    <t>SQ-25120135</t>
  </si>
  <si>
    <t>5001215033 THM</t>
  </si>
  <si>
    <t>SQ-25120134</t>
  </si>
  <si>
    <t>SQ-25120133</t>
  </si>
  <si>
    <t>5001215031 THM</t>
  </si>
  <si>
    <t>SQ-25120132</t>
  </si>
  <si>
    <t>6000005462 JB PLANT SEI 2</t>
  </si>
  <si>
    <t>SQ-25120131</t>
  </si>
  <si>
    <t>6000005419 JB PLANT SEI 2</t>
  </si>
  <si>
    <t>SQ-25120130</t>
  </si>
  <si>
    <t>6000005458 JB PLANT SEI 2</t>
  </si>
  <si>
    <t>SQ-25120129</t>
  </si>
  <si>
    <t>6000005457 || JB SEI 2</t>
  </si>
  <si>
    <t>SQ-25120128</t>
  </si>
  <si>
    <t>6600000191 FABR (FULLPAYMENT)</t>
  </si>
  <si>
    <t>SQ-25120127</t>
  </si>
  <si>
    <t>6000005460 JB PLANT MDL</t>
  </si>
  <si>
    <t>SQ-25120126</t>
  </si>
  <si>
    <t>SQ-25120125</t>
  </si>
  <si>
    <t>SQ-25120124</t>
  </si>
  <si>
    <t>5001211590 JAM</t>
  </si>
  <si>
    <t>SQ-25120123</t>
  </si>
  <si>
    <t>5001213869 JAR BIO</t>
  </si>
  <si>
    <t>SQ-25120122</t>
  </si>
  <si>
    <t>5001210056 MSAM</t>
  </si>
  <si>
    <t>SQ-25120120</t>
  </si>
  <si>
    <t>6500001791 OPS J7 EXPLORER SUPPLY BATAM</t>
  </si>
  <si>
    <t>SQ-25120119</t>
  </si>
  <si>
    <t>5001208531 MSAM</t>
  </si>
  <si>
    <t>SQ-25120118</t>
  </si>
  <si>
    <t>5001208427 MSAM</t>
  </si>
  <si>
    <t>SQ-25120117</t>
  </si>
  <si>
    <t>6000005387 FABR SUPPLY PATRIA BJM</t>
  </si>
  <si>
    <t>SQ-25120116</t>
  </si>
  <si>
    <t>BENDAHARA KODIM 1022</t>
  </si>
  <si>
    <t>05/ BENDAHARA KODIM 1022-SIBIMA/XII/2025</t>
  </si>
  <si>
    <t>SQ-25120115</t>
  </si>
  <si>
    <t>6000005345 DSP FIXED PLANT BATU AMPAR</t>
  </si>
  <si>
    <t>SQ-25120114</t>
  </si>
  <si>
    <t>5001219449 JA</t>
  </si>
  <si>
    <t>SQ-25120113</t>
  </si>
  <si>
    <t>P004088 PAG REF KAVA PRIMATAMA DD 10 FEB 2026</t>
  </si>
  <si>
    <t>SQ-25120112</t>
  </si>
  <si>
    <t>6100003481 DSP GA GROGOT</t>
  </si>
  <si>
    <t>SQ-25120111</t>
  </si>
  <si>
    <t>MV. JHONLIN 001 JMT-STM</t>
  </si>
  <si>
    <t>SQ-25120110</t>
  </si>
  <si>
    <t>DSP MOB PLANT BUNATI (PAK AGAN)</t>
  </si>
  <si>
    <t>SQ-25120109</t>
  </si>
  <si>
    <t>DSP PAK AGAN</t>
  </si>
  <si>
    <t>SQ-25120108</t>
  </si>
  <si>
    <t>6500001825 OPS (SUPPLY BATAM)</t>
  </si>
  <si>
    <t>SQ-25120107</t>
  </si>
  <si>
    <t>6000005073 OPS (SUPPLY BATAM)</t>
  </si>
  <si>
    <t>SQ-25120105</t>
  </si>
  <si>
    <t>REQ JB PLANT SEI 2||FUEL FAST</t>
  </si>
  <si>
    <t>SQ-25120104</t>
  </si>
  <si>
    <t>6000005255 JB PLANT SBB</t>
  </si>
  <si>
    <t>SQ-25120103</t>
  </si>
  <si>
    <t>6500001841 OPS (SUPPLY BATAM)</t>
  </si>
  <si>
    <t>SQ-25120102</t>
  </si>
  <si>
    <t>6100003423 DSP FIXED PLANT BUNATI</t>
  </si>
  <si>
    <t>SQ-25120101</t>
  </si>
  <si>
    <t>5001206995 KAM-2 ; REF SC</t>
  </si>
  <si>
    <t>SQ-25120100</t>
  </si>
  <si>
    <t>6100003475 JB PLANT SEI 2</t>
  </si>
  <si>
    <t>SQ-25120099</t>
  </si>
  <si>
    <t>5001210033 KAM-2 ; REPEAT ORDER</t>
  </si>
  <si>
    <t>SQ-25120098</t>
  </si>
  <si>
    <t>6100003477 JG HO IA</t>
  </si>
  <si>
    <t>SQ-25120097</t>
  </si>
  <si>
    <t>6000005334 JB PLANT SEI 2</t>
  </si>
  <si>
    <t>SQ-25120096</t>
  </si>
  <si>
    <t>6100003485 JG HO PRIVATE</t>
  </si>
  <si>
    <t>SQ-25120095</t>
  </si>
  <si>
    <t>6100003451 DSP FIXED PLANT // BATU AMPAR</t>
  </si>
  <si>
    <t>SQ-25120094</t>
  </si>
  <si>
    <t>6100003422 DSP FIXED PLANT BUNATI // FULL PAYMENT</t>
  </si>
  <si>
    <t>SQ-25120092</t>
  </si>
  <si>
    <t>SQ-25120091</t>
  </si>
  <si>
    <t>SQ-25120090</t>
  </si>
  <si>
    <t>SQ-25120089</t>
  </si>
  <si>
    <t>6000005279 JB PLANT SBB</t>
  </si>
  <si>
    <t>SQ-25120087</t>
  </si>
  <si>
    <t>5001213099 KAM-3 ; REPEAT ORDER</t>
  </si>
  <si>
    <t>SQ-25120086</t>
  </si>
  <si>
    <t>5001207008 KAM-1 ; REF JAYATINDO MULIA</t>
  </si>
  <si>
    <t>SQ-25120085</t>
  </si>
  <si>
    <t>5001207035 KAM-1 ; REF MEGAWIRE ABADI</t>
  </si>
  <si>
    <t>SQ-25120084</t>
  </si>
  <si>
    <t>P004098 PAG FULLPAYMENT REF ARROW ENERGY</t>
  </si>
  <si>
    <t>SQ-25120083</t>
  </si>
  <si>
    <t>6100003457 JG HO</t>
  </si>
  <si>
    <t>SQ-25120082</t>
  </si>
  <si>
    <t>5001212991 MSAM</t>
  </si>
  <si>
    <t>SQ-25120081</t>
  </si>
  <si>
    <t>6100003744 DSP MOB PLANT</t>
  </si>
  <si>
    <t>SQ-25120080</t>
  </si>
  <si>
    <t>DSP MOB PLANT</t>
  </si>
  <si>
    <t>SQ-25120079</t>
  </si>
  <si>
    <t>6000005329 JB PLANT SEI 2</t>
  </si>
  <si>
    <t>SQ-25120078</t>
  </si>
  <si>
    <t>SQ-25120077</t>
  </si>
  <si>
    <t>5001206999 MSAM</t>
  </si>
  <si>
    <t>SQ-25120076</t>
  </si>
  <si>
    <t>SQ-25120075</t>
  </si>
  <si>
    <t>5001207491 MSAM</t>
  </si>
  <si>
    <t>SQ-25120074</t>
  </si>
  <si>
    <t>600005166 DSP FIXED PLANT BUNATI</t>
  </si>
  <si>
    <t>SQ-25120073</t>
  </si>
  <si>
    <t>5001209449 KAM-3 ; REF BERKAT INDOMAS</t>
  </si>
  <si>
    <t>SQ-25120072</t>
  </si>
  <si>
    <t>6000005257 JB PLANT SBB</t>
  </si>
  <si>
    <t>SQ-25120071</t>
  </si>
  <si>
    <t>6000005296 JB PLANT SEI 2//FULL PAYMENT</t>
  </si>
  <si>
    <t>SQ-25120070</t>
  </si>
  <si>
    <t>6100003362 DSP FIXED PLANT BUNATI // FULL PAYMENT</t>
  </si>
  <si>
    <t>SQ-25120069</t>
  </si>
  <si>
    <t>6100003360 DSP FIXED PLANT BUNATI // FULL PAYMENT</t>
  </si>
  <si>
    <t>SQ-25120068</t>
  </si>
  <si>
    <t>RFQ JMT MS ELNV PLANNING DES 2025</t>
  </si>
  <si>
    <t>SQ-25120067</t>
  </si>
  <si>
    <t>6000005274 JB PLANT SEI 2</t>
  </si>
  <si>
    <t>SQ-25120066</t>
  </si>
  <si>
    <t>6000005208 JB PLANT SEI 2</t>
  </si>
  <si>
    <t>SQ-25120065</t>
  </si>
  <si>
    <t>P00060 PT.JEK</t>
  </si>
  <si>
    <t>SQ-25120064</t>
  </si>
  <si>
    <t>5001208419 MSAM</t>
  </si>
  <si>
    <t>SQ-25120063</t>
  </si>
  <si>
    <t>REQ HARGA JML</t>
  </si>
  <si>
    <t>SQ-25120062</t>
  </si>
  <si>
    <t>5001207021 KAM-2 ; REF FORTUNA TEKNINDO</t>
  </si>
  <si>
    <t>SQ-25120061</t>
  </si>
  <si>
    <t>SQ-25120060</t>
  </si>
  <si>
    <t>SQ-25120059</t>
  </si>
  <si>
    <t>REQ URGENT OPS JMT</t>
  </si>
  <si>
    <t>SQ-25120058</t>
  </si>
  <si>
    <t>6000005195 JB PLANT SEI 2</t>
  </si>
  <si>
    <t>SQ-25120057</t>
  </si>
  <si>
    <t>5001207002 MSAM</t>
  </si>
  <si>
    <t>SQ-25120056</t>
  </si>
  <si>
    <t>6000005249 JB PLANT SBB</t>
  </si>
  <si>
    <t>SQ-25120055</t>
  </si>
  <si>
    <t>6500001819 // JB SUNGAI DUA</t>
  </si>
  <si>
    <t>SQ-25120053</t>
  </si>
  <si>
    <t>6500001843 STM (MV.003)</t>
  </si>
  <si>
    <t>SQ-25120052</t>
  </si>
  <si>
    <t>RFQ PP-JMT-0006-XI-2025 - MV JHONLIN 002,003 (REQ E-02 MV JHONLIN 002)</t>
  </si>
  <si>
    <t>SQ-25120051</t>
  </si>
  <si>
    <t>5001211672 KAM-2</t>
  </si>
  <si>
    <t>SQ-25120050</t>
  </si>
  <si>
    <t>6100003361 DSP FIXED PLANT BUNATI // FULL PAYMENT</t>
  </si>
  <si>
    <t>SQ-25120049</t>
  </si>
  <si>
    <t>P004090 PAG FULLPAYMENT //REF LANGGENG TRADA TEKNIK</t>
  </si>
  <si>
    <t>SQ-25120048</t>
  </si>
  <si>
    <t>SQ-25120047</t>
  </si>
  <si>
    <t>RFQ PP-JMT-0002-XII-2025 - MS</t>
  </si>
  <si>
    <t>SQ-25120046</t>
  </si>
  <si>
    <t>CUST UMUM PAK GONDO</t>
  </si>
  <si>
    <t>SQ-25120045</t>
  </si>
  <si>
    <t>6100003327 JB GA SBBN</t>
  </si>
  <si>
    <t>SQ-25120044</t>
  </si>
  <si>
    <t>6100003320 DSP ;MOB PLANT BATU AMPAR</t>
  </si>
  <si>
    <t>SQ-25120043</t>
  </si>
  <si>
    <t>KEPERLUAN DESA MENTEWE</t>
  </si>
  <si>
    <t>SQ-25120042</t>
  </si>
  <si>
    <t>5001206723 KAM-3 / FULL PAYMENT ; REF BERKAT ESA</t>
  </si>
  <si>
    <t>SQ-25120041</t>
  </si>
  <si>
    <t>PT. BUANA KARYA WIRATAMA</t>
  </si>
  <si>
    <t>SEMEN CURAH REQ BKW</t>
  </si>
  <si>
    <t>SQ-25120040</t>
  </si>
  <si>
    <t>SQ-25120039</t>
  </si>
  <si>
    <t>6000005065 DSP MOB PLANT GROGOT</t>
  </si>
  <si>
    <t>SQ-25120038</t>
  </si>
  <si>
    <t>5001206970 MSAM</t>
  </si>
  <si>
    <t>SQ-25120037</t>
  </si>
  <si>
    <t>SQ-25120036</t>
  </si>
  <si>
    <t>6500001810 JMT MV.JHONLIN 001 (STM)</t>
  </si>
  <si>
    <t>SQ-25120035</t>
  </si>
  <si>
    <t>6100003339 JB PLANT SBBN</t>
  </si>
  <si>
    <t>SQ-25120034</t>
  </si>
  <si>
    <t>CV SARANA USAHA</t>
  </si>
  <si>
    <t>AKI PERMINTAAN BAPAK AGUS</t>
  </si>
  <si>
    <t>SQ-25120033</t>
  </si>
  <si>
    <t>6000005070 DSP FIXED PLANT BATAM</t>
  </si>
  <si>
    <t>SQ-25120032</t>
  </si>
  <si>
    <t>6000005072 DSP FIXED PLANT // PARTIAL PAYMENT (DP 50%)</t>
  </si>
  <si>
    <t>SQ-25120031</t>
  </si>
  <si>
    <t>6000005087 DSP DREDGING</t>
  </si>
  <si>
    <t>SQ-25120030</t>
  </si>
  <si>
    <t>6100003301 DSP GA BATUAMPAR</t>
  </si>
  <si>
    <t>SQ-25120028</t>
  </si>
  <si>
    <t>5001207023 JAR 22</t>
  </si>
  <si>
    <t>SQ-25120027</t>
  </si>
  <si>
    <t>P00058 PT.JEK // FULL PAYMENT</t>
  </si>
  <si>
    <t>SQ-25120026</t>
  </si>
  <si>
    <t>P004093 PAG // FULLPAYMENT REF  PT. INDOMAKMUR LESTARI</t>
  </si>
  <si>
    <t>SQ-25120024</t>
  </si>
  <si>
    <t>6100003334 JB PLANT SBBN</t>
  </si>
  <si>
    <t>SQ-25120023</t>
  </si>
  <si>
    <t>SQ-25120022</t>
  </si>
  <si>
    <t>6100003306 JB PLANT SBBN</t>
  </si>
  <si>
    <t>SQ-25120021</t>
  </si>
  <si>
    <t>PT. ONO LOGISTIK RAYA</t>
  </si>
  <si>
    <t>PENAWARAN TERPAL</t>
  </si>
  <si>
    <t>SQ-25120020</t>
  </si>
  <si>
    <t>5001206968 MSAM</t>
  </si>
  <si>
    <t>SQ-25120019</t>
  </si>
  <si>
    <t>5001207004 MSAM</t>
  </si>
  <si>
    <t>SQ-25120018</t>
  </si>
  <si>
    <t>5001206993 MSAM</t>
  </si>
  <si>
    <t>SQ-25120017</t>
  </si>
  <si>
    <t>5001207016 MSAM</t>
  </si>
  <si>
    <t>SQ-25120016</t>
  </si>
  <si>
    <t>6100003317 JB HSE SEI 2</t>
  </si>
  <si>
    <t>SQ-25120015</t>
  </si>
  <si>
    <t>5001206996 KAM-1 ; REF LOGAM JAYA</t>
  </si>
  <si>
    <t>SQ-25120014</t>
  </si>
  <si>
    <t>6100003308 HB HSE SEI 2</t>
  </si>
  <si>
    <t>SQ-25120013</t>
  </si>
  <si>
    <t>SQ-25120011</t>
  </si>
  <si>
    <t>5001206723 KAM-3//FULL PAYMENT</t>
  </si>
  <si>
    <t>SQ-25120010</t>
  </si>
  <si>
    <t>6000005056 JB PLANT SBBN</t>
  </si>
  <si>
    <t>SQ-25120009</t>
  </si>
  <si>
    <t>KONSINYASI DESEMBER 2025 // TEKNIK</t>
  </si>
  <si>
    <t>SQ-25120007</t>
  </si>
  <si>
    <t>6800001059 JB HSE TJG</t>
  </si>
  <si>
    <t>SQ-25120006</t>
  </si>
  <si>
    <t>5001206417 KAM-1//REFF AMS</t>
  </si>
  <si>
    <t>SQ-25120005</t>
  </si>
  <si>
    <t>6800001064 JB GA SEI 2</t>
  </si>
  <si>
    <t>SQ-25120004</t>
  </si>
  <si>
    <t>SQ-25120003</t>
  </si>
  <si>
    <t>5001206843 KAM-2//REFF MMK &amp; TP</t>
  </si>
  <si>
    <t>SQ-25120002</t>
  </si>
  <si>
    <t>5001206626 KAM-1// REFF BAT// FULL PAYMENT</t>
  </si>
  <si>
    <t>SQ-25120001</t>
  </si>
  <si>
    <t>5001207024 KAM-2 ; REF BANJAR BEARING</t>
  </si>
  <si>
    <t>Week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</si>
</sst>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rgb="FF000000"/>
      <name val="Calibri"/>
    </font>
    <font>
      <sz val="12"/>
      <color rgb="FF000000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 applyFont="1"/>
    <xf numFmtId="14" fontId="0" fillId="0" borderId="0" xfId="0" applyNumberFormat="1" applyFont="1"/>
    <xf numFmtId="0" fontId="0" fillId="0" borderId="0" xfId="0" applyNumberFormat="1" applyFon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U1173"/>
  <sheetViews>
    <sheetView tabSelected="1" topLeftCell="A16" workbookViewId="0">
      <selection activeCell="A1087" sqref="A1087"/>
    </sheetView>
  </sheetViews>
  <sheetFormatPr defaultRowHeight="15.75" x14ac:dyDescent="0.25"/>
  <cols>
    <col min="1" max="1" width="4.875" bestFit="1" customWidth="1"/>
    <col min="2" max="2" width="14.375" bestFit="1" customWidth="1"/>
    <col min="3" max="3" width="10.375" bestFit="1" customWidth="1"/>
    <col min="4" max="4" width="33.25" bestFit="1" customWidth="1"/>
    <col min="5" max="5" width="28.375" bestFit="1" customWidth="1"/>
    <col min="6" max="6" width="12.25" bestFit="1" customWidth="1"/>
    <col min="7" max="7" width="9.875" bestFit="1" customWidth="1"/>
    <col min="8" max="8" width="4.375" bestFit="1" customWidth="1"/>
    <col min="9" max="9" width="85" bestFit="1" customWidth="1"/>
    <col min="10" max="10" width="27.25" bestFit="1" customWidth="1"/>
    <col min="11" max="11" width="11.875" bestFit="1" customWidth="1"/>
    <col min="12" max="12" width="9.5" bestFit="1" customWidth="1"/>
    <col min="13" max="13" width="6.375" bestFit="1" customWidth="1"/>
    <col min="14" max="14" width="11.875" bestFit="1" customWidth="1"/>
    <col min="15" max="15" width="11.75" bestFit="1" customWidth="1"/>
    <col min="16" max="16" width="12.375" bestFit="1" customWidth="1"/>
    <col min="17" max="17" width="9.25" bestFit="1" customWidth="1"/>
    <col min="18" max="18" width="13.375" bestFit="1" customWidth="1"/>
    <col min="19" max="20" width="12.5" bestFit="1" customWidth="1"/>
  </cols>
  <sheetData>
    <row r="1" spans="1:21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s="3" t="s">
        <v>2173</v>
      </c>
    </row>
    <row r="2" spans="1:21" x14ac:dyDescent="0.25">
      <c r="A2">
        <v>1</v>
      </c>
      <c r="B2" t="s">
        <v>20</v>
      </c>
      <c r="C2" s="1">
        <v>46109</v>
      </c>
      <c r="D2" t="s">
        <v>21</v>
      </c>
      <c r="E2" t="s">
        <v>22</v>
      </c>
      <c r="F2" t="s">
        <v>23</v>
      </c>
      <c r="G2" t="s">
        <v>24</v>
      </c>
      <c r="H2" s="2">
        <v>1</v>
      </c>
      <c r="I2" t="s">
        <v>25</v>
      </c>
      <c r="J2" t="s">
        <v>26</v>
      </c>
      <c r="K2">
        <v>96470588</v>
      </c>
      <c r="L2">
        <v>0</v>
      </c>
      <c r="M2">
        <v>0</v>
      </c>
      <c r="N2">
        <v>10611764.68</v>
      </c>
      <c r="O2">
        <v>0</v>
      </c>
      <c r="P2">
        <v>0</v>
      </c>
      <c r="Q2">
        <v>0</v>
      </c>
      <c r="R2">
        <v>107082352.68000001</v>
      </c>
      <c r="S2">
        <v>14470588</v>
      </c>
      <c r="T2">
        <v>14.999999792683001</v>
      </c>
      <c r="U2" t="str">
        <f>"Week " &amp;IF(DAY(C2)&gt;=24,4,INT((DAY(C2)-1)/7)+1)</f>
        <v>Week 4</v>
      </c>
    </row>
    <row r="3" spans="1:21" x14ac:dyDescent="0.25">
      <c r="A3">
        <v>2</v>
      </c>
      <c r="B3" t="s">
        <v>27</v>
      </c>
      <c r="C3" s="1">
        <v>46109</v>
      </c>
      <c r="D3" t="s">
        <v>28</v>
      </c>
      <c r="E3" t="s">
        <v>29</v>
      </c>
      <c r="F3" t="s">
        <v>30</v>
      </c>
      <c r="G3" t="s">
        <v>24</v>
      </c>
      <c r="H3" s="2">
        <v>1</v>
      </c>
      <c r="I3" t="s">
        <v>31</v>
      </c>
      <c r="K3">
        <v>45509815</v>
      </c>
      <c r="L3">
        <v>0</v>
      </c>
      <c r="M3">
        <v>0</v>
      </c>
      <c r="N3">
        <v>5006079.6500000004</v>
      </c>
      <c r="O3">
        <v>0</v>
      </c>
      <c r="P3">
        <v>0</v>
      </c>
      <c r="Q3">
        <v>0</v>
      </c>
      <c r="R3">
        <v>50515894.649999999</v>
      </c>
      <c r="S3">
        <v>3079315</v>
      </c>
      <c r="T3">
        <v>6.7662656945539998</v>
      </c>
      <c r="U3" t="str">
        <f t="shared" ref="U3:U66" si="0">"Week " &amp;IF(DAY(C3)&gt;=24,4,INT((DAY(C3)-1)/7)+1)</f>
        <v>Week 4</v>
      </c>
    </row>
    <row r="4" spans="1:21" x14ac:dyDescent="0.25">
      <c r="A4">
        <v>3</v>
      </c>
      <c r="B4" t="s">
        <v>32</v>
      </c>
      <c r="C4" s="1">
        <v>46109</v>
      </c>
      <c r="D4" t="s">
        <v>33</v>
      </c>
      <c r="E4" t="s">
        <v>34</v>
      </c>
      <c r="F4" t="s">
        <v>30</v>
      </c>
      <c r="G4" t="s">
        <v>24</v>
      </c>
      <c r="H4" s="2">
        <v>1</v>
      </c>
      <c r="I4" t="s">
        <v>35</v>
      </c>
      <c r="K4">
        <v>51845848</v>
      </c>
      <c r="L4">
        <v>0</v>
      </c>
      <c r="M4">
        <v>0</v>
      </c>
      <c r="N4">
        <v>5703043.2800000003</v>
      </c>
      <c r="O4">
        <v>0</v>
      </c>
      <c r="P4">
        <v>0</v>
      </c>
      <c r="Q4">
        <v>0</v>
      </c>
      <c r="R4">
        <v>57548891.280000001</v>
      </c>
      <c r="S4">
        <v>-1009152</v>
      </c>
      <c r="T4">
        <v>-1.9464470906136999</v>
      </c>
      <c r="U4" t="str">
        <f t="shared" si="0"/>
        <v>Week 4</v>
      </c>
    </row>
    <row r="5" spans="1:21" x14ac:dyDescent="0.25">
      <c r="A5">
        <v>4</v>
      </c>
      <c r="B5" t="s">
        <v>36</v>
      </c>
      <c r="C5" s="1">
        <v>46109</v>
      </c>
      <c r="D5" t="s">
        <v>37</v>
      </c>
      <c r="E5" t="s">
        <v>38</v>
      </c>
      <c r="F5" t="s">
        <v>39</v>
      </c>
      <c r="G5" t="s">
        <v>24</v>
      </c>
      <c r="H5" s="2">
        <v>1</v>
      </c>
      <c r="I5" t="s">
        <v>40</v>
      </c>
      <c r="K5">
        <v>156000</v>
      </c>
      <c r="L5">
        <v>0</v>
      </c>
      <c r="M5">
        <v>0</v>
      </c>
      <c r="N5">
        <v>17160</v>
      </c>
      <c r="O5">
        <v>0</v>
      </c>
      <c r="P5">
        <v>0</v>
      </c>
      <c r="Q5">
        <v>0</v>
      </c>
      <c r="R5">
        <v>173160</v>
      </c>
      <c r="S5">
        <v>48000</v>
      </c>
      <c r="T5">
        <v>30.769230769231001</v>
      </c>
      <c r="U5" t="str">
        <f t="shared" si="0"/>
        <v>Week 4</v>
      </c>
    </row>
    <row r="6" spans="1:21" x14ac:dyDescent="0.25">
      <c r="A6">
        <v>5</v>
      </c>
      <c r="B6" t="s">
        <v>41</v>
      </c>
      <c r="C6" s="1">
        <v>46109</v>
      </c>
      <c r="D6" t="s">
        <v>33</v>
      </c>
      <c r="E6" t="s">
        <v>34</v>
      </c>
      <c r="F6" t="s">
        <v>30</v>
      </c>
      <c r="G6" t="s">
        <v>24</v>
      </c>
      <c r="H6" s="2">
        <v>1</v>
      </c>
      <c r="I6" t="s">
        <v>42</v>
      </c>
      <c r="K6">
        <v>364560</v>
      </c>
      <c r="L6">
        <v>0</v>
      </c>
      <c r="M6">
        <v>0</v>
      </c>
      <c r="N6">
        <v>40101.599999999999</v>
      </c>
      <c r="O6">
        <v>0</v>
      </c>
      <c r="P6">
        <v>0</v>
      </c>
      <c r="Q6">
        <v>0</v>
      </c>
      <c r="R6">
        <v>404661.6</v>
      </c>
      <c r="S6">
        <v>364554</v>
      </c>
      <c r="T6">
        <v>99.998354180381995</v>
      </c>
      <c r="U6" t="str">
        <f t="shared" si="0"/>
        <v>Week 4</v>
      </c>
    </row>
    <row r="7" spans="1:21" x14ac:dyDescent="0.25">
      <c r="A7">
        <v>6</v>
      </c>
      <c r="B7" t="s">
        <v>43</v>
      </c>
      <c r="C7" s="1">
        <v>46109</v>
      </c>
      <c r="D7" t="s">
        <v>37</v>
      </c>
      <c r="E7" t="s">
        <v>38</v>
      </c>
      <c r="F7" t="s">
        <v>30</v>
      </c>
      <c r="G7" t="s">
        <v>24</v>
      </c>
      <c r="H7" s="2">
        <v>1</v>
      </c>
      <c r="I7" t="s">
        <v>44</v>
      </c>
      <c r="K7">
        <v>10780000</v>
      </c>
      <c r="L7">
        <v>0</v>
      </c>
      <c r="M7">
        <v>0</v>
      </c>
      <c r="N7">
        <v>1185800</v>
      </c>
      <c r="O7">
        <v>0</v>
      </c>
      <c r="P7">
        <v>0</v>
      </c>
      <c r="Q7">
        <v>0</v>
      </c>
      <c r="R7">
        <v>11965800</v>
      </c>
      <c r="S7">
        <v>1910500</v>
      </c>
      <c r="T7">
        <v>17.722634508349</v>
      </c>
      <c r="U7" t="str">
        <f t="shared" si="0"/>
        <v>Week 4</v>
      </c>
    </row>
    <row r="8" spans="1:21" x14ac:dyDescent="0.25">
      <c r="A8">
        <v>7</v>
      </c>
      <c r="B8" t="s">
        <v>45</v>
      </c>
      <c r="C8" s="1">
        <v>46109</v>
      </c>
      <c r="D8" t="s">
        <v>33</v>
      </c>
      <c r="E8" t="s">
        <v>34</v>
      </c>
      <c r="F8" t="s">
        <v>23</v>
      </c>
      <c r="G8" t="s">
        <v>24</v>
      </c>
      <c r="H8" s="2">
        <v>1</v>
      </c>
      <c r="I8" t="s">
        <v>46</v>
      </c>
      <c r="K8">
        <v>17162500</v>
      </c>
      <c r="L8">
        <v>0</v>
      </c>
      <c r="M8">
        <v>0</v>
      </c>
      <c r="N8">
        <v>1887875</v>
      </c>
      <c r="O8">
        <v>0</v>
      </c>
      <c r="P8">
        <v>0</v>
      </c>
      <c r="Q8">
        <v>0</v>
      </c>
      <c r="R8">
        <v>19050375</v>
      </c>
      <c r="S8">
        <v>4172500</v>
      </c>
      <c r="T8">
        <v>24.311726147123</v>
      </c>
      <c r="U8" t="str">
        <f t="shared" si="0"/>
        <v>Week 4</v>
      </c>
    </row>
    <row r="9" spans="1:21" x14ac:dyDescent="0.25">
      <c r="A9">
        <v>8</v>
      </c>
      <c r="B9" t="s">
        <v>47</v>
      </c>
      <c r="C9" s="1">
        <v>46108</v>
      </c>
      <c r="D9" t="s">
        <v>21</v>
      </c>
      <c r="E9" t="s">
        <v>22</v>
      </c>
      <c r="F9" t="s">
        <v>39</v>
      </c>
      <c r="G9" t="s">
        <v>24</v>
      </c>
      <c r="H9" s="2">
        <v>1</v>
      </c>
      <c r="I9" t="s">
        <v>48</v>
      </c>
      <c r="J9" t="s">
        <v>26</v>
      </c>
      <c r="K9">
        <v>8384000</v>
      </c>
      <c r="L9">
        <v>0</v>
      </c>
      <c r="M9">
        <v>0</v>
      </c>
      <c r="N9">
        <v>922240</v>
      </c>
      <c r="O9">
        <v>0</v>
      </c>
      <c r="P9">
        <v>0</v>
      </c>
      <c r="Q9">
        <v>0</v>
      </c>
      <c r="R9">
        <v>9306240</v>
      </c>
      <c r="S9">
        <v>2707243</v>
      </c>
      <c r="T9">
        <v>32.290589217556999</v>
      </c>
      <c r="U9" t="str">
        <f t="shared" si="0"/>
        <v>Week 4</v>
      </c>
    </row>
    <row r="10" spans="1:21" x14ac:dyDescent="0.25">
      <c r="A10">
        <v>9</v>
      </c>
      <c r="B10" t="s">
        <v>49</v>
      </c>
      <c r="C10" s="1">
        <v>46108</v>
      </c>
      <c r="D10" t="s">
        <v>21</v>
      </c>
      <c r="E10" t="s">
        <v>22</v>
      </c>
      <c r="F10" t="s">
        <v>30</v>
      </c>
      <c r="G10" t="s">
        <v>24</v>
      </c>
      <c r="H10" s="2">
        <v>1</v>
      </c>
      <c r="I10" t="s">
        <v>50</v>
      </c>
      <c r="J10" t="s">
        <v>26</v>
      </c>
      <c r="K10">
        <v>484235.64</v>
      </c>
      <c r="L10">
        <v>0</v>
      </c>
      <c r="M10">
        <v>0</v>
      </c>
      <c r="N10">
        <v>53265.920400000003</v>
      </c>
      <c r="O10">
        <v>0</v>
      </c>
      <c r="P10">
        <v>0</v>
      </c>
      <c r="Q10">
        <v>0</v>
      </c>
      <c r="R10">
        <v>537501.56039999996</v>
      </c>
      <c r="S10">
        <v>78830.234594594993</v>
      </c>
      <c r="T10">
        <v>16.279312814438001</v>
      </c>
      <c r="U10" t="str">
        <f t="shared" si="0"/>
        <v>Week 4</v>
      </c>
    </row>
    <row r="11" spans="1:21" x14ac:dyDescent="0.25">
      <c r="A11">
        <v>10</v>
      </c>
      <c r="B11" t="s">
        <v>51</v>
      </c>
      <c r="C11" s="1">
        <v>46108</v>
      </c>
      <c r="D11" t="s">
        <v>21</v>
      </c>
      <c r="E11" t="s">
        <v>22</v>
      </c>
      <c r="F11" t="s">
        <v>30</v>
      </c>
      <c r="G11" t="s">
        <v>24</v>
      </c>
      <c r="H11" s="2">
        <v>1</v>
      </c>
      <c r="I11" t="s">
        <v>52</v>
      </c>
      <c r="J11" t="s">
        <v>26</v>
      </c>
      <c r="K11">
        <v>6610100</v>
      </c>
      <c r="L11">
        <v>0</v>
      </c>
      <c r="M11">
        <v>0</v>
      </c>
      <c r="N11">
        <v>727111</v>
      </c>
      <c r="O11">
        <v>0</v>
      </c>
      <c r="P11">
        <v>0</v>
      </c>
      <c r="Q11">
        <v>0</v>
      </c>
      <c r="R11">
        <v>7337211</v>
      </c>
      <c r="S11">
        <v>1418478</v>
      </c>
      <c r="T11">
        <v>21.459251751107999</v>
      </c>
      <c r="U11" t="str">
        <f t="shared" si="0"/>
        <v>Week 4</v>
      </c>
    </row>
    <row r="12" spans="1:21" x14ac:dyDescent="0.25">
      <c r="A12">
        <v>11</v>
      </c>
      <c r="B12" t="s">
        <v>53</v>
      </c>
      <c r="C12" s="1">
        <v>46108</v>
      </c>
      <c r="D12" t="s">
        <v>54</v>
      </c>
      <c r="E12" t="s">
        <v>55</v>
      </c>
      <c r="F12" t="s">
        <v>23</v>
      </c>
      <c r="G12" t="s">
        <v>24</v>
      </c>
      <c r="H12" s="2">
        <v>1</v>
      </c>
      <c r="I12" t="s">
        <v>56</v>
      </c>
      <c r="J12" t="s">
        <v>57</v>
      </c>
      <c r="K12">
        <v>543633312</v>
      </c>
      <c r="L12">
        <v>0</v>
      </c>
      <c r="M12">
        <v>0</v>
      </c>
      <c r="N12">
        <v>59799664.32</v>
      </c>
      <c r="O12">
        <v>0</v>
      </c>
      <c r="P12">
        <v>0</v>
      </c>
      <c r="Q12">
        <v>0</v>
      </c>
      <c r="R12">
        <v>603432976.32000005</v>
      </c>
      <c r="S12">
        <v>201803855.02724999</v>
      </c>
      <c r="T12">
        <v>37.121318832508997</v>
      </c>
      <c r="U12" t="str">
        <f t="shared" si="0"/>
        <v>Week 4</v>
      </c>
    </row>
    <row r="13" spans="1:21" x14ac:dyDescent="0.25">
      <c r="A13">
        <v>12</v>
      </c>
      <c r="B13" t="s">
        <v>58</v>
      </c>
      <c r="C13" s="1">
        <v>46108</v>
      </c>
      <c r="D13" t="s">
        <v>21</v>
      </c>
      <c r="E13" t="s">
        <v>22</v>
      </c>
      <c r="F13" t="s">
        <v>30</v>
      </c>
      <c r="G13" t="s">
        <v>24</v>
      </c>
      <c r="H13" s="2">
        <v>1</v>
      </c>
      <c r="I13" t="s">
        <v>59</v>
      </c>
      <c r="J13" t="s">
        <v>26</v>
      </c>
      <c r="K13">
        <v>2441267</v>
      </c>
      <c r="L13">
        <v>0</v>
      </c>
      <c r="M13">
        <v>0</v>
      </c>
      <c r="N13">
        <v>268539.37</v>
      </c>
      <c r="O13">
        <v>0</v>
      </c>
      <c r="P13">
        <v>0</v>
      </c>
      <c r="Q13">
        <v>0</v>
      </c>
      <c r="R13">
        <v>2709806.37</v>
      </c>
      <c r="S13">
        <v>-33850.81</v>
      </c>
      <c r="T13">
        <v>-1.3866082652983001</v>
      </c>
      <c r="U13" t="str">
        <f t="shared" si="0"/>
        <v>Week 4</v>
      </c>
    </row>
    <row r="14" spans="1:21" x14ac:dyDescent="0.25">
      <c r="A14">
        <v>13</v>
      </c>
      <c r="B14" t="s">
        <v>60</v>
      </c>
      <c r="C14" s="1">
        <v>46108</v>
      </c>
      <c r="D14" t="s">
        <v>21</v>
      </c>
      <c r="E14" t="s">
        <v>22</v>
      </c>
      <c r="F14" t="s">
        <v>30</v>
      </c>
      <c r="G14" t="s">
        <v>24</v>
      </c>
      <c r="H14" s="2">
        <v>1</v>
      </c>
      <c r="I14" t="s">
        <v>61</v>
      </c>
      <c r="J14" t="s">
        <v>26</v>
      </c>
      <c r="K14">
        <v>1386792</v>
      </c>
      <c r="L14">
        <v>0</v>
      </c>
      <c r="M14">
        <v>0</v>
      </c>
      <c r="N14">
        <v>152547.12</v>
      </c>
      <c r="O14">
        <v>0</v>
      </c>
      <c r="P14">
        <v>0</v>
      </c>
      <c r="Q14">
        <v>0</v>
      </c>
      <c r="R14">
        <v>1539339.12</v>
      </c>
      <c r="S14">
        <v>97075.44</v>
      </c>
      <c r="T14">
        <v>7</v>
      </c>
      <c r="U14" t="str">
        <f t="shared" si="0"/>
        <v>Week 4</v>
      </c>
    </row>
    <row r="15" spans="1:21" x14ac:dyDescent="0.25">
      <c r="A15">
        <v>14</v>
      </c>
      <c r="B15" t="s">
        <v>62</v>
      </c>
      <c r="C15" s="1">
        <v>46108</v>
      </c>
      <c r="D15" t="s">
        <v>54</v>
      </c>
      <c r="E15" t="s">
        <v>55</v>
      </c>
      <c r="F15" t="s">
        <v>30</v>
      </c>
      <c r="G15" t="s">
        <v>24</v>
      </c>
      <c r="H15" s="2">
        <v>1</v>
      </c>
      <c r="I15" t="s">
        <v>63</v>
      </c>
      <c r="K15">
        <v>4782600</v>
      </c>
      <c r="L15">
        <v>0</v>
      </c>
      <c r="M15">
        <v>0</v>
      </c>
      <c r="N15">
        <v>526086</v>
      </c>
      <c r="O15">
        <v>0</v>
      </c>
      <c r="P15">
        <v>0</v>
      </c>
      <c r="Q15">
        <v>0</v>
      </c>
      <c r="R15">
        <v>5308686</v>
      </c>
      <c r="S15">
        <v>1031265</v>
      </c>
      <c r="T15">
        <v>21.562852841550999</v>
      </c>
      <c r="U15" t="str">
        <f t="shared" si="0"/>
        <v>Week 4</v>
      </c>
    </row>
    <row r="16" spans="1:21" x14ac:dyDescent="0.25">
      <c r="A16">
        <v>15</v>
      </c>
      <c r="B16" t="s">
        <v>64</v>
      </c>
      <c r="C16" s="1">
        <v>46108</v>
      </c>
      <c r="D16" t="s">
        <v>21</v>
      </c>
      <c r="E16" t="s">
        <v>22</v>
      </c>
      <c r="F16" t="s">
        <v>30</v>
      </c>
      <c r="G16" t="s">
        <v>24</v>
      </c>
      <c r="H16" s="2">
        <v>1</v>
      </c>
      <c r="I16" t="s">
        <v>65</v>
      </c>
      <c r="J16" t="s">
        <v>26</v>
      </c>
      <c r="K16">
        <v>7172199</v>
      </c>
      <c r="L16">
        <v>0</v>
      </c>
      <c r="M16">
        <v>0</v>
      </c>
      <c r="N16">
        <v>788941.89</v>
      </c>
      <c r="O16">
        <v>0</v>
      </c>
      <c r="P16">
        <v>0</v>
      </c>
      <c r="Q16">
        <v>0</v>
      </c>
      <c r="R16">
        <v>7961140.8899999997</v>
      </c>
      <c r="S16">
        <v>317636.55</v>
      </c>
      <c r="T16">
        <v>4.4287191417861997</v>
      </c>
      <c r="U16" t="str">
        <f t="shared" si="0"/>
        <v>Week 4</v>
      </c>
    </row>
    <row r="17" spans="1:21" x14ac:dyDescent="0.25">
      <c r="A17">
        <v>16</v>
      </c>
      <c r="B17" t="s">
        <v>66</v>
      </c>
      <c r="C17" s="1">
        <v>46108</v>
      </c>
      <c r="D17" t="s">
        <v>21</v>
      </c>
      <c r="E17" t="s">
        <v>22</v>
      </c>
      <c r="F17" t="s">
        <v>30</v>
      </c>
      <c r="G17" t="s">
        <v>24</v>
      </c>
      <c r="H17" s="2">
        <v>1</v>
      </c>
      <c r="I17" t="s">
        <v>67</v>
      </c>
      <c r="J17" t="s">
        <v>26</v>
      </c>
      <c r="K17">
        <v>6592000</v>
      </c>
      <c r="L17">
        <v>0</v>
      </c>
      <c r="M17">
        <v>0</v>
      </c>
      <c r="N17">
        <v>725120</v>
      </c>
      <c r="O17">
        <v>0</v>
      </c>
      <c r="P17">
        <v>0</v>
      </c>
      <c r="Q17">
        <v>0</v>
      </c>
      <c r="R17">
        <v>7317120</v>
      </c>
      <c r="S17">
        <v>6591998</v>
      </c>
      <c r="T17">
        <v>99.999969660193997</v>
      </c>
      <c r="U17" t="str">
        <f t="shared" si="0"/>
        <v>Week 4</v>
      </c>
    </row>
    <row r="18" spans="1:21" x14ac:dyDescent="0.25">
      <c r="A18">
        <v>17</v>
      </c>
      <c r="B18" t="s">
        <v>68</v>
      </c>
      <c r="C18" s="1">
        <v>46108</v>
      </c>
      <c r="D18" t="s">
        <v>21</v>
      </c>
      <c r="E18" t="s">
        <v>22</v>
      </c>
      <c r="F18" t="s">
        <v>30</v>
      </c>
      <c r="G18" t="s">
        <v>24</v>
      </c>
      <c r="H18" s="2">
        <v>1</v>
      </c>
      <c r="I18" t="s">
        <v>69</v>
      </c>
      <c r="J18" t="s">
        <v>26</v>
      </c>
      <c r="K18">
        <v>9548070</v>
      </c>
      <c r="L18">
        <v>0</v>
      </c>
      <c r="M18">
        <v>0</v>
      </c>
      <c r="N18">
        <v>1050287.7</v>
      </c>
      <c r="O18">
        <v>0</v>
      </c>
      <c r="P18">
        <v>0</v>
      </c>
      <c r="Q18">
        <v>0</v>
      </c>
      <c r="R18">
        <v>10598357.699999999</v>
      </c>
      <c r="S18">
        <v>153731.4</v>
      </c>
      <c r="T18">
        <v>1.6100782671261999</v>
      </c>
      <c r="U18" t="str">
        <f t="shared" si="0"/>
        <v>Week 4</v>
      </c>
    </row>
    <row r="19" spans="1:21" x14ac:dyDescent="0.25">
      <c r="A19">
        <v>18</v>
      </c>
      <c r="B19" t="s">
        <v>70</v>
      </c>
      <c r="C19" s="1">
        <v>46108</v>
      </c>
      <c r="D19" t="s">
        <v>37</v>
      </c>
      <c r="E19" t="s">
        <v>38</v>
      </c>
      <c r="F19" t="s">
        <v>30</v>
      </c>
      <c r="G19" t="s">
        <v>24</v>
      </c>
      <c r="H19" s="2">
        <v>1</v>
      </c>
      <c r="I19" t="s">
        <v>71</v>
      </c>
      <c r="K19">
        <v>180000000</v>
      </c>
      <c r="L19">
        <v>0</v>
      </c>
      <c r="M19">
        <v>0</v>
      </c>
      <c r="N19">
        <v>19800000</v>
      </c>
      <c r="O19">
        <v>0</v>
      </c>
      <c r="P19">
        <v>0</v>
      </c>
      <c r="Q19">
        <v>0</v>
      </c>
      <c r="R19">
        <v>199800000</v>
      </c>
      <c r="S19">
        <v>10000000</v>
      </c>
      <c r="T19">
        <v>5.5555555555555998</v>
      </c>
      <c r="U19" t="str">
        <f t="shared" si="0"/>
        <v>Week 4</v>
      </c>
    </row>
    <row r="20" spans="1:21" x14ac:dyDescent="0.25">
      <c r="A20">
        <v>19</v>
      </c>
      <c r="B20" t="s">
        <v>72</v>
      </c>
      <c r="C20" s="1">
        <v>46108</v>
      </c>
      <c r="D20" t="s">
        <v>21</v>
      </c>
      <c r="E20" t="s">
        <v>22</v>
      </c>
      <c r="F20" t="s">
        <v>30</v>
      </c>
      <c r="G20" t="s">
        <v>24</v>
      </c>
      <c r="H20" s="2">
        <v>1</v>
      </c>
      <c r="I20" t="s">
        <v>73</v>
      </c>
      <c r="K20">
        <v>15544820.76</v>
      </c>
      <c r="L20">
        <v>0</v>
      </c>
      <c r="M20">
        <v>0</v>
      </c>
      <c r="N20">
        <v>1709930.2836</v>
      </c>
      <c r="O20">
        <v>0</v>
      </c>
      <c r="P20">
        <v>0</v>
      </c>
      <c r="Q20">
        <v>0</v>
      </c>
      <c r="R20">
        <v>17254751.0436</v>
      </c>
      <c r="S20">
        <v>4421768.9230631003</v>
      </c>
      <c r="T20">
        <v>28.445287284631998</v>
      </c>
      <c r="U20" t="str">
        <f t="shared" si="0"/>
        <v>Week 4</v>
      </c>
    </row>
    <row r="21" spans="1:21" x14ac:dyDescent="0.25">
      <c r="A21">
        <v>20</v>
      </c>
      <c r="B21" t="s">
        <v>74</v>
      </c>
      <c r="C21" s="1">
        <v>46108</v>
      </c>
      <c r="D21" t="s">
        <v>54</v>
      </c>
      <c r="E21" t="s">
        <v>55</v>
      </c>
      <c r="F21" t="s">
        <v>30</v>
      </c>
      <c r="G21" t="s">
        <v>24</v>
      </c>
      <c r="H21" s="2">
        <v>1</v>
      </c>
      <c r="I21" t="s">
        <v>75</v>
      </c>
      <c r="K21">
        <v>731902</v>
      </c>
      <c r="L21">
        <v>0</v>
      </c>
      <c r="M21">
        <v>0</v>
      </c>
      <c r="N21">
        <v>80509.22</v>
      </c>
      <c r="O21">
        <v>0</v>
      </c>
      <c r="P21">
        <v>0</v>
      </c>
      <c r="Q21">
        <v>0</v>
      </c>
      <c r="R21">
        <v>812411.22</v>
      </c>
      <c r="S21">
        <v>220884</v>
      </c>
      <c r="T21">
        <v>30.179450254269</v>
      </c>
      <c r="U21" t="str">
        <f t="shared" si="0"/>
        <v>Week 4</v>
      </c>
    </row>
    <row r="22" spans="1:21" x14ac:dyDescent="0.25">
      <c r="A22">
        <v>21</v>
      </c>
      <c r="B22" t="s">
        <v>76</v>
      </c>
      <c r="C22" s="1">
        <v>46108</v>
      </c>
      <c r="D22" t="s">
        <v>54</v>
      </c>
      <c r="E22" t="s">
        <v>55</v>
      </c>
      <c r="F22" t="s">
        <v>23</v>
      </c>
      <c r="G22" t="s">
        <v>24</v>
      </c>
      <c r="H22" s="2">
        <v>1</v>
      </c>
      <c r="I22" t="s">
        <v>77</v>
      </c>
      <c r="K22">
        <v>18540</v>
      </c>
      <c r="L22">
        <v>0</v>
      </c>
      <c r="M22">
        <v>0</v>
      </c>
      <c r="N22">
        <v>2039.4</v>
      </c>
      <c r="O22">
        <v>0</v>
      </c>
      <c r="P22">
        <v>0</v>
      </c>
      <c r="Q22">
        <v>0</v>
      </c>
      <c r="R22">
        <v>20579.400000000001</v>
      </c>
      <c r="S22">
        <v>9040</v>
      </c>
      <c r="T22">
        <v>48.759439050700998</v>
      </c>
      <c r="U22" t="str">
        <f t="shared" si="0"/>
        <v>Week 4</v>
      </c>
    </row>
    <row r="23" spans="1:21" x14ac:dyDescent="0.25">
      <c r="A23">
        <v>22</v>
      </c>
      <c r="B23" t="s">
        <v>78</v>
      </c>
      <c r="C23" s="1">
        <v>46108</v>
      </c>
      <c r="D23" t="s">
        <v>33</v>
      </c>
      <c r="E23" t="s">
        <v>38</v>
      </c>
      <c r="F23" t="s">
        <v>23</v>
      </c>
      <c r="G23" t="s">
        <v>24</v>
      </c>
      <c r="H23" s="2">
        <v>1</v>
      </c>
      <c r="I23" t="s">
        <v>79</v>
      </c>
      <c r="J23" t="s">
        <v>26</v>
      </c>
      <c r="K23">
        <v>24700000</v>
      </c>
      <c r="L23">
        <v>0</v>
      </c>
      <c r="M23">
        <v>0</v>
      </c>
      <c r="N23">
        <v>2717000</v>
      </c>
      <c r="O23">
        <v>0</v>
      </c>
      <c r="P23">
        <v>0</v>
      </c>
      <c r="Q23">
        <v>0</v>
      </c>
      <c r="R23">
        <v>27417000</v>
      </c>
      <c r="S23">
        <v>5440000</v>
      </c>
      <c r="T23">
        <v>22.024291497976002</v>
      </c>
      <c r="U23" t="str">
        <f t="shared" si="0"/>
        <v>Week 4</v>
      </c>
    </row>
    <row r="24" spans="1:21" x14ac:dyDescent="0.25">
      <c r="A24">
        <v>23</v>
      </c>
      <c r="B24" t="s">
        <v>80</v>
      </c>
      <c r="C24" s="1">
        <v>46108</v>
      </c>
      <c r="D24" t="s">
        <v>54</v>
      </c>
      <c r="E24" t="s">
        <v>55</v>
      </c>
      <c r="F24" t="s">
        <v>30</v>
      </c>
      <c r="G24" t="s">
        <v>24</v>
      </c>
      <c r="H24" s="2">
        <v>1</v>
      </c>
      <c r="I24" t="s">
        <v>81</v>
      </c>
      <c r="K24">
        <v>769700</v>
      </c>
      <c r="L24">
        <v>0</v>
      </c>
      <c r="M24">
        <v>0</v>
      </c>
      <c r="N24">
        <v>84667</v>
      </c>
      <c r="O24">
        <v>0</v>
      </c>
      <c r="P24">
        <v>0</v>
      </c>
      <c r="Q24">
        <v>0</v>
      </c>
      <c r="R24">
        <v>854367</v>
      </c>
      <c r="S24">
        <v>109200</v>
      </c>
      <c r="T24">
        <v>14.187345719111001</v>
      </c>
      <c r="U24" t="str">
        <f t="shared" si="0"/>
        <v>Week 4</v>
      </c>
    </row>
    <row r="25" spans="1:21" x14ac:dyDescent="0.25">
      <c r="A25">
        <v>24</v>
      </c>
      <c r="B25" t="s">
        <v>82</v>
      </c>
      <c r="C25" s="1">
        <v>46108</v>
      </c>
      <c r="D25" t="s">
        <v>54</v>
      </c>
      <c r="E25" t="s">
        <v>55</v>
      </c>
      <c r="F25" t="s">
        <v>30</v>
      </c>
      <c r="G25" t="s">
        <v>24</v>
      </c>
      <c r="H25" s="2">
        <v>1</v>
      </c>
      <c r="I25" t="s">
        <v>83</v>
      </c>
      <c r="K25">
        <v>16995000</v>
      </c>
      <c r="L25">
        <v>0</v>
      </c>
      <c r="M25">
        <v>0</v>
      </c>
      <c r="N25">
        <v>1869450</v>
      </c>
      <c r="O25">
        <v>0</v>
      </c>
      <c r="P25">
        <v>0</v>
      </c>
      <c r="Q25">
        <v>0</v>
      </c>
      <c r="R25">
        <v>18864450</v>
      </c>
      <c r="S25">
        <v>2595000</v>
      </c>
      <c r="T25">
        <v>15.269196822594999</v>
      </c>
      <c r="U25" t="str">
        <f t="shared" si="0"/>
        <v>Week 4</v>
      </c>
    </row>
    <row r="26" spans="1:21" x14ac:dyDescent="0.25">
      <c r="A26">
        <v>25</v>
      </c>
      <c r="B26" t="s">
        <v>84</v>
      </c>
      <c r="C26" s="1">
        <v>46108</v>
      </c>
      <c r="D26" t="s">
        <v>54</v>
      </c>
      <c r="E26" t="s">
        <v>55</v>
      </c>
      <c r="F26" t="s">
        <v>30</v>
      </c>
      <c r="G26" t="s">
        <v>24</v>
      </c>
      <c r="H26" s="2">
        <v>1</v>
      </c>
      <c r="I26" t="s">
        <v>85</v>
      </c>
      <c r="K26">
        <v>11268200</v>
      </c>
      <c r="L26">
        <v>0</v>
      </c>
      <c r="M26">
        <v>0</v>
      </c>
      <c r="N26">
        <v>1239502</v>
      </c>
      <c r="O26">
        <v>0</v>
      </c>
      <c r="P26">
        <v>0</v>
      </c>
      <c r="Q26">
        <v>0</v>
      </c>
      <c r="R26">
        <v>12507702</v>
      </c>
      <c r="S26">
        <v>1068200</v>
      </c>
      <c r="T26">
        <v>9.4797749418717991</v>
      </c>
      <c r="U26" t="str">
        <f t="shared" si="0"/>
        <v>Week 4</v>
      </c>
    </row>
    <row r="27" spans="1:21" x14ac:dyDescent="0.25">
      <c r="A27">
        <v>26</v>
      </c>
      <c r="B27" t="s">
        <v>86</v>
      </c>
      <c r="C27" s="1">
        <v>46107</v>
      </c>
      <c r="D27" t="s">
        <v>33</v>
      </c>
      <c r="E27" t="s">
        <v>38</v>
      </c>
      <c r="F27" t="s">
        <v>23</v>
      </c>
      <c r="G27" t="s">
        <v>24</v>
      </c>
      <c r="H27" s="2">
        <v>1</v>
      </c>
      <c r="I27" t="s">
        <v>87</v>
      </c>
      <c r="J27" t="s">
        <v>26</v>
      </c>
      <c r="K27">
        <v>38714735</v>
      </c>
      <c r="L27">
        <v>0</v>
      </c>
      <c r="M27">
        <v>0</v>
      </c>
      <c r="N27">
        <v>4258620.8499999996</v>
      </c>
      <c r="O27">
        <v>0</v>
      </c>
      <c r="P27">
        <v>0</v>
      </c>
      <c r="Q27">
        <v>0</v>
      </c>
      <c r="R27">
        <v>42973355.850000001</v>
      </c>
      <c r="S27">
        <v>11748312.48</v>
      </c>
      <c r="T27">
        <v>30.345842429246002</v>
      </c>
      <c r="U27" t="str">
        <f t="shared" si="0"/>
        <v>Week 4</v>
      </c>
    </row>
    <row r="28" spans="1:21" x14ac:dyDescent="0.25">
      <c r="A28">
        <v>27</v>
      </c>
      <c r="B28" t="s">
        <v>88</v>
      </c>
      <c r="C28" s="1">
        <v>46107</v>
      </c>
      <c r="D28" t="s">
        <v>33</v>
      </c>
      <c r="E28" t="s">
        <v>34</v>
      </c>
      <c r="F28" t="s">
        <v>30</v>
      </c>
      <c r="G28" t="s">
        <v>24</v>
      </c>
      <c r="H28" s="2">
        <v>1</v>
      </c>
      <c r="I28" t="s">
        <v>89</v>
      </c>
      <c r="K28">
        <v>7113903.2999999998</v>
      </c>
      <c r="L28">
        <v>0</v>
      </c>
      <c r="M28">
        <v>0</v>
      </c>
      <c r="N28">
        <v>782529.36300000001</v>
      </c>
      <c r="O28">
        <v>0</v>
      </c>
      <c r="P28">
        <v>0</v>
      </c>
      <c r="Q28">
        <v>0</v>
      </c>
      <c r="R28">
        <v>7896432.6629999997</v>
      </c>
      <c r="S28">
        <v>2382224.7999999998</v>
      </c>
      <c r="T28">
        <v>33.486887571272</v>
      </c>
      <c r="U28" t="str">
        <f t="shared" si="0"/>
        <v>Week 4</v>
      </c>
    </row>
    <row r="29" spans="1:21" x14ac:dyDescent="0.25">
      <c r="A29">
        <v>28</v>
      </c>
      <c r="B29" t="s">
        <v>90</v>
      </c>
      <c r="C29" s="1">
        <v>46107</v>
      </c>
      <c r="D29" t="s">
        <v>21</v>
      </c>
      <c r="E29" t="s">
        <v>55</v>
      </c>
      <c r="F29" t="s">
        <v>30</v>
      </c>
      <c r="G29" t="s">
        <v>24</v>
      </c>
      <c r="H29" s="2">
        <v>1</v>
      </c>
      <c r="I29" t="s">
        <v>91</v>
      </c>
      <c r="K29">
        <v>1232312400</v>
      </c>
      <c r="L29">
        <v>0</v>
      </c>
      <c r="M29">
        <v>0</v>
      </c>
      <c r="N29">
        <v>135554364</v>
      </c>
      <c r="O29">
        <v>0</v>
      </c>
      <c r="P29">
        <v>0</v>
      </c>
      <c r="Q29">
        <v>0</v>
      </c>
      <c r="R29">
        <v>1367866764</v>
      </c>
      <c r="S29">
        <v>444954100.80000001</v>
      </c>
      <c r="T29">
        <v>36.107248519126003</v>
      </c>
      <c r="U29" t="str">
        <f t="shared" si="0"/>
        <v>Week 4</v>
      </c>
    </row>
    <row r="30" spans="1:21" x14ac:dyDescent="0.25">
      <c r="A30">
        <v>29</v>
      </c>
      <c r="B30" t="s">
        <v>92</v>
      </c>
      <c r="C30" s="1">
        <v>46107</v>
      </c>
      <c r="D30" t="s">
        <v>54</v>
      </c>
      <c r="E30" t="s">
        <v>55</v>
      </c>
      <c r="F30" t="s">
        <v>30</v>
      </c>
      <c r="G30" t="s">
        <v>24</v>
      </c>
      <c r="H30" s="2">
        <v>1</v>
      </c>
      <c r="I30" t="s">
        <v>93</v>
      </c>
      <c r="K30">
        <v>8148131.5999999996</v>
      </c>
      <c r="L30">
        <v>0</v>
      </c>
      <c r="M30">
        <v>0</v>
      </c>
      <c r="N30">
        <v>896294.47600000002</v>
      </c>
      <c r="O30">
        <v>0</v>
      </c>
      <c r="P30">
        <v>0</v>
      </c>
      <c r="Q30">
        <v>0</v>
      </c>
      <c r="R30">
        <v>9044426.0759999994</v>
      </c>
      <c r="S30">
        <v>1279127.5984985</v>
      </c>
      <c r="T30">
        <v>15.698416045447001</v>
      </c>
      <c r="U30" t="str">
        <f t="shared" si="0"/>
        <v>Week 4</v>
      </c>
    </row>
    <row r="31" spans="1:21" x14ac:dyDescent="0.25">
      <c r="A31">
        <v>30</v>
      </c>
      <c r="B31" t="s">
        <v>94</v>
      </c>
      <c r="C31" s="1">
        <v>46107</v>
      </c>
      <c r="D31" t="s">
        <v>37</v>
      </c>
      <c r="E31" t="s">
        <v>38</v>
      </c>
      <c r="F31" t="s">
        <v>23</v>
      </c>
      <c r="G31" t="s">
        <v>24</v>
      </c>
      <c r="H31" s="2">
        <v>1</v>
      </c>
      <c r="I31" t="s">
        <v>95</v>
      </c>
      <c r="K31">
        <v>13754300</v>
      </c>
      <c r="L31">
        <v>0</v>
      </c>
      <c r="M31">
        <v>0</v>
      </c>
      <c r="N31">
        <v>1512973</v>
      </c>
      <c r="O31">
        <v>0</v>
      </c>
      <c r="P31">
        <v>0</v>
      </c>
      <c r="Q31">
        <v>0</v>
      </c>
      <c r="R31">
        <v>15267273</v>
      </c>
      <c r="S31">
        <v>7557037.4774775999</v>
      </c>
      <c r="T31">
        <v>54.943090360669999</v>
      </c>
      <c r="U31" t="str">
        <f t="shared" si="0"/>
        <v>Week 4</v>
      </c>
    </row>
    <row r="32" spans="1:21" x14ac:dyDescent="0.25">
      <c r="A32">
        <v>31</v>
      </c>
      <c r="B32" t="s">
        <v>96</v>
      </c>
      <c r="C32" s="1">
        <v>46107</v>
      </c>
      <c r="D32" t="s">
        <v>54</v>
      </c>
      <c r="E32" t="s">
        <v>55</v>
      </c>
      <c r="F32" t="s">
        <v>39</v>
      </c>
      <c r="G32" t="s">
        <v>24</v>
      </c>
      <c r="H32" s="2">
        <v>1</v>
      </c>
      <c r="I32" t="s">
        <v>97</v>
      </c>
      <c r="K32">
        <v>10194567</v>
      </c>
      <c r="L32">
        <v>0</v>
      </c>
      <c r="M32">
        <v>0</v>
      </c>
      <c r="N32">
        <v>906712.97956250003</v>
      </c>
      <c r="O32">
        <v>0</v>
      </c>
      <c r="P32">
        <v>0</v>
      </c>
      <c r="Q32">
        <v>0</v>
      </c>
      <c r="R32">
        <v>11101279.979563</v>
      </c>
      <c r="S32">
        <v>-194107</v>
      </c>
      <c r="T32">
        <v>-1.9040239766927001</v>
      </c>
      <c r="U32" t="str">
        <f t="shared" si="0"/>
        <v>Week 4</v>
      </c>
    </row>
    <row r="33" spans="1:21" x14ac:dyDescent="0.25">
      <c r="A33">
        <v>32</v>
      </c>
      <c r="B33" t="s">
        <v>98</v>
      </c>
      <c r="C33" s="1">
        <v>46107</v>
      </c>
      <c r="D33" t="s">
        <v>99</v>
      </c>
      <c r="E33" t="s">
        <v>100</v>
      </c>
      <c r="F33" t="s">
        <v>30</v>
      </c>
      <c r="G33" t="s">
        <v>24</v>
      </c>
      <c r="H33" s="2">
        <v>1</v>
      </c>
      <c r="I33" t="s">
        <v>101</v>
      </c>
      <c r="K33">
        <v>9690240</v>
      </c>
      <c r="L33">
        <v>0</v>
      </c>
      <c r="M33">
        <v>0</v>
      </c>
      <c r="N33">
        <v>1065926.3999999999</v>
      </c>
      <c r="O33">
        <v>0</v>
      </c>
      <c r="P33">
        <v>0</v>
      </c>
      <c r="Q33">
        <v>0</v>
      </c>
      <c r="R33">
        <v>10756166.4</v>
      </c>
      <c r="S33">
        <v>1126240</v>
      </c>
      <c r="T33">
        <v>11.622415956674001</v>
      </c>
      <c r="U33" t="str">
        <f t="shared" si="0"/>
        <v>Week 4</v>
      </c>
    </row>
    <row r="34" spans="1:21" x14ac:dyDescent="0.25">
      <c r="A34">
        <v>33</v>
      </c>
      <c r="B34" t="s">
        <v>102</v>
      </c>
      <c r="C34" s="1">
        <v>46107</v>
      </c>
      <c r="D34" t="s">
        <v>54</v>
      </c>
      <c r="E34" t="s">
        <v>55</v>
      </c>
      <c r="F34" t="s">
        <v>23</v>
      </c>
      <c r="G34" t="s">
        <v>24</v>
      </c>
      <c r="H34" s="2">
        <v>1</v>
      </c>
      <c r="I34" t="s">
        <v>103</v>
      </c>
      <c r="K34">
        <v>1191287.5</v>
      </c>
      <c r="L34">
        <v>0</v>
      </c>
      <c r="M34">
        <v>0</v>
      </c>
      <c r="N34">
        <v>131041.625</v>
      </c>
      <c r="O34">
        <v>0</v>
      </c>
      <c r="P34">
        <v>0</v>
      </c>
      <c r="Q34">
        <v>0</v>
      </c>
      <c r="R34">
        <v>1322329.125</v>
      </c>
      <c r="S34">
        <v>90787.5</v>
      </c>
      <c r="T34">
        <v>7.6209563182690996</v>
      </c>
      <c r="U34" t="str">
        <f t="shared" si="0"/>
        <v>Week 4</v>
      </c>
    </row>
    <row r="35" spans="1:21" x14ac:dyDescent="0.25">
      <c r="A35">
        <v>34</v>
      </c>
      <c r="B35" t="s">
        <v>104</v>
      </c>
      <c r="C35" s="1">
        <v>46107</v>
      </c>
      <c r="D35" t="s">
        <v>33</v>
      </c>
      <c r="E35" t="s">
        <v>34</v>
      </c>
      <c r="F35" t="s">
        <v>30</v>
      </c>
      <c r="G35" t="s">
        <v>24</v>
      </c>
      <c r="H35" s="2">
        <v>1</v>
      </c>
      <c r="I35" t="s">
        <v>105</v>
      </c>
      <c r="K35">
        <v>9317000</v>
      </c>
      <c r="L35">
        <v>0</v>
      </c>
      <c r="M35">
        <v>0</v>
      </c>
      <c r="N35">
        <v>1024870</v>
      </c>
      <c r="O35">
        <v>0</v>
      </c>
      <c r="P35">
        <v>0</v>
      </c>
      <c r="Q35">
        <v>0</v>
      </c>
      <c r="R35">
        <v>10341870</v>
      </c>
      <c r="S35">
        <v>1015770</v>
      </c>
      <c r="T35">
        <v>10.902329075882999</v>
      </c>
      <c r="U35" t="str">
        <f t="shared" si="0"/>
        <v>Week 4</v>
      </c>
    </row>
    <row r="36" spans="1:21" x14ac:dyDescent="0.25">
      <c r="A36">
        <v>35</v>
      </c>
      <c r="B36" t="s">
        <v>106</v>
      </c>
      <c r="C36" s="1">
        <v>46107</v>
      </c>
      <c r="D36" t="s">
        <v>37</v>
      </c>
      <c r="E36" t="s">
        <v>38</v>
      </c>
      <c r="F36" t="s">
        <v>30</v>
      </c>
      <c r="G36" t="s">
        <v>24</v>
      </c>
      <c r="H36" s="2">
        <v>1</v>
      </c>
      <c r="I36" t="s">
        <v>107</v>
      </c>
      <c r="K36">
        <v>4425036</v>
      </c>
      <c r="L36">
        <v>0</v>
      </c>
      <c r="M36">
        <v>0</v>
      </c>
      <c r="N36">
        <v>486753.96</v>
      </c>
      <c r="O36">
        <v>0</v>
      </c>
      <c r="P36">
        <v>0</v>
      </c>
      <c r="Q36">
        <v>0</v>
      </c>
      <c r="R36">
        <v>4911789.96</v>
      </c>
      <c r="S36">
        <v>1506118</v>
      </c>
      <c r="T36">
        <v>34.036288066357002</v>
      </c>
      <c r="U36" t="str">
        <f t="shared" si="0"/>
        <v>Week 4</v>
      </c>
    </row>
    <row r="37" spans="1:21" x14ac:dyDescent="0.25">
      <c r="A37">
        <v>36</v>
      </c>
      <c r="B37" t="s">
        <v>108</v>
      </c>
      <c r="C37" s="1">
        <v>46107</v>
      </c>
      <c r="D37" t="s">
        <v>37</v>
      </c>
      <c r="E37" t="s">
        <v>38</v>
      </c>
      <c r="F37" t="s">
        <v>23</v>
      </c>
      <c r="G37" t="s">
        <v>24</v>
      </c>
      <c r="H37" s="2">
        <v>1</v>
      </c>
      <c r="I37" t="s">
        <v>109</v>
      </c>
      <c r="J37" t="s">
        <v>26</v>
      </c>
      <c r="K37">
        <v>2790000</v>
      </c>
      <c r="L37">
        <v>0</v>
      </c>
      <c r="M37">
        <v>0</v>
      </c>
      <c r="N37">
        <v>306900</v>
      </c>
      <c r="O37">
        <v>0</v>
      </c>
      <c r="P37">
        <v>0</v>
      </c>
      <c r="Q37">
        <v>0</v>
      </c>
      <c r="R37">
        <v>3096900</v>
      </c>
      <c r="S37">
        <v>1206000</v>
      </c>
      <c r="T37">
        <v>43.225806451613003</v>
      </c>
      <c r="U37" t="str">
        <f t="shared" si="0"/>
        <v>Week 4</v>
      </c>
    </row>
    <row r="38" spans="1:21" x14ac:dyDescent="0.25">
      <c r="A38">
        <v>37</v>
      </c>
      <c r="B38" t="s">
        <v>110</v>
      </c>
      <c r="C38" s="1">
        <v>46107</v>
      </c>
      <c r="D38" t="s">
        <v>54</v>
      </c>
      <c r="E38" t="s">
        <v>55</v>
      </c>
      <c r="F38" t="s">
        <v>30</v>
      </c>
      <c r="G38" t="s">
        <v>24</v>
      </c>
      <c r="H38" s="2">
        <v>1</v>
      </c>
      <c r="I38" t="s">
        <v>111</v>
      </c>
      <c r="K38">
        <v>164053630</v>
      </c>
      <c r="L38">
        <v>0</v>
      </c>
      <c r="M38">
        <v>0</v>
      </c>
      <c r="N38">
        <v>18045899.300000001</v>
      </c>
      <c r="O38">
        <v>0</v>
      </c>
      <c r="P38">
        <v>0</v>
      </c>
      <c r="Q38">
        <v>0</v>
      </c>
      <c r="R38">
        <v>182099529.30000001</v>
      </c>
      <c r="S38">
        <v>-147770</v>
      </c>
      <c r="T38">
        <v>-9.0074203173682005E-2</v>
      </c>
      <c r="U38" t="str">
        <f t="shared" si="0"/>
        <v>Week 4</v>
      </c>
    </row>
    <row r="39" spans="1:21" x14ac:dyDescent="0.25">
      <c r="A39">
        <v>38</v>
      </c>
      <c r="B39" t="s">
        <v>112</v>
      </c>
      <c r="C39" s="1">
        <v>46106</v>
      </c>
      <c r="D39" t="s">
        <v>113</v>
      </c>
      <c r="E39" t="s">
        <v>38</v>
      </c>
      <c r="F39" t="s">
        <v>30</v>
      </c>
      <c r="G39" t="s">
        <v>24</v>
      </c>
      <c r="H39" s="2">
        <v>1</v>
      </c>
      <c r="I39" t="s">
        <v>114</v>
      </c>
      <c r="K39">
        <v>14945000</v>
      </c>
      <c r="L39">
        <v>0</v>
      </c>
      <c r="M39">
        <v>0</v>
      </c>
      <c r="N39">
        <v>1643950</v>
      </c>
      <c r="O39">
        <v>0</v>
      </c>
      <c r="P39">
        <v>0</v>
      </c>
      <c r="Q39">
        <v>0</v>
      </c>
      <c r="R39">
        <v>16588950</v>
      </c>
      <c r="S39">
        <v>448350</v>
      </c>
      <c r="T39">
        <v>3</v>
      </c>
      <c r="U39" t="str">
        <f t="shared" si="0"/>
        <v>Week 4</v>
      </c>
    </row>
    <row r="40" spans="1:21" x14ac:dyDescent="0.25">
      <c r="A40">
        <v>39</v>
      </c>
      <c r="B40" t="s">
        <v>115</v>
      </c>
      <c r="C40" s="1">
        <v>46106</v>
      </c>
      <c r="D40" t="s">
        <v>116</v>
      </c>
      <c r="E40" t="s">
        <v>117</v>
      </c>
      <c r="F40" t="s">
        <v>23</v>
      </c>
      <c r="G40" t="s">
        <v>24</v>
      </c>
      <c r="H40" s="2">
        <v>1</v>
      </c>
      <c r="I40" t="s">
        <v>118</v>
      </c>
      <c r="J40" t="s">
        <v>26</v>
      </c>
      <c r="K40">
        <v>112985274.43102001</v>
      </c>
      <c r="L40">
        <v>0</v>
      </c>
      <c r="M40">
        <v>0</v>
      </c>
      <c r="N40">
        <v>12428380.187413</v>
      </c>
      <c r="O40">
        <v>0</v>
      </c>
      <c r="P40">
        <v>0</v>
      </c>
      <c r="Q40">
        <v>0</v>
      </c>
      <c r="R40">
        <v>125413654.61844</v>
      </c>
      <c r="S40">
        <v>31684874.507603001</v>
      </c>
      <c r="T40">
        <v>28.043366418466999</v>
      </c>
      <c r="U40" t="str">
        <f t="shared" si="0"/>
        <v>Week 4</v>
      </c>
    </row>
    <row r="41" spans="1:21" x14ac:dyDescent="0.25">
      <c r="A41">
        <v>40</v>
      </c>
      <c r="B41" t="s">
        <v>119</v>
      </c>
      <c r="C41" s="1">
        <v>46106</v>
      </c>
      <c r="D41" t="s">
        <v>37</v>
      </c>
      <c r="E41" t="s">
        <v>38</v>
      </c>
      <c r="F41" t="s">
        <v>30</v>
      </c>
      <c r="G41" t="s">
        <v>24</v>
      </c>
      <c r="H41" s="2">
        <v>1</v>
      </c>
      <c r="I41" t="s">
        <v>120</v>
      </c>
      <c r="K41">
        <v>4106547.9</v>
      </c>
      <c r="L41">
        <v>0</v>
      </c>
      <c r="M41">
        <v>0</v>
      </c>
      <c r="N41">
        <v>451720.26899999997</v>
      </c>
      <c r="O41">
        <v>0</v>
      </c>
      <c r="P41">
        <v>0</v>
      </c>
      <c r="Q41">
        <v>0</v>
      </c>
      <c r="R41">
        <v>4558268.1689999998</v>
      </c>
      <c r="S41">
        <v>524378.9</v>
      </c>
      <c r="T41">
        <v>12.769336015781001</v>
      </c>
      <c r="U41" t="str">
        <f t="shared" si="0"/>
        <v>Week 4</v>
      </c>
    </row>
    <row r="42" spans="1:21" x14ac:dyDescent="0.25">
      <c r="A42">
        <v>41</v>
      </c>
      <c r="B42" t="s">
        <v>121</v>
      </c>
      <c r="C42" s="1">
        <v>46106</v>
      </c>
      <c r="D42" t="s">
        <v>116</v>
      </c>
      <c r="E42" t="s">
        <v>117</v>
      </c>
      <c r="F42" t="s">
        <v>23</v>
      </c>
      <c r="G42" t="s">
        <v>24</v>
      </c>
      <c r="H42" s="2">
        <v>1</v>
      </c>
      <c r="I42" t="s">
        <v>122</v>
      </c>
      <c r="J42" t="s">
        <v>26</v>
      </c>
      <c r="K42">
        <v>10207080</v>
      </c>
      <c r="L42">
        <v>0</v>
      </c>
      <c r="M42">
        <v>0</v>
      </c>
      <c r="N42">
        <v>1122778.8</v>
      </c>
      <c r="O42">
        <v>0</v>
      </c>
      <c r="P42">
        <v>0</v>
      </c>
      <c r="Q42">
        <v>0</v>
      </c>
      <c r="R42">
        <v>11329858.800000001</v>
      </c>
      <c r="S42">
        <v>7531989.9099115999</v>
      </c>
      <c r="T42">
        <v>73.791818129294995</v>
      </c>
      <c r="U42" t="str">
        <f t="shared" si="0"/>
        <v>Week 4</v>
      </c>
    </row>
    <row r="43" spans="1:21" x14ac:dyDescent="0.25">
      <c r="A43">
        <v>42</v>
      </c>
      <c r="B43" t="s">
        <v>123</v>
      </c>
      <c r="C43" s="1">
        <v>46106</v>
      </c>
      <c r="D43" t="s">
        <v>37</v>
      </c>
      <c r="E43" t="s">
        <v>38</v>
      </c>
      <c r="F43" t="s">
        <v>23</v>
      </c>
      <c r="G43" t="s">
        <v>24</v>
      </c>
      <c r="H43" s="2">
        <v>1</v>
      </c>
      <c r="I43" t="s">
        <v>124</v>
      </c>
      <c r="K43">
        <v>10993800</v>
      </c>
      <c r="L43">
        <v>0</v>
      </c>
      <c r="M43">
        <v>0</v>
      </c>
      <c r="N43">
        <v>1209318</v>
      </c>
      <c r="O43">
        <v>0</v>
      </c>
      <c r="P43">
        <v>0</v>
      </c>
      <c r="Q43">
        <v>0</v>
      </c>
      <c r="R43">
        <v>12203118</v>
      </c>
      <c r="S43">
        <v>5530016.2162162</v>
      </c>
      <c r="T43">
        <v>50.301226293149</v>
      </c>
      <c r="U43" t="str">
        <f t="shared" si="0"/>
        <v>Week 4</v>
      </c>
    </row>
    <row r="44" spans="1:21" x14ac:dyDescent="0.25">
      <c r="A44">
        <v>43</v>
      </c>
      <c r="B44" t="s">
        <v>125</v>
      </c>
      <c r="C44" s="1">
        <v>46106</v>
      </c>
      <c r="D44" t="s">
        <v>37</v>
      </c>
      <c r="E44" t="s">
        <v>38</v>
      </c>
      <c r="F44" t="s">
        <v>23</v>
      </c>
      <c r="G44" t="s">
        <v>24</v>
      </c>
      <c r="H44" s="2">
        <v>1</v>
      </c>
      <c r="I44" t="s">
        <v>126</v>
      </c>
      <c r="J44" t="s">
        <v>26</v>
      </c>
      <c r="K44">
        <v>900000</v>
      </c>
      <c r="L44">
        <v>0</v>
      </c>
      <c r="M44">
        <v>0</v>
      </c>
      <c r="N44">
        <v>99000</v>
      </c>
      <c r="O44">
        <v>0</v>
      </c>
      <c r="P44">
        <v>0</v>
      </c>
      <c r="Q44">
        <v>0</v>
      </c>
      <c r="R44">
        <v>999000</v>
      </c>
      <c r="S44">
        <v>536216.21621622005</v>
      </c>
      <c r="T44">
        <v>59.579579579579999</v>
      </c>
      <c r="U44" t="str">
        <f t="shared" si="0"/>
        <v>Week 4</v>
      </c>
    </row>
    <row r="45" spans="1:21" x14ac:dyDescent="0.25">
      <c r="A45">
        <v>44</v>
      </c>
      <c r="B45" t="s">
        <v>127</v>
      </c>
      <c r="C45" s="1">
        <v>46099</v>
      </c>
      <c r="D45" t="s">
        <v>33</v>
      </c>
      <c r="E45" t="s">
        <v>38</v>
      </c>
      <c r="F45" t="s">
        <v>23</v>
      </c>
      <c r="G45" t="s">
        <v>24</v>
      </c>
      <c r="H45" s="2">
        <v>1</v>
      </c>
      <c r="I45" t="s">
        <v>128</v>
      </c>
      <c r="J45" t="s">
        <v>26</v>
      </c>
      <c r="K45">
        <v>20400000</v>
      </c>
      <c r="L45">
        <v>0</v>
      </c>
      <c r="M45">
        <v>0</v>
      </c>
      <c r="N45">
        <v>2244000</v>
      </c>
      <c r="O45">
        <v>0</v>
      </c>
      <c r="P45">
        <v>0</v>
      </c>
      <c r="Q45">
        <v>0</v>
      </c>
      <c r="R45">
        <v>22644000</v>
      </c>
      <c r="S45">
        <v>4860000</v>
      </c>
      <c r="T45">
        <v>23.823529411765001</v>
      </c>
      <c r="U45" t="str">
        <f t="shared" si="0"/>
        <v>Week 3</v>
      </c>
    </row>
    <row r="46" spans="1:21" x14ac:dyDescent="0.25">
      <c r="A46">
        <v>45</v>
      </c>
      <c r="B46" t="s">
        <v>129</v>
      </c>
      <c r="C46" s="1">
        <v>46099</v>
      </c>
      <c r="D46" t="s">
        <v>54</v>
      </c>
      <c r="E46" t="s">
        <v>55</v>
      </c>
      <c r="F46" t="s">
        <v>30</v>
      </c>
      <c r="G46" t="s">
        <v>24</v>
      </c>
      <c r="H46" s="2">
        <v>1</v>
      </c>
      <c r="I46" t="s">
        <v>130</v>
      </c>
      <c r="J46" t="s">
        <v>26</v>
      </c>
      <c r="K46">
        <v>145619575</v>
      </c>
      <c r="L46">
        <v>0</v>
      </c>
      <c r="M46">
        <v>0</v>
      </c>
      <c r="N46">
        <v>16018153.25</v>
      </c>
      <c r="O46">
        <v>0</v>
      </c>
      <c r="P46">
        <v>0</v>
      </c>
      <c r="Q46">
        <v>0</v>
      </c>
      <c r="R46">
        <v>161637728.25</v>
      </c>
      <c r="S46">
        <v>33042998</v>
      </c>
      <c r="T46">
        <v>22.691316054177001</v>
      </c>
      <c r="U46" t="str">
        <f t="shared" si="0"/>
        <v>Week 3</v>
      </c>
    </row>
    <row r="47" spans="1:21" x14ac:dyDescent="0.25">
      <c r="A47">
        <v>46</v>
      </c>
      <c r="B47" t="s">
        <v>131</v>
      </c>
      <c r="C47" s="1">
        <v>46099</v>
      </c>
      <c r="D47" t="s">
        <v>21</v>
      </c>
      <c r="E47" t="s">
        <v>22</v>
      </c>
      <c r="F47" t="s">
        <v>23</v>
      </c>
      <c r="G47" t="s">
        <v>24</v>
      </c>
      <c r="H47" s="2">
        <v>1</v>
      </c>
      <c r="I47" t="s">
        <v>132</v>
      </c>
      <c r="J47" t="s">
        <v>26</v>
      </c>
      <c r="K47">
        <v>162200</v>
      </c>
      <c r="L47">
        <v>0</v>
      </c>
      <c r="M47">
        <v>0</v>
      </c>
      <c r="N47">
        <v>17842</v>
      </c>
      <c r="O47">
        <v>0</v>
      </c>
      <c r="P47">
        <v>0</v>
      </c>
      <c r="Q47">
        <v>0</v>
      </c>
      <c r="R47">
        <v>180042</v>
      </c>
      <c r="S47">
        <v>49163.963963964001</v>
      </c>
      <c r="T47">
        <v>30.310705279878999</v>
      </c>
      <c r="U47" t="str">
        <f t="shared" si="0"/>
        <v>Week 3</v>
      </c>
    </row>
    <row r="48" spans="1:21" x14ac:dyDescent="0.25">
      <c r="A48">
        <v>47</v>
      </c>
      <c r="B48" t="s">
        <v>133</v>
      </c>
      <c r="C48" s="1">
        <v>46098</v>
      </c>
      <c r="D48" t="s">
        <v>37</v>
      </c>
      <c r="E48" t="s">
        <v>38</v>
      </c>
      <c r="F48" t="s">
        <v>23</v>
      </c>
      <c r="G48" t="s">
        <v>24</v>
      </c>
      <c r="H48" s="2">
        <v>1</v>
      </c>
      <c r="I48" t="s">
        <v>124</v>
      </c>
      <c r="K48">
        <v>7356104</v>
      </c>
      <c r="L48">
        <v>0</v>
      </c>
      <c r="M48">
        <v>0</v>
      </c>
      <c r="N48">
        <v>809171.44</v>
      </c>
      <c r="O48">
        <v>0</v>
      </c>
      <c r="P48">
        <v>0</v>
      </c>
      <c r="Q48">
        <v>0</v>
      </c>
      <c r="R48">
        <v>8165275.4400000004</v>
      </c>
      <c r="S48">
        <v>2758086.9099098998</v>
      </c>
      <c r="T48">
        <v>37.493854218346002</v>
      </c>
      <c r="U48" t="str">
        <f t="shared" si="0"/>
        <v>Week 3</v>
      </c>
    </row>
    <row r="49" spans="1:21" x14ac:dyDescent="0.25">
      <c r="A49">
        <v>48</v>
      </c>
      <c r="B49" t="s">
        <v>134</v>
      </c>
      <c r="C49" s="1">
        <v>46098</v>
      </c>
      <c r="D49" t="s">
        <v>21</v>
      </c>
      <c r="E49" t="s">
        <v>22</v>
      </c>
      <c r="F49" t="s">
        <v>30</v>
      </c>
      <c r="G49" t="s">
        <v>24</v>
      </c>
      <c r="H49" s="2">
        <v>1</v>
      </c>
      <c r="I49" t="s">
        <v>135</v>
      </c>
      <c r="J49" t="s">
        <v>26</v>
      </c>
      <c r="K49">
        <v>3555332.2</v>
      </c>
      <c r="L49">
        <v>0</v>
      </c>
      <c r="M49">
        <v>0</v>
      </c>
      <c r="N49">
        <v>391086.54200000002</v>
      </c>
      <c r="O49">
        <v>0</v>
      </c>
      <c r="P49">
        <v>0</v>
      </c>
      <c r="Q49">
        <v>0</v>
      </c>
      <c r="R49">
        <v>3946418.7420000001</v>
      </c>
      <c r="S49">
        <v>538679.44144144002</v>
      </c>
      <c r="T49">
        <v>15.151311076962999</v>
      </c>
      <c r="U49" t="str">
        <f t="shared" si="0"/>
        <v>Week 3</v>
      </c>
    </row>
    <row r="50" spans="1:21" x14ac:dyDescent="0.25">
      <c r="A50">
        <v>49</v>
      </c>
      <c r="B50" t="s">
        <v>136</v>
      </c>
      <c r="C50" s="1">
        <v>46098</v>
      </c>
      <c r="D50" t="s">
        <v>37</v>
      </c>
      <c r="E50" t="s">
        <v>38</v>
      </c>
      <c r="F50" t="s">
        <v>23</v>
      </c>
      <c r="G50" t="s">
        <v>24</v>
      </c>
      <c r="H50" s="2">
        <v>1</v>
      </c>
      <c r="I50" t="s">
        <v>137</v>
      </c>
      <c r="K50">
        <v>32484618</v>
      </c>
      <c r="L50">
        <v>0</v>
      </c>
      <c r="M50">
        <v>0</v>
      </c>
      <c r="N50">
        <v>3573307.98</v>
      </c>
      <c r="O50">
        <v>0</v>
      </c>
      <c r="P50">
        <v>0</v>
      </c>
      <c r="Q50">
        <v>0</v>
      </c>
      <c r="R50">
        <v>36057925.979999997</v>
      </c>
      <c r="S50">
        <v>10886782</v>
      </c>
      <c r="T50">
        <v>33.513652523173</v>
      </c>
      <c r="U50" t="str">
        <f t="shared" si="0"/>
        <v>Week 3</v>
      </c>
    </row>
    <row r="51" spans="1:21" x14ac:dyDescent="0.25">
      <c r="A51">
        <v>50</v>
      </c>
      <c r="B51" t="s">
        <v>138</v>
      </c>
      <c r="C51" s="1">
        <v>46098</v>
      </c>
      <c r="D51" t="s">
        <v>28</v>
      </c>
      <c r="E51" t="s">
        <v>29</v>
      </c>
      <c r="F51" t="s">
        <v>30</v>
      </c>
      <c r="G51" t="s">
        <v>24</v>
      </c>
      <c r="H51" s="2">
        <v>1</v>
      </c>
      <c r="I51" t="s">
        <v>139</v>
      </c>
      <c r="K51">
        <v>251210124</v>
      </c>
      <c r="L51">
        <v>0</v>
      </c>
      <c r="M51">
        <v>0</v>
      </c>
      <c r="N51">
        <v>27633113.640000001</v>
      </c>
      <c r="O51">
        <v>0</v>
      </c>
      <c r="P51">
        <v>0</v>
      </c>
      <c r="Q51">
        <v>0</v>
      </c>
      <c r="R51">
        <v>278843237.63999999</v>
      </c>
      <c r="S51">
        <v>13126224</v>
      </c>
      <c r="T51">
        <v>5.2251970545582003</v>
      </c>
      <c r="U51" t="str">
        <f t="shared" si="0"/>
        <v>Week 3</v>
      </c>
    </row>
    <row r="52" spans="1:21" x14ac:dyDescent="0.25">
      <c r="A52">
        <v>51</v>
      </c>
      <c r="B52" t="s">
        <v>140</v>
      </c>
      <c r="C52" s="1">
        <v>46098</v>
      </c>
      <c r="D52" t="s">
        <v>116</v>
      </c>
      <c r="E52" t="s">
        <v>117</v>
      </c>
      <c r="F52" t="s">
        <v>30</v>
      </c>
      <c r="G52" t="s">
        <v>24</v>
      </c>
      <c r="H52" s="2">
        <v>1</v>
      </c>
      <c r="I52" t="s">
        <v>141</v>
      </c>
      <c r="K52">
        <v>371418</v>
      </c>
      <c r="L52">
        <v>0</v>
      </c>
      <c r="M52">
        <v>0</v>
      </c>
      <c r="N52">
        <v>40855.980000000003</v>
      </c>
      <c r="O52">
        <v>0</v>
      </c>
      <c r="P52">
        <v>0</v>
      </c>
      <c r="Q52">
        <v>0</v>
      </c>
      <c r="R52">
        <v>412273.98</v>
      </c>
      <c r="S52">
        <v>77418</v>
      </c>
      <c r="T52">
        <v>20.843900941796001</v>
      </c>
      <c r="U52" t="str">
        <f t="shared" si="0"/>
        <v>Week 3</v>
      </c>
    </row>
    <row r="53" spans="1:21" x14ac:dyDescent="0.25">
      <c r="A53">
        <v>52</v>
      </c>
      <c r="B53" t="s">
        <v>142</v>
      </c>
      <c r="C53" s="1">
        <v>46098</v>
      </c>
      <c r="D53" t="s">
        <v>116</v>
      </c>
      <c r="E53" t="s">
        <v>117</v>
      </c>
      <c r="F53" t="s">
        <v>30</v>
      </c>
      <c r="G53" t="s">
        <v>24</v>
      </c>
      <c r="H53" s="2">
        <v>1</v>
      </c>
      <c r="I53" t="s">
        <v>143</v>
      </c>
      <c r="J53" t="s">
        <v>26</v>
      </c>
      <c r="K53">
        <v>531480</v>
      </c>
      <c r="L53">
        <v>0</v>
      </c>
      <c r="M53">
        <v>0</v>
      </c>
      <c r="N53">
        <v>58462.8</v>
      </c>
      <c r="O53">
        <v>0</v>
      </c>
      <c r="P53">
        <v>0</v>
      </c>
      <c r="Q53">
        <v>0</v>
      </c>
      <c r="R53">
        <v>589942.80000000005</v>
      </c>
      <c r="S53">
        <v>148416.94</v>
      </c>
      <c r="T53">
        <v>27.925216376910001</v>
      </c>
      <c r="U53" t="str">
        <f t="shared" si="0"/>
        <v>Week 3</v>
      </c>
    </row>
    <row r="54" spans="1:21" x14ac:dyDescent="0.25">
      <c r="A54">
        <v>53</v>
      </c>
      <c r="B54" t="s">
        <v>144</v>
      </c>
      <c r="C54" s="1">
        <v>46098</v>
      </c>
      <c r="D54" t="s">
        <v>21</v>
      </c>
      <c r="E54" t="s">
        <v>22</v>
      </c>
      <c r="F54" t="s">
        <v>23</v>
      </c>
      <c r="G54" t="s">
        <v>24</v>
      </c>
      <c r="H54" s="2">
        <v>1</v>
      </c>
      <c r="I54" t="s">
        <v>145</v>
      </c>
      <c r="J54" t="s">
        <v>57</v>
      </c>
      <c r="K54">
        <v>896622320</v>
      </c>
      <c r="L54">
        <v>0</v>
      </c>
      <c r="M54">
        <v>0</v>
      </c>
      <c r="N54">
        <v>98628455.200000003</v>
      </c>
      <c r="O54">
        <v>0</v>
      </c>
      <c r="P54">
        <v>0</v>
      </c>
      <c r="Q54">
        <v>0</v>
      </c>
      <c r="R54">
        <v>995250775.20000005</v>
      </c>
      <c r="S54">
        <v>313852760</v>
      </c>
      <c r="T54">
        <v>35.003897739240003</v>
      </c>
      <c r="U54" t="str">
        <f t="shared" si="0"/>
        <v>Week 3</v>
      </c>
    </row>
    <row r="55" spans="1:21" x14ac:dyDescent="0.25">
      <c r="A55">
        <v>54</v>
      </c>
      <c r="B55" t="s">
        <v>146</v>
      </c>
      <c r="C55" s="1">
        <v>46098</v>
      </c>
      <c r="D55" t="s">
        <v>33</v>
      </c>
      <c r="E55" t="s">
        <v>34</v>
      </c>
      <c r="F55" t="s">
        <v>23</v>
      </c>
      <c r="G55" t="s">
        <v>24</v>
      </c>
      <c r="H55" s="2">
        <v>1</v>
      </c>
      <c r="I55" t="s">
        <v>147</v>
      </c>
      <c r="K55">
        <v>2650000</v>
      </c>
      <c r="L55">
        <v>0</v>
      </c>
      <c r="M55">
        <v>0</v>
      </c>
      <c r="N55">
        <v>291500</v>
      </c>
      <c r="O55">
        <v>0</v>
      </c>
      <c r="P55">
        <v>0</v>
      </c>
      <c r="Q55">
        <v>0</v>
      </c>
      <c r="R55">
        <v>2941500</v>
      </c>
      <c r="S55">
        <v>485000</v>
      </c>
      <c r="T55">
        <v>18.301886792453001</v>
      </c>
      <c r="U55" t="str">
        <f t="shared" si="0"/>
        <v>Week 3</v>
      </c>
    </row>
    <row r="56" spans="1:21" x14ac:dyDescent="0.25">
      <c r="A56">
        <v>55</v>
      </c>
      <c r="B56" t="s">
        <v>148</v>
      </c>
      <c r="C56" s="1">
        <v>46098</v>
      </c>
      <c r="D56" t="s">
        <v>21</v>
      </c>
      <c r="E56" t="s">
        <v>22</v>
      </c>
      <c r="F56" t="s">
        <v>23</v>
      </c>
      <c r="G56" t="s">
        <v>24</v>
      </c>
      <c r="H56" s="2">
        <v>1</v>
      </c>
      <c r="I56" t="s">
        <v>149</v>
      </c>
      <c r="J56" t="s">
        <v>57</v>
      </c>
      <c r="K56">
        <v>3345619350</v>
      </c>
      <c r="L56">
        <v>0</v>
      </c>
      <c r="M56">
        <v>0</v>
      </c>
      <c r="N56">
        <v>368018128.5</v>
      </c>
      <c r="O56">
        <v>0</v>
      </c>
      <c r="P56">
        <v>0</v>
      </c>
      <c r="Q56">
        <v>0</v>
      </c>
      <c r="R56">
        <v>3713637478.5</v>
      </c>
      <c r="S56">
        <v>1156468782.4400001</v>
      </c>
      <c r="T56">
        <v>34.566657514101003</v>
      </c>
      <c r="U56" t="str">
        <f t="shared" si="0"/>
        <v>Week 3</v>
      </c>
    </row>
    <row r="57" spans="1:21" x14ac:dyDescent="0.25">
      <c r="A57">
        <v>56</v>
      </c>
      <c r="B57" t="s">
        <v>150</v>
      </c>
      <c r="C57" s="1">
        <v>46097</v>
      </c>
      <c r="D57" t="s">
        <v>21</v>
      </c>
      <c r="E57" t="s">
        <v>22</v>
      </c>
      <c r="F57" t="s">
        <v>30</v>
      </c>
      <c r="G57" t="s">
        <v>24</v>
      </c>
      <c r="H57" s="2">
        <v>1</v>
      </c>
      <c r="I57" t="s">
        <v>151</v>
      </c>
      <c r="J57" t="s">
        <v>26</v>
      </c>
      <c r="K57">
        <v>30224180</v>
      </c>
      <c r="L57">
        <v>0</v>
      </c>
      <c r="M57">
        <v>0</v>
      </c>
      <c r="N57">
        <v>3324659.8</v>
      </c>
      <c r="O57">
        <v>0</v>
      </c>
      <c r="P57">
        <v>0</v>
      </c>
      <c r="Q57">
        <v>0</v>
      </c>
      <c r="R57">
        <v>33548839.800000001</v>
      </c>
      <c r="S57">
        <v>14165895.837838</v>
      </c>
      <c r="T57">
        <v>46.869413290411003</v>
      </c>
      <c r="U57" t="str">
        <f t="shared" si="0"/>
        <v>Week 3</v>
      </c>
    </row>
    <row r="58" spans="1:21" x14ac:dyDescent="0.25">
      <c r="A58">
        <v>57</v>
      </c>
      <c r="B58" t="s">
        <v>152</v>
      </c>
      <c r="C58" s="1">
        <v>46097</v>
      </c>
      <c r="D58" t="s">
        <v>21</v>
      </c>
      <c r="E58" t="s">
        <v>22</v>
      </c>
      <c r="F58" t="s">
        <v>30</v>
      </c>
      <c r="G58" t="s">
        <v>24</v>
      </c>
      <c r="H58" s="2">
        <v>1</v>
      </c>
      <c r="I58" t="s">
        <v>153</v>
      </c>
      <c r="J58" t="s">
        <v>57</v>
      </c>
      <c r="K58">
        <v>116851960</v>
      </c>
      <c r="L58">
        <v>0</v>
      </c>
      <c r="M58">
        <v>0</v>
      </c>
      <c r="N58">
        <v>12853715.6</v>
      </c>
      <c r="O58">
        <v>0</v>
      </c>
      <c r="P58">
        <v>0</v>
      </c>
      <c r="Q58">
        <v>0</v>
      </c>
      <c r="R58">
        <v>129705675.59999999</v>
      </c>
      <c r="S58">
        <v>6643448.3200000003</v>
      </c>
      <c r="T58">
        <v>5.6853546316210997</v>
      </c>
      <c r="U58" t="str">
        <f t="shared" si="0"/>
        <v>Week 3</v>
      </c>
    </row>
    <row r="59" spans="1:21" x14ac:dyDescent="0.25">
      <c r="A59">
        <v>58</v>
      </c>
      <c r="B59" t="s">
        <v>154</v>
      </c>
      <c r="C59" s="1">
        <v>46097</v>
      </c>
      <c r="D59" t="s">
        <v>21</v>
      </c>
      <c r="E59" t="s">
        <v>22</v>
      </c>
      <c r="F59" t="s">
        <v>30</v>
      </c>
      <c r="G59" t="s">
        <v>24</v>
      </c>
      <c r="H59" s="2">
        <v>1</v>
      </c>
      <c r="I59" t="s">
        <v>155</v>
      </c>
      <c r="J59" t="s">
        <v>26</v>
      </c>
      <c r="K59">
        <v>873000</v>
      </c>
      <c r="L59">
        <v>0</v>
      </c>
      <c r="M59">
        <v>0</v>
      </c>
      <c r="N59">
        <v>96030</v>
      </c>
      <c r="O59">
        <v>0</v>
      </c>
      <c r="P59">
        <v>0</v>
      </c>
      <c r="Q59">
        <v>0</v>
      </c>
      <c r="R59">
        <v>969030</v>
      </c>
      <c r="S59">
        <v>123000</v>
      </c>
      <c r="T59">
        <v>14.089347079037999</v>
      </c>
      <c r="U59" t="str">
        <f t="shared" si="0"/>
        <v>Week 3</v>
      </c>
    </row>
    <row r="60" spans="1:21" x14ac:dyDescent="0.25">
      <c r="A60">
        <v>59</v>
      </c>
      <c r="B60" t="s">
        <v>156</v>
      </c>
      <c r="C60" s="1">
        <v>46097</v>
      </c>
      <c r="D60" t="s">
        <v>21</v>
      </c>
      <c r="E60" t="s">
        <v>22</v>
      </c>
      <c r="F60" t="s">
        <v>30</v>
      </c>
      <c r="G60" t="s">
        <v>24</v>
      </c>
      <c r="H60" s="2">
        <v>1</v>
      </c>
      <c r="I60" t="s">
        <v>157</v>
      </c>
      <c r="J60" t="s">
        <v>26</v>
      </c>
      <c r="K60">
        <v>9081250</v>
      </c>
      <c r="L60">
        <v>0</v>
      </c>
      <c r="M60">
        <v>0</v>
      </c>
      <c r="N60">
        <v>998937.5</v>
      </c>
      <c r="O60">
        <v>0</v>
      </c>
      <c r="P60">
        <v>0</v>
      </c>
      <c r="Q60">
        <v>0</v>
      </c>
      <c r="R60">
        <v>10080187.5</v>
      </c>
      <c r="S60">
        <v>4563907.6576576997</v>
      </c>
      <c r="T60">
        <v>50.256381639727003</v>
      </c>
      <c r="U60" t="str">
        <f t="shared" si="0"/>
        <v>Week 3</v>
      </c>
    </row>
    <row r="61" spans="1:21" x14ac:dyDescent="0.25">
      <c r="A61">
        <v>60</v>
      </c>
      <c r="B61" t="s">
        <v>158</v>
      </c>
      <c r="C61" s="1">
        <v>46097</v>
      </c>
      <c r="D61" t="s">
        <v>54</v>
      </c>
      <c r="E61" t="s">
        <v>55</v>
      </c>
      <c r="F61" t="s">
        <v>30</v>
      </c>
      <c r="G61" t="s">
        <v>24</v>
      </c>
      <c r="H61" s="2">
        <v>1</v>
      </c>
      <c r="I61" t="s">
        <v>159</v>
      </c>
      <c r="K61">
        <v>4786320</v>
      </c>
      <c r="L61">
        <v>0</v>
      </c>
      <c r="M61">
        <v>0</v>
      </c>
      <c r="N61">
        <v>526495.19999999995</v>
      </c>
      <c r="O61">
        <v>0</v>
      </c>
      <c r="P61">
        <v>0</v>
      </c>
      <c r="Q61">
        <v>0</v>
      </c>
      <c r="R61">
        <v>5312815.2</v>
      </c>
      <c r="S61">
        <v>2056115.95</v>
      </c>
      <c r="T61">
        <v>42.958179770679997</v>
      </c>
      <c r="U61" t="str">
        <f t="shared" si="0"/>
        <v>Week 3</v>
      </c>
    </row>
    <row r="62" spans="1:21" x14ac:dyDescent="0.25">
      <c r="A62">
        <v>61</v>
      </c>
      <c r="B62" t="s">
        <v>160</v>
      </c>
      <c r="C62" s="1">
        <v>46097</v>
      </c>
      <c r="D62" t="s">
        <v>37</v>
      </c>
      <c r="E62" t="s">
        <v>38</v>
      </c>
      <c r="F62" t="s">
        <v>30</v>
      </c>
      <c r="G62" t="s">
        <v>24</v>
      </c>
      <c r="H62" s="2">
        <v>1</v>
      </c>
      <c r="I62" t="s">
        <v>161</v>
      </c>
      <c r="K62">
        <v>9540300</v>
      </c>
      <c r="L62">
        <v>0</v>
      </c>
      <c r="M62">
        <v>0</v>
      </c>
      <c r="N62">
        <v>1049433</v>
      </c>
      <c r="O62">
        <v>0</v>
      </c>
      <c r="P62">
        <v>0</v>
      </c>
      <c r="Q62">
        <v>0</v>
      </c>
      <c r="R62">
        <v>10589733</v>
      </c>
      <c r="S62">
        <v>617310</v>
      </c>
      <c r="T62">
        <v>6.4705512405269996</v>
      </c>
      <c r="U62" t="str">
        <f t="shared" si="0"/>
        <v>Week 3</v>
      </c>
    </row>
    <row r="63" spans="1:21" x14ac:dyDescent="0.25">
      <c r="A63">
        <v>62</v>
      </c>
      <c r="B63" t="s">
        <v>162</v>
      </c>
      <c r="C63" s="1">
        <v>46097</v>
      </c>
      <c r="D63" t="s">
        <v>54</v>
      </c>
      <c r="E63" t="s">
        <v>55</v>
      </c>
      <c r="F63" t="s">
        <v>30</v>
      </c>
      <c r="G63" t="s">
        <v>24</v>
      </c>
      <c r="H63" s="2">
        <v>1</v>
      </c>
      <c r="I63" t="s">
        <v>163</v>
      </c>
      <c r="K63">
        <v>112373000</v>
      </c>
      <c r="L63">
        <v>0</v>
      </c>
      <c r="M63">
        <v>0</v>
      </c>
      <c r="N63">
        <v>12361030</v>
      </c>
      <c r="O63">
        <v>0</v>
      </c>
      <c r="P63">
        <v>0</v>
      </c>
      <c r="Q63">
        <v>0</v>
      </c>
      <c r="R63">
        <v>124734030</v>
      </c>
      <c r="S63">
        <v>9028000</v>
      </c>
      <c r="T63">
        <v>8.0339583351873003</v>
      </c>
      <c r="U63" t="str">
        <f t="shared" si="0"/>
        <v>Week 3</v>
      </c>
    </row>
    <row r="64" spans="1:21" x14ac:dyDescent="0.25">
      <c r="A64">
        <v>63</v>
      </c>
      <c r="B64" t="s">
        <v>164</v>
      </c>
      <c r="C64" s="1">
        <v>46097</v>
      </c>
      <c r="D64" t="s">
        <v>33</v>
      </c>
      <c r="E64" t="s">
        <v>34</v>
      </c>
      <c r="F64" t="s">
        <v>30</v>
      </c>
      <c r="G64" t="s">
        <v>24</v>
      </c>
      <c r="H64" s="2">
        <v>1</v>
      </c>
      <c r="I64" t="s">
        <v>165</v>
      </c>
      <c r="K64">
        <v>15789779.6</v>
      </c>
      <c r="L64">
        <v>0</v>
      </c>
      <c r="M64">
        <v>0</v>
      </c>
      <c r="N64">
        <v>1736875.7560000001</v>
      </c>
      <c r="O64">
        <v>0</v>
      </c>
      <c r="P64">
        <v>0</v>
      </c>
      <c r="Q64">
        <v>0</v>
      </c>
      <c r="R64">
        <v>17526655.355999999</v>
      </c>
      <c r="S64">
        <v>1789779.6</v>
      </c>
      <c r="T64">
        <v>11.335051187162</v>
      </c>
      <c r="U64" t="str">
        <f t="shared" si="0"/>
        <v>Week 3</v>
      </c>
    </row>
    <row r="65" spans="1:21" x14ac:dyDescent="0.25">
      <c r="A65">
        <v>64</v>
      </c>
      <c r="B65" t="s">
        <v>166</v>
      </c>
      <c r="C65" s="1">
        <v>46097</v>
      </c>
      <c r="D65" t="s">
        <v>33</v>
      </c>
      <c r="E65" t="s">
        <v>34</v>
      </c>
      <c r="F65" t="s">
        <v>30</v>
      </c>
      <c r="G65" t="s">
        <v>24</v>
      </c>
      <c r="H65" s="2">
        <v>1</v>
      </c>
      <c r="I65" t="s">
        <v>167</v>
      </c>
      <c r="K65">
        <v>13806350</v>
      </c>
      <c r="L65">
        <v>0</v>
      </c>
      <c r="M65">
        <v>0</v>
      </c>
      <c r="N65">
        <v>1518698.5</v>
      </c>
      <c r="O65">
        <v>0</v>
      </c>
      <c r="P65">
        <v>0</v>
      </c>
      <c r="Q65">
        <v>0</v>
      </c>
      <c r="R65">
        <v>15325048.5</v>
      </c>
      <c r="S65">
        <v>7703255.5405355003</v>
      </c>
      <c r="T65">
        <v>55.795018527963997</v>
      </c>
      <c r="U65" t="str">
        <f t="shared" si="0"/>
        <v>Week 3</v>
      </c>
    </row>
    <row r="66" spans="1:21" x14ac:dyDescent="0.25">
      <c r="A66">
        <v>65</v>
      </c>
      <c r="B66" t="s">
        <v>168</v>
      </c>
      <c r="C66" s="1">
        <v>46097</v>
      </c>
      <c r="D66" t="s">
        <v>37</v>
      </c>
      <c r="E66" t="s">
        <v>38</v>
      </c>
      <c r="F66" t="s">
        <v>30</v>
      </c>
      <c r="G66" t="s">
        <v>24</v>
      </c>
      <c r="H66" s="2">
        <v>1</v>
      </c>
      <c r="I66" t="s">
        <v>169</v>
      </c>
      <c r="K66">
        <v>3622736.6</v>
      </c>
      <c r="L66">
        <v>0</v>
      </c>
      <c r="M66">
        <v>0</v>
      </c>
      <c r="N66">
        <v>398501.02600000001</v>
      </c>
      <c r="O66">
        <v>0</v>
      </c>
      <c r="P66">
        <v>0</v>
      </c>
      <c r="Q66">
        <v>0</v>
      </c>
      <c r="R66">
        <v>4021237.6260000002</v>
      </c>
      <c r="S66">
        <v>-2377263.4</v>
      </c>
      <c r="T66">
        <v>-65.620652630389998</v>
      </c>
      <c r="U66" t="str">
        <f t="shared" si="0"/>
        <v>Week 3</v>
      </c>
    </row>
    <row r="67" spans="1:21" x14ac:dyDescent="0.25">
      <c r="A67">
        <v>66</v>
      </c>
      <c r="B67" t="s">
        <v>170</v>
      </c>
      <c r="C67" s="1">
        <v>46097</v>
      </c>
      <c r="D67" t="s">
        <v>171</v>
      </c>
      <c r="E67" t="s">
        <v>100</v>
      </c>
      <c r="F67" t="s">
        <v>23</v>
      </c>
      <c r="G67" t="s">
        <v>24</v>
      </c>
      <c r="H67" s="2">
        <v>1</v>
      </c>
      <c r="I67" t="s">
        <v>172</v>
      </c>
      <c r="J67" t="s">
        <v>26</v>
      </c>
      <c r="K67">
        <v>31558410</v>
      </c>
      <c r="L67">
        <v>0</v>
      </c>
      <c r="M67">
        <v>0</v>
      </c>
      <c r="N67">
        <v>3471425.1</v>
      </c>
      <c r="O67">
        <v>0</v>
      </c>
      <c r="P67">
        <v>0</v>
      </c>
      <c r="Q67">
        <v>0</v>
      </c>
      <c r="R67">
        <v>35029835.100000001</v>
      </c>
      <c r="S67">
        <v>16517942.432432</v>
      </c>
      <c r="T67">
        <v>52.340857579430001</v>
      </c>
      <c r="U67" t="str">
        <f t="shared" ref="U67:U130" si="1">"Week " &amp;IF(DAY(C67)&gt;=24,4,INT((DAY(C67)-1)/7)+1)</f>
        <v>Week 3</v>
      </c>
    </row>
    <row r="68" spans="1:21" x14ac:dyDescent="0.25">
      <c r="A68">
        <v>67</v>
      </c>
      <c r="B68" t="s">
        <v>173</v>
      </c>
      <c r="C68" s="1">
        <v>46097</v>
      </c>
      <c r="D68" t="s">
        <v>54</v>
      </c>
      <c r="E68" t="s">
        <v>55</v>
      </c>
      <c r="F68" t="s">
        <v>30</v>
      </c>
      <c r="G68" t="s">
        <v>24</v>
      </c>
      <c r="H68" s="2">
        <v>1</v>
      </c>
      <c r="I68" t="s">
        <v>174</v>
      </c>
      <c r="K68">
        <v>6430000</v>
      </c>
      <c r="L68">
        <v>0</v>
      </c>
      <c r="M68">
        <v>0</v>
      </c>
      <c r="N68">
        <v>707300</v>
      </c>
      <c r="O68">
        <v>0</v>
      </c>
      <c r="P68">
        <v>0</v>
      </c>
      <c r="Q68">
        <v>0</v>
      </c>
      <c r="R68">
        <v>7137300</v>
      </c>
      <c r="S68">
        <v>2423500</v>
      </c>
      <c r="T68">
        <v>37.690513219285002</v>
      </c>
      <c r="U68" t="str">
        <f t="shared" si="1"/>
        <v>Week 3</v>
      </c>
    </row>
    <row r="69" spans="1:21" x14ac:dyDescent="0.25">
      <c r="A69">
        <v>68</v>
      </c>
      <c r="B69" t="s">
        <v>175</v>
      </c>
      <c r="C69" s="1">
        <v>46097</v>
      </c>
      <c r="D69" t="s">
        <v>33</v>
      </c>
      <c r="E69" t="s">
        <v>34</v>
      </c>
      <c r="F69" t="s">
        <v>23</v>
      </c>
      <c r="G69" t="s">
        <v>24</v>
      </c>
      <c r="H69" s="2">
        <v>1</v>
      </c>
      <c r="I69" t="s">
        <v>176</v>
      </c>
      <c r="K69">
        <v>379434783</v>
      </c>
      <c r="L69">
        <v>0</v>
      </c>
      <c r="M69">
        <v>0</v>
      </c>
      <c r="N69">
        <v>41737826.130000003</v>
      </c>
      <c r="O69">
        <v>0</v>
      </c>
      <c r="P69">
        <v>0</v>
      </c>
      <c r="Q69">
        <v>0</v>
      </c>
      <c r="R69">
        <v>421172609.13</v>
      </c>
      <c r="S69">
        <v>58223583</v>
      </c>
      <c r="T69">
        <v>15.344819612914</v>
      </c>
      <c r="U69" t="str">
        <f t="shared" si="1"/>
        <v>Week 3</v>
      </c>
    </row>
    <row r="70" spans="1:21" x14ac:dyDescent="0.25">
      <c r="A70">
        <v>69</v>
      </c>
      <c r="B70" t="s">
        <v>177</v>
      </c>
      <c r="C70" s="1">
        <v>46097</v>
      </c>
      <c r="D70" t="s">
        <v>33</v>
      </c>
      <c r="E70" t="s">
        <v>34</v>
      </c>
      <c r="F70" t="s">
        <v>23</v>
      </c>
      <c r="G70" t="s">
        <v>24</v>
      </c>
      <c r="H70" s="2">
        <v>1</v>
      </c>
      <c r="I70" t="s">
        <v>178</v>
      </c>
      <c r="K70">
        <v>379434783</v>
      </c>
      <c r="L70">
        <v>0</v>
      </c>
      <c r="M70">
        <v>0</v>
      </c>
      <c r="N70">
        <v>41737826.130000003</v>
      </c>
      <c r="O70">
        <v>0</v>
      </c>
      <c r="P70">
        <v>0</v>
      </c>
      <c r="Q70">
        <v>0</v>
      </c>
      <c r="R70">
        <v>421172609.13</v>
      </c>
      <c r="S70">
        <v>58223583</v>
      </c>
      <c r="T70">
        <v>15.344819612914</v>
      </c>
      <c r="U70" t="str">
        <f t="shared" si="1"/>
        <v>Week 3</v>
      </c>
    </row>
    <row r="71" spans="1:21" x14ac:dyDescent="0.25">
      <c r="A71">
        <v>70</v>
      </c>
      <c r="B71" t="s">
        <v>179</v>
      </c>
      <c r="C71" s="1">
        <v>46097</v>
      </c>
      <c r="D71" t="s">
        <v>33</v>
      </c>
      <c r="E71" t="s">
        <v>34</v>
      </c>
      <c r="F71" t="s">
        <v>23</v>
      </c>
      <c r="G71" t="s">
        <v>24</v>
      </c>
      <c r="H71" s="2">
        <v>1</v>
      </c>
      <c r="I71" t="s">
        <v>180</v>
      </c>
      <c r="K71">
        <v>346489130</v>
      </c>
      <c r="L71">
        <v>0</v>
      </c>
      <c r="M71">
        <v>0</v>
      </c>
      <c r="N71">
        <v>38113804.299999997</v>
      </c>
      <c r="O71">
        <v>0</v>
      </c>
      <c r="P71">
        <v>0</v>
      </c>
      <c r="Q71">
        <v>0</v>
      </c>
      <c r="R71">
        <v>384602934.30000001</v>
      </c>
      <c r="S71">
        <v>53163130</v>
      </c>
      <c r="T71">
        <v>15.343375995662999</v>
      </c>
      <c r="U71" t="str">
        <f t="shared" si="1"/>
        <v>Week 3</v>
      </c>
    </row>
    <row r="72" spans="1:21" x14ac:dyDescent="0.25">
      <c r="A72">
        <v>71</v>
      </c>
      <c r="B72" t="s">
        <v>181</v>
      </c>
      <c r="C72" s="1">
        <v>46097</v>
      </c>
      <c r="D72" t="s">
        <v>37</v>
      </c>
      <c r="E72" t="s">
        <v>38</v>
      </c>
      <c r="F72" t="s">
        <v>23</v>
      </c>
      <c r="G72" t="s">
        <v>24</v>
      </c>
      <c r="H72" s="2">
        <v>1</v>
      </c>
      <c r="I72" t="s">
        <v>182</v>
      </c>
      <c r="J72" t="s">
        <v>57</v>
      </c>
      <c r="K72">
        <v>138280285</v>
      </c>
      <c r="L72">
        <v>0</v>
      </c>
      <c r="M72">
        <v>0</v>
      </c>
      <c r="N72">
        <v>15210831.35</v>
      </c>
      <c r="O72">
        <v>0</v>
      </c>
      <c r="P72">
        <v>0</v>
      </c>
      <c r="Q72">
        <v>0</v>
      </c>
      <c r="R72">
        <v>153491116.34999999</v>
      </c>
      <c r="S72">
        <v>31860831.317297</v>
      </c>
      <c r="T72">
        <v>23.040761969283999</v>
      </c>
      <c r="U72" t="str">
        <f t="shared" si="1"/>
        <v>Week 3</v>
      </c>
    </row>
    <row r="73" spans="1:21" x14ac:dyDescent="0.25">
      <c r="A73">
        <v>72</v>
      </c>
      <c r="B73" t="s">
        <v>183</v>
      </c>
      <c r="C73" s="1">
        <v>46097</v>
      </c>
      <c r="D73" t="s">
        <v>171</v>
      </c>
      <c r="E73" t="s">
        <v>100</v>
      </c>
      <c r="F73" t="s">
        <v>23</v>
      </c>
      <c r="G73" t="s">
        <v>24</v>
      </c>
      <c r="H73" s="2">
        <v>1</v>
      </c>
      <c r="I73" t="s">
        <v>184</v>
      </c>
      <c r="K73">
        <v>50760000</v>
      </c>
      <c r="L73">
        <v>0</v>
      </c>
      <c r="M73">
        <v>0</v>
      </c>
      <c r="N73">
        <v>5583600</v>
      </c>
      <c r="O73">
        <v>0</v>
      </c>
      <c r="P73">
        <v>0</v>
      </c>
      <c r="Q73">
        <v>0</v>
      </c>
      <c r="R73">
        <v>56343600</v>
      </c>
      <c r="S73">
        <v>50760000</v>
      </c>
      <c r="T73">
        <v>100</v>
      </c>
      <c r="U73" t="str">
        <f t="shared" si="1"/>
        <v>Week 3</v>
      </c>
    </row>
    <row r="74" spans="1:21" x14ac:dyDescent="0.25">
      <c r="A74">
        <v>73</v>
      </c>
      <c r="B74" t="s">
        <v>185</v>
      </c>
      <c r="C74" s="1">
        <v>46097</v>
      </c>
      <c r="D74" t="s">
        <v>186</v>
      </c>
      <c r="E74" t="s">
        <v>117</v>
      </c>
      <c r="F74" t="s">
        <v>30</v>
      </c>
      <c r="G74" t="s">
        <v>24</v>
      </c>
      <c r="H74" s="2">
        <v>1</v>
      </c>
      <c r="I74" t="s">
        <v>187</v>
      </c>
      <c r="J74" t="s">
        <v>26</v>
      </c>
      <c r="K74">
        <v>24411000</v>
      </c>
      <c r="L74">
        <v>0</v>
      </c>
      <c r="M74">
        <v>0</v>
      </c>
      <c r="N74">
        <v>2685210</v>
      </c>
      <c r="O74">
        <v>0</v>
      </c>
      <c r="P74">
        <v>0</v>
      </c>
      <c r="Q74">
        <v>0</v>
      </c>
      <c r="R74">
        <v>27096210</v>
      </c>
      <c r="S74">
        <v>711000</v>
      </c>
      <c r="T74">
        <v>2.9126213592233001</v>
      </c>
      <c r="U74" t="str">
        <f t="shared" si="1"/>
        <v>Week 3</v>
      </c>
    </row>
    <row r="75" spans="1:21" x14ac:dyDescent="0.25">
      <c r="A75">
        <v>74</v>
      </c>
      <c r="B75" t="s">
        <v>188</v>
      </c>
      <c r="C75" s="1">
        <v>46097</v>
      </c>
      <c r="D75" t="s">
        <v>33</v>
      </c>
      <c r="E75" t="s">
        <v>34</v>
      </c>
      <c r="F75" t="s">
        <v>23</v>
      </c>
      <c r="G75" t="s">
        <v>24</v>
      </c>
      <c r="H75" s="2">
        <v>1</v>
      </c>
      <c r="I75" t="s">
        <v>189</v>
      </c>
      <c r="K75">
        <v>379434783</v>
      </c>
      <c r="L75">
        <v>0</v>
      </c>
      <c r="M75">
        <v>0</v>
      </c>
      <c r="N75">
        <v>41737826.130000003</v>
      </c>
      <c r="O75">
        <v>0</v>
      </c>
      <c r="P75">
        <v>0</v>
      </c>
      <c r="Q75">
        <v>0</v>
      </c>
      <c r="R75">
        <v>421172609.13</v>
      </c>
      <c r="S75">
        <v>58223583</v>
      </c>
      <c r="T75">
        <v>15.344819612914</v>
      </c>
      <c r="U75" t="str">
        <f t="shared" si="1"/>
        <v>Week 3</v>
      </c>
    </row>
    <row r="76" spans="1:21" x14ac:dyDescent="0.25">
      <c r="A76">
        <v>75</v>
      </c>
      <c r="B76" t="s">
        <v>190</v>
      </c>
      <c r="C76" s="1">
        <v>46097</v>
      </c>
      <c r="D76" t="s">
        <v>33</v>
      </c>
      <c r="E76" t="s">
        <v>34</v>
      </c>
      <c r="F76" t="s">
        <v>30</v>
      </c>
      <c r="G76" t="s">
        <v>24</v>
      </c>
      <c r="H76" s="2">
        <v>1</v>
      </c>
      <c r="I76" t="s">
        <v>191</v>
      </c>
      <c r="K76">
        <v>193256</v>
      </c>
      <c r="L76">
        <v>0</v>
      </c>
      <c r="M76">
        <v>0</v>
      </c>
      <c r="N76">
        <v>21258.16</v>
      </c>
      <c r="O76">
        <v>0</v>
      </c>
      <c r="P76">
        <v>0</v>
      </c>
      <c r="Q76">
        <v>0</v>
      </c>
      <c r="R76">
        <v>214514.16</v>
      </c>
      <c r="S76">
        <v>101292.04</v>
      </c>
      <c r="T76">
        <v>52.413399842696002</v>
      </c>
      <c r="U76" t="str">
        <f t="shared" si="1"/>
        <v>Week 3</v>
      </c>
    </row>
    <row r="77" spans="1:21" x14ac:dyDescent="0.25">
      <c r="A77">
        <v>76</v>
      </c>
      <c r="B77" t="s">
        <v>192</v>
      </c>
      <c r="C77" s="1">
        <v>46097</v>
      </c>
      <c r="D77" t="s">
        <v>33</v>
      </c>
      <c r="E77" t="s">
        <v>34</v>
      </c>
      <c r="F77" t="s">
        <v>30</v>
      </c>
      <c r="G77" t="s">
        <v>24</v>
      </c>
      <c r="H77" s="2">
        <v>1</v>
      </c>
      <c r="I77" t="s">
        <v>193</v>
      </c>
      <c r="K77">
        <v>25956000</v>
      </c>
      <c r="L77">
        <v>0</v>
      </c>
      <c r="M77">
        <v>0</v>
      </c>
      <c r="N77">
        <v>2855160</v>
      </c>
      <c r="O77">
        <v>0</v>
      </c>
      <c r="P77">
        <v>0</v>
      </c>
      <c r="Q77">
        <v>0</v>
      </c>
      <c r="R77">
        <v>28811160</v>
      </c>
      <c r="S77">
        <v>1656000</v>
      </c>
      <c r="T77">
        <v>6.3800277392510001</v>
      </c>
      <c r="U77" t="str">
        <f t="shared" si="1"/>
        <v>Week 3</v>
      </c>
    </row>
    <row r="78" spans="1:21" x14ac:dyDescent="0.25">
      <c r="C78" s="1"/>
      <c r="H78" s="2"/>
    </row>
    <row r="79" spans="1:21" x14ac:dyDescent="0.25">
      <c r="A79">
        <v>78</v>
      </c>
      <c r="B79" t="s">
        <v>195</v>
      </c>
      <c r="C79" s="1">
        <v>46097</v>
      </c>
      <c r="D79" t="s">
        <v>54</v>
      </c>
      <c r="E79" t="s">
        <v>55</v>
      </c>
      <c r="F79" t="s">
        <v>30</v>
      </c>
      <c r="G79" t="s">
        <v>24</v>
      </c>
      <c r="H79" s="2">
        <v>1</v>
      </c>
      <c r="I79" t="s">
        <v>196</v>
      </c>
      <c r="K79">
        <v>397396855</v>
      </c>
      <c r="L79">
        <v>0</v>
      </c>
      <c r="M79">
        <v>0</v>
      </c>
      <c r="N79">
        <v>43713654.049999997</v>
      </c>
      <c r="O79">
        <v>0</v>
      </c>
      <c r="P79">
        <v>0</v>
      </c>
      <c r="Q79">
        <v>0</v>
      </c>
      <c r="R79">
        <v>441110509.05000001</v>
      </c>
      <c r="S79">
        <v>2593605</v>
      </c>
      <c r="T79">
        <v>0.65264859733225999</v>
      </c>
      <c r="U79" t="str">
        <f t="shared" si="1"/>
        <v>Week 3</v>
      </c>
    </row>
    <row r="80" spans="1:21" x14ac:dyDescent="0.25">
      <c r="A80">
        <v>79</v>
      </c>
      <c r="B80" t="s">
        <v>197</v>
      </c>
      <c r="C80" s="1">
        <v>46097</v>
      </c>
      <c r="D80" t="s">
        <v>33</v>
      </c>
      <c r="E80" t="s">
        <v>34</v>
      </c>
      <c r="F80" t="s">
        <v>30</v>
      </c>
      <c r="G80" t="s">
        <v>24</v>
      </c>
      <c r="H80" s="2">
        <v>1</v>
      </c>
      <c r="I80" t="s">
        <v>198</v>
      </c>
      <c r="K80">
        <v>26001515.3202</v>
      </c>
      <c r="L80">
        <v>0</v>
      </c>
      <c r="M80">
        <v>0</v>
      </c>
      <c r="N80">
        <v>2860166.6852219999</v>
      </c>
      <c r="O80">
        <v>0</v>
      </c>
      <c r="P80">
        <v>0</v>
      </c>
      <c r="Q80">
        <v>0</v>
      </c>
      <c r="R80">
        <v>28861682.005422</v>
      </c>
      <c r="S80">
        <v>11285074.608488001</v>
      </c>
      <c r="T80">
        <v>43.401603597007004</v>
      </c>
      <c r="U80" t="str">
        <f t="shared" si="1"/>
        <v>Week 3</v>
      </c>
    </row>
    <row r="81" spans="1:21" x14ac:dyDescent="0.25">
      <c r="A81">
        <v>80</v>
      </c>
      <c r="B81" t="s">
        <v>199</v>
      </c>
      <c r="C81" s="1">
        <v>46095</v>
      </c>
      <c r="D81" t="s">
        <v>54</v>
      </c>
      <c r="E81" t="s">
        <v>55</v>
      </c>
      <c r="F81" t="s">
        <v>39</v>
      </c>
      <c r="G81" t="s">
        <v>24</v>
      </c>
      <c r="H81" s="2">
        <v>1</v>
      </c>
      <c r="I81" t="s">
        <v>200</v>
      </c>
      <c r="K81">
        <v>397396855</v>
      </c>
      <c r="L81">
        <v>0</v>
      </c>
      <c r="M81">
        <v>0</v>
      </c>
      <c r="N81">
        <v>43713654.049999997</v>
      </c>
      <c r="O81">
        <v>0</v>
      </c>
      <c r="P81">
        <v>0</v>
      </c>
      <c r="Q81">
        <v>0</v>
      </c>
      <c r="R81">
        <v>441110509.05000001</v>
      </c>
      <c r="S81">
        <v>2593605</v>
      </c>
      <c r="T81">
        <v>0.65264859733225999</v>
      </c>
      <c r="U81" t="str">
        <f t="shared" si="1"/>
        <v>Week 2</v>
      </c>
    </row>
    <row r="82" spans="1:21" x14ac:dyDescent="0.25">
      <c r="A82">
        <v>81</v>
      </c>
      <c r="B82" t="s">
        <v>201</v>
      </c>
      <c r="C82" s="1">
        <v>46095</v>
      </c>
      <c r="D82" t="s">
        <v>99</v>
      </c>
      <c r="E82" t="s">
        <v>100</v>
      </c>
      <c r="F82" t="s">
        <v>30</v>
      </c>
      <c r="G82" t="s">
        <v>24</v>
      </c>
      <c r="H82" s="2">
        <v>1</v>
      </c>
      <c r="I82" t="s">
        <v>202</v>
      </c>
      <c r="K82">
        <v>35586500</v>
      </c>
      <c r="L82">
        <v>0</v>
      </c>
      <c r="M82">
        <v>0</v>
      </c>
      <c r="N82">
        <v>3914515</v>
      </c>
      <c r="O82">
        <v>0</v>
      </c>
      <c r="P82">
        <v>0</v>
      </c>
      <c r="Q82">
        <v>0</v>
      </c>
      <c r="R82">
        <v>39501015</v>
      </c>
      <c r="S82">
        <v>-24473500</v>
      </c>
      <c r="T82">
        <v>-68.771865735602006</v>
      </c>
      <c r="U82" t="str">
        <f t="shared" si="1"/>
        <v>Week 2</v>
      </c>
    </row>
    <row r="83" spans="1:21" x14ac:dyDescent="0.25">
      <c r="A83">
        <v>82</v>
      </c>
      <c r="B83" t="s">
        <v>203</v>
      </c>
      <c r="C83" s="1">
        <v>46095</v>
      </c>
      <c r="D83" t="s">
        <v>204</v>
      </c>
      <c r="E83" t="s">
        <v>205</v>
      </c>
      <c r="F83" t="s">
        <v>23</v>
      </c>
      <c r="G83" t="s">
        <v>24</v>
      </c>
      <c r="H83" s="2">
        <v>1</v>
      </c>
      <c r="I83" t="s">
        <v>206</v>
      </c>
      <c r="J83" t="s">
        <v>26</v>
      </c>
      <c r="K83">
        <v>752290</v>
      </c>
      <c r="L83">
        <v>0</v>
      </c>
      <c r="M83">
        <v>0</v>
      </c>
      <c r="N83">
        <v>82751.899999999994</v>
      </c>
      <c r="O83">
        <v>0</v>
      </c>
      <c r="P83">
        <v>0</v>
      </c>
      <c r="Q83">
        <v>0</v>
      </c>
      <c r="R83">
        <v>835041.9</v>
      </c>
      <c r="S83">
        <v>487017.1</v>
      </c>
      <c r="T83">
        <v>64.737946802430002</v>
      </c>
      <c r="U83" t="str">
        <f t="shared" si="1"/>
        <v>Week 2</v>
      </c>
    </row>
    <row r="84" spans="1:21" x14ac:dyDescent="0.25">
      <c r="A84">
        <v>83</v>
      </c>
      <c r="B84" t="s">
        <v>207</v>
      </c>
      <c r="C84" s="1">
        <v>46095</v>
      </c>
      <c r="D84" t="s">
        <v>54</v>
      </c>
      <c r="E84" t="s">
        <v>55</v>
      </c>
      <c r="F84" t="s">
        <v>30</v>
      </c>
      <c r="G84" t="s">
        <v>24</v>
      </c>
      <c r="H84" s="2">
        <v>1</v>
      </c>
      <c r="I84" t="s">
        <v>208</v>
      </c>
      <c r="K84">
        <v>4900000</v>
      </c>
      <c r="L84">
        <v>0</v>
      </c>
      <c r="M84">
        <v>0</v>
      </c>
      <c r="N84">
        <v>539000</v>
      </c>
      <c r="O84">
        <v>0</v>
      </c>
      <c r="P84">
        <v>0</v>
      </c>
      <c r="Q84">
        <v>0</v>
      </c>
      <c r="R84">
        <v>5439000</v>
      </c>
      <c r="S84">
        <v>1716216.22</v>
      </c>
      <c r="T84">
        <v>35.024820816327001</v>
      </c>
      <c r="U84" t="str">
        <f t="shared" si="1"/>
        <v>Week 2</v>
      </c>
    </row>
    <row r="85" spans="1:21" x14ac:dyDescent="0.25">
      <c r="A85">
        <v>84</v>
      </c>
      <c r="B85" t="s">
        <v>209</v>
      </c>
      <c r="C85" s="1">
        <v>46095</v>
      </c>
      <c r="D85" t="s">
        <v>54</v>
      </c>
      <c r="E85" t="s">
        <v>55</v>
      </c>
      <c r="F85" t="s">
        <v>30</v>
      </c>
      <c r="G85" t="s">
        <v>24</v>
      </c>
      <c r="H85" s="2">
        <v>1</v>
      </c>
      <c r="I85" t="s">
        <v>210</v>
      </c>
      <c r="K85">
        <v>8115625</v>
      </c>
      <c r="L85">
        <v>0</v>
      </c>
      <c r="M85">
        <v>0</v>
      </c>
      <c r="N85">
        <v>892718.75</v>
      </c>
      <c r="O85">
        <v>0</v>
      </c>
      <c r="P85">
        <v>0</v>
      </c>
      <c r="Q85">
        <v>0</v>
      </c>
      <c r="R85">
        <v>9008343.75</v>
      </c>
      <c r="S85">
        <v>2557066.4500000002</v>
      </c>
      <c r="T85">
        <v>31.507942395071002</v>
      </c>
      <c r="U85" t="str">
        <f t="shared" si="1"/>
        <v>Week 2</v>
      </c>
    </row>
    <row r="86" spans="1:21" x14ac:dyDescent="0.25">
      <c r="A86">
        <v>85</v>
      </c>
      <c r="B86" t="s">
        <v>211</v>
      </c>
      <c r="C86" s="1">
        <v>46095</v>
      </c>
      <c r="D86" t="s">
        <v>99</v>
      </c>
      <c r="E86" t="s">
        <v>100</v>
      </c>
      <c r="F86" t="s">
        <v>23</v>
      </c>
      <c r="G86" t="s">
        <v>24</v>
      </c>
      <c r="H86" s="2">
        <v>1</v>
      </c>
      <c r="I86" t="s">
        <v>212</v>
      </c>
      <c r="K86">
        <v>18620000</v>
      </c>
      <c r="L86">
        <v>0</v>
      </c>
      <c r="M86">
        <v>0</v>
      </c>
      <c r="N86">
        <v>2048200</v>
      </c>
      <c r="O86">
        <v>0</v>
      </c>
      <c r="P86">
        <v>0</v>
      </c>
      <c r="Q86">
        <v>0</v>
      </c>
      <c r="R86">
        <v>20668200</v>
      </c>
      <c r="S86">
        <v>1748000</v>
      </c>
      <c r="T86">
        <v>9.3877551020407992</v>
      </c>
      <c r="U86" t="str">
        <f t="shared" si="1"/>
        <v>Week 2</v>
      </c>
    </row>
    <row r="87" spans="1:21" x14ac:dyDescent="0.25">
      <c r="A87">
        <v>86</v>
      </c>
      <c r="B87" t="s">
        <v>213</v>
      </c>
      <c r="C87" s="1">
        <v>46095</v>
      </c>
      <c r="D87" t="s">
        <v>54</v>
      </c>
      <c r="E87" t="s">
        <v>55</v>
      </c>
      <c r="F87" t="s">
        <v>30</v>
      </c>
      <c r="G87" t="s">
        <v>24</v>
      </c>
      <c r="H87" s="2">
        <v>1</v>
      </c>
      <c r="I87" t="s">
        <v>214</v>
      </c>
      <c r="K87">
        <v>11153625</v>
      </c>
      <c r="L87">
        <v>0</v>
      </c>
      <c r="M87">
        <v>0</v>
      </c>
      <c r="N87">
        <v>1226898.75</v>
      </c>
      <c r="O87">
        <v>0</v>
      </c>
      <c r="P87">
        <v>0</v>
      </c>
      <c r="Q87">
        <v>0</v>
      </c>
      <c r="R87">
        <v>12380523.75</v>
      </c>
      <c r="S87">
        <v>3777453.8288288</v>
      </c>
      <c r="T87">
        <v>33.867498941633997</v>
      </c>
      <c r="U87" t="str">
        <f t="shared" si="1"/>
        <v>Week 2</v>
      </c>
    </row>
    <row r="88" spans="1:21" x14ac:dyDescent="0.25">
      <c r="A88">
        <v>87</v>
      </c>
      <c r="B88" t="s">
        <v>215</v>
      </c>
      <c r="C88" s="1">
        <v>46095</v>
      </c>
      <c r="D88" t="s">
        <v>99</v>
      </c>
      <c r="E88" t="s">
        <v>100</v>
      </c>
      <c r="F88" t="s">
        <v>30</v>
      </c>
      <c r="G88" t="s">
        <v>24</v>
      </c>
      <c r="H88" s="2">
        <v>1</v>
      </c>
      <c r="I88" t="s">
        <v>216</v>
      </c>
      <c r="J88" t="s">
        <v>26</v>
      </c>
      <c r="K88">
        <v>1847300</v>
      </c>
      <c r="L88">
        <v>0</v>
      </c>
      <c r="M88">
        <v>0</v>
      </c>
      <c r="N88">
        <v>203203</v>
      </c>
      <c r="O88">
        <v>0</v>
      </c>
      <c r="P88">
        <v>0</v>
      </c>
      <c r="Q88">
        <v>0</v>
      </c>
      <c r="R88">
        <v>2050503</v>
      </c>
      <c r="S88">
        <v>585800</v>
      </c>
      <c r="T88">
        <v>31.711145996860001</v>
      </c>
      <c r="U88" t="str">
        <f t="shared" si="1"/>
        <v>Week 2</v>
      </c>
    </row>
    <row r="89" spans="1:21" x14ac:dyDescent="0.25">
      <c r="A89">
        <v>88</v>
      </c>
      <c r="B89" t="s">
        <v>217</v>
      </c>
      <c r="C89" s="1">
        <v>46095</v>
      </c>
      <c r="D89" t="s">
        <v>99</v>
      </c>
      <c r="E89" t="s">
        <v>100</v>
      </c>
      <c r="F89" t="s">
        <v>30</v>
      </c>
      <c r="G89" t="s">
        <v>24</v>
      </c>
      <c r="H89" s="2">
        <v>1</v>
      </c>
      <c r="I89" t="s">
        <v>218</v>
      </c>
      <c r="K89">
        <v>66641006.399999999</v>
      </c>
      <c r="L89">
        <v>0</v>
      </c>
      <c r="M89">
        <v>0</v>
      </c>
      <c r="N89">
        <v>7330510.7039999999</v>
      </c>
      <c r="O89">
        <v>0</v>
      </c>
      <c r="P89">
        <v>0</v>
      </c>
      <c r="Q89">
        <v>0</v>
      </c>
      <c r="R89">
        <v>73971517.104000002</v>
      </c>
      <c r="S89">
        <v>1941004.8</v>
      </c>
      <c r="T89">
        <v>2.9126282822763998</v>
      </c>
      <c r="U89" t="str">
        <f t="shared" si="1"/>
        <v>Week 2</v>
      </c>
    </row>
    <row r="90" spans="1:21" x14ac:dyDescent="0.25">
      <c r="A90">
        <v>89</v>
      </c>
      <c r="B90" t="s">
        <v>219</v>
      </c>
      <c r="C90" s="1">
        <v>46095</v>
      </c>
      <c r="D90" t="s">
        <v>171</v>
      </c>
      <c r="E90" t="s">
        <v>100</v>
      </c>
      <c r="F90" t="s">
        <v>30</v>
      </c>
      <c r="G90" t="s">
        <v>24</v>
      </c>
      <c r="H90" s="2">
        <v>1</v>
      </c>
      <c r="I90" t="s">
        <v>220</v>
      </c>
      <c r="K90">
        <v>17534205</v>
      </c>
      <c r="L90">
        <v>0</v>
      </c>
      <c r="M90">
        <v>0</v>
      </c>
      <c r="N90">
        <v>1928762.55</v>
      </c>
      <c r="O90">
        <v>0</v>
      </c>
      <c r="P90">
        <v>0</v>
      </c>
      <c r="Q90">
        <v>0</v>
      </c>
      <c r="R90">
        <v>19462967.550000001</v>
      </c>
      <c r="S90">
        <v>510705</v>
      </c>
      <c r="T90">
        <v>2.9126213592233001</v>
      </c>
      <c r="U90" t="str">
        <f t="shared" si="1"/>
        <v>Week 2</v>
      </c>
    </row>
    <row r="91" spans="1:21" x14ac:dyDescent="0.25">
      <c r="A91">
        <v>90</v>
      </c>
      <c r="B91" t="s">
        <v>221</v>
      </c>
      <c r="C91" s="1">
        <v>46095</v>
      </c>
      <c r="D91" t="s">
        <v>171</v>
      </c>
      <c r="E91" t="s">
        <v>100</v>
      </c>
      <c r="F91" t="s">
        <v>30</v>
      </c>
      <c r="G91" t="s">
        <v>24</v>
      </c>
      <c r="H91" s="2">
        <v>1</v>
      </c>
      <c r="I91" t="s">
        <v>220</v>
      </c>
      <c r="J91" t="s">
        <v>26</v>
      </c>
      <c r="K91">
        <v>6074534</v>
      </c>
      <c r="L91">
        <v>0</v>
      </c>
      <c r="M91">
        <v>0</v>
      </c>
      <c r="N91">
        <v>668198.74</v>
      </c>
      <c r="O91">
        <v>0</v>
      </c>
      <c r="P91">
        <v>0</v>
      </c>
      <c r="Q91">
        <v>0</v>
      </c>
      <c r="R91">
        <v>6742732.7400000002</v>
      </c>
      <c r="S91">
        <v>554534</v>
      </c>
      <c r="T91">
        <v>9.1288319400303006</v>
      </c>
      <c r="U91" t="str">
        <f t="shared" si="1"/>
        <v>Week 2</v>
      </c>
    </row>
    <row r="92" spans="1:21" x14ac:dyDescent="0.25">
      <c r="A92">
        <v>91</v>
      </c>
      <c r="B92" t="s">
        <v>222</v>
      </c>
      <c r="C92" s="1">
        <v>46095</v>
      </c>
      <c r="D92" t="s">
        <v>171</v>
      </c>
      <c r="E92" t="s">
        <v>100</v>
      </c>
      <c r="F92" t="s">
        <v>30</v>
      </c>
      <c r="G92" t="s">
        <v>24</v>
      </c>
      <c r="H92" s="2">
        <v>1</v>
      </c>
      <c r="I92" t="s">
        <v>223</v>
      </c>
      <c r="K92">
        <v>63275732.520000003</v>
      </c>
      <c r="L92">
        <v>0</v>
      </c>
      <c r="M92">
        <v>0</v>
      </c>
      <c r="N92">
        <v>6960330.5772000002</v>
      </c>
      <c r="O92">
        <v>0</v>
      </c>
      <c r="P92">
        <v>0</v>
      </c>
      <c r="Q92">
        <v>0</v>
      </c>
      <c r="R92">
        <v>70236063.097200006</v>
      </c>
      <c r="S92">
        <v>46370714.520000003</v>
      </c>
      <c r="T92">
        <v>73.283568080928006</v>
      </c>
      <c r="U92" t="str">
        <f t="shared" si="1"/>
        <v>Week 2</v>
      </c>
    </row>
    <row r="93" spans="1:21" x14ac:dyDescent="0.25">
      <c r="A93">
        <v>92</v>
      </c>
      <c r="B93" t="s">
        <v>224</v>
      </c>
      <c r="C93" s="1">
        <v>46095</v>
      </c>
      <c r="D93" t="s">
        <v>171</v>
      </c>
      <c r="E93" t="s">
        <v>100</v>
      </c>
      <c r="F93" t="s">
        <v>30</v>
      </c>
      <c r="G93" t="s">
        <v>24</v>
      </c>
      <c r="H93" s="2">
        <v>1</v>
      </c>
      <c r="I93" t="s">
        <v>223</v>
      </c>
      <c r="J93" t="s">
        <v>26</v>
      </c>
      <c r="K93">
        <v>2997300</v>
      </c>
      <c r="L93">
        <v>0</v>
      </c>
      <c r="M93">
        <v>0</v>
      </c>
      <c r="N93">
        <v>329703</v>
      </c>
      <c r="O93">
        <v>0</v>
      </c>
      <c r="P93">
        <v>0</v>
      </c>
      <c r="Q93">
        <v>0</v>
      </c>
      <c r="R93">
        <v>3327003</v>
      </c>
      <c r="S93">
        <v>669300</v>
      </c>
      <c r="T93">
        <v>22.330097087378999</v>
      </c>
      <c r="U93" t="str">
        <f t="shared" si="1"/>
        <v>Week 2</v>
      </c>
    </row>
    <row r="94" spans="1:21" x14ac:dyDescent="0.25">
      <c r="A94">
        <v>93</v>
      </c>
      <c r="B94" t="s">
        <v>225</v>
      </c>
      <c r="C94" s="1">
        <v>46094</v>
      </c>
      <c r="D94" t="s">
        <v>37</v>
      </c>
      <c r="E94" t="s">
        <v>38</v>
      </c>
      <c r="F94" t="s">
        <v>30</v>
      </c>
      <c r="G94" t="s">
        <v>24</v>
      </c>
      <c r="H94" s="2">
        <v>1</v>
      </c>
      <c r="I94" t="s">
        <v>226</v>
      </c>
      <c r="K94">
        <v>539000</v>
      </c>
      <c r="L94">
        <v>0</v>
      </c>
      <c r="M94">
        <v>0</v>
      </c>
      <c r="N94">
        <v>59290</v>
      </c>
      <c r="O94">
        <v>0</v>
      </c>
      <c r="P94">
        <v>0</v>
      </c>
      <c r="Q94">
        <v>0</v>
      </c>
      <c r="R94">
        <v>598290</v>
      </c>
      <c r="S94">
        <v>39000</v>
      </c>
      <c r="T94">
        <v>0</v>
      </c>
      <c r="U94" t="str">
        <f t="shared" si="1"/>
        <v>Week 2</v>
      </c>
    </row>
    <row r="95" spans="1:21" x14ac:dyDescent="0.25">
      <c r="A95">
        <v>94</v>
      </c>
      <c r="B95" t="s">
        <v>227</v>
      </c>
      <c r="C95" s="1">
        <v>46094</v>
      </c>
      <c r="D95" t="s">
        <v>204</v>
      </c>
      <c r="E95" t="s">
        <v>205</v>
      </c>
      <c r="F95" t="s">
        <v>39</v>
      </c>
      <c r="G95" t="s">
        <v>24</v>
      </c>
      <c r="H95" s="2">
        <v>1</v>
      </c>
      <c r="I95" t="s">
        <v>228</v>
      </c>
      <c r="J95" t="s">
        <v>26</v>
      </c>
      <c r="K95">
        <v>258100</v>
      </c>
      <c r="L95">
        <v>0</v>
      </c>
      <c r="M95">
        <v>0</v>
      </c>
      <c r="N95">
        <v>28391</v>
      </c>
      <c r="O95">
        <v>0</v>
      </c>
      <c r="P95">
        <v>0</v>
      </c>
      <c r="Q95">
        <v>0</v>
      </c>
      <c r="R95">
        <v>286491</v>
      </c>
      <c r="S95">
        <v>63541.442882882999</v>
      </c>
      <c r="T95">
        <v>24.618924015065001</v>
      </c>
      <c r="U95" t="str">
        <f t="shared" si="1"/>
        <v>Week 2</v>
      </c>
    </row>
    <row r="96" spans="1:21" x14ac:dyDescent="0.25">
      <c r="A96">
        <v>95</v>
      </c>
      <c r="B96" t="s">
        <v>229</v>
      </c>
      <c r="C96" s="1">
        <v>46094</v>
      </c>
      <c r="D96" t="s">
        <v>21</v>
      </c>
      <c r="E96" t="s">
        <v>22</v>
      </c>
      <c r="F96" t="s">
        <v>30</v>
      </c>
      <c r="G96" t="s">
        <v>24</v>
      </c>
      <c r="H96" s="2">
        <v>1</v>
      </c>
      <c r="I96" t="s">
        <v>230</v>
      </c>
      <c r="J96" t="s">
        <v>26</v>
      </c>
      <c r="K96">
        <v>3479000</v>
      </c>
      <c r="L96">
        <v>0</v>
      </c>
      <c r="M96">
        <v>0</v>
      </c>
      <c r="N96">
        <v>382690</v>
      </c>
      <c r="O96">
        <v>0</v>
      </c>
      <c r="P96">
        <v>0</v>
      </c>
      <c r="Q96">
        <v>0</v>
      </c>
      <c r="R96">
        <v>3861690</v>
      </c>
      <c r="S96">
        <v>737550</v>
      </c>
      <c r="T96">
        <v>0</v>
      </c>
      <c r="U96" t="str">
        <f t="shared" si="1"/>
        <v>Week 2</v>
      </c>
    </row>
    <row r="97" spans="1:21" x14ac:dyDescent="0.25">
      <c r="A97">
        <v>96</v>
      </c>
      <c r="B97" t="s">
        <v>231</v>
      </c>
      <c r="C97" s="1">
        <v>46094</v>
      </c>
      <c r="D97" t="s">
        <v>99</v>
      </c>
      <c r="E97" t="s">
        <v>100</v>
      </c>
      <c r="F97" t="s">
        <v>30</v>
      </c>
      <c r="G97" t="s">
        <v>24</v>
      </c>
      <c r="H97" s="2">
        <v>1</v>
      </c>
      <c r="I97" t="s">
        <v>232</v>
      </c>
      <c r="J97" t="s">
        <v>26</v>
      </c>
      <c r="K97">
        <v>1911000</v>
      </c>
      <c r="L97">
        <v>0</v>
      </c>
      <c r="M97">
        <v>0</v>
      </c>
      <c r="N97">
        <v>210210</v>
      </c>
      <c r="O97">
        <v>0</v>
      </c>
      <c r="P97">
        <v>0</v>
      </c>
      <c r="Q97">
        <v>0</v>
      </c>
      <c r="R97">
        <v>2121210</v>
      </c>
      <c r="S97">
        <v>667756.76</v>
      </c>
      <c r="T97">
        <v>34.942792255363997</v>
      </c>
      <c r="U97" t="str">
        <f t="shared" si="1"/>
        <v>Week 2</v>
      </c>
    </row>
    <row r="98" spans="1:21" x14ac:dyDescent="0.25">
      <c r="A98">
        <v>97</v>
      </c>
      <c r="B98" t="s">
        <v>233</v>
      </c>
      <c r="C98" s="1">
        <v>46094</v>
      </c>
      <c r="D98" t="s">
        <v>33</v>
      </c>
      <c r="E98" t="s">
        <v>34</v>
      </c>
      <c r="F98" t="s">
        <v>23</v>
      </c>
      <c r="G98" t="s">
        <v>24</v>
      </c>
      <c r="H98" s="2">
        <v>1</v>
      </c>
      <c r="I98" t="s">
        <v>234</v>
      </c>
      <c r="K98">
        <v>55162500</v>
      </c>
      <c r="L98">
        <v>0</v>
      </c>
      <c r="M98">
        <v>0</v>
      </c>
      <c r="N98">
        <v>6067875</v>
      </c>
      <c r="O98">
        <v>0</v>
      </c>
      <c r="P98">
        <v>0</v>
      </c>
      <c r="Q98">
        <v>0</v>
      </c>
      <c r="R98">
        <v>61230375</v>
      </c>
      <c r="S98">
        <v>14872500</v>
      </c>
      <c r="T98">
        <v>26.961250849761999</v>
      </c>
      <c r="U98" t="str">
        <f t="shared" si="1"/>
        <v>Week 2</v>
      </c>
    </row>
    <row r="99" spans="1:21" x14ac:dyDescent="0.25">
      <c r="A99">
        <v>98</v>
      </c>
      <c r="B99" t="s">
        <v>235</v>
      </c>
      <c r="C99" s="1">
        <v>46094</v>
      </c>
      <c r="D99" t="s">
        <v>204</v>
      </c>
      <c r="E99" t="s">
        <v>205</v>
      </c>
      <c r="F99" t="s">
        <v>23</v>
      </c>
      <c r="G99" t="s">
        <v>24</v>
      </c>
      <c r="H99" s="2">
        <v>1</v>
      </c>
      <c r="I99" t="s">
        <v>236</v>
      </c>
      <c r="J99" t="s">
        <v>26</v>
      </c>
      <c r="K99">
        <v>42450000</v>
      </c>
      <c r="L99">
        <v>0</v>
      </c>
      <c r="M99">
        <v>0</v>
      </c>
      <c r="N99">
        <v>4669500</v>
      </c>
      <c r="O99">
        <v>0</v>
      </c>
      <c r="P99">
        <v>0</v>
      </c>
      <c r="Q99">
        <v>0</v>
      </c>
      <c r="R99">
        <v>47119500</v>
      </c>
      <c r="S99">
        <v>8850000</v>
      </c>
      <c r="T99">
        <v>20.848056537102</v>
      </c>
      <c r="U99" t="str">
        <f t="shared" si="1"/>
        <v>Week 2</v>
      </c>
    </row>
    <row r="100" spans="1:21" x14ac:dyDescent="0.25">
      <c r="A100">
        <v>99</v>
      </c>
      <c r="B100" t="s">
        <v>237</v>
      </c>
      <c r="C100" s="1">
        <v>46094</v>
      </c>
      <c r="D100" t="s">
        <v>54</v>
      </c>
      <c r="E100" t="s">
        <v>55</v>
      </c>
      <c r="F100" t="s">
        <v>23</v>
      </c>
      <c r="G100" t="s">
        <v>24</v>
      </c>
      <c r="H100" s="2">
        <v>1</v>
      </c>
      <c r="I100" t="s">
        <v>238</v>
      </c>
      <c r="K100">
        <v>48732600</v>
      </c>
      <c r="L100">
        <v>0</v>
      </c>
      <c r="M100">
        <v>0</v>
      </c>
      <c r="N100">
        <v>5360586</v>
      </c>
      <c r="O100">
        <v>0</v>
      </c>
      <c r="P100">
        <v>0</v>
      </c>
      <c r="Q100">
        <v>0</v>
      </c>
      <c r="R100">
        <v>54093186</v>
      </c>
      <c r="S100">
        <v>17118244.621630002</v>
      </c>
      <c r="T100">
        <v>35.126885537874003</v>
      </c>
      <c r="U100" t="str">
        <f t="shared" si="1"/>
        <v>Week 2</v>
      </c>
    </row>
    <row r="101" spans="1:21" x14ac:dyDescent="0.25">
      <c r="A101">
        <v>100</v>
      </c>
      <c r="B101" t="s">
        <v>239</v>
      </c>
      <c r="C101" s="1">
        <v>46094</v>
      </c>
      <c r="D101" t="s">
        <v>33</v>
      </c>
      <c r="E101" t="s">
        <v>34</v>
      </c>
      <c r="F101" t="s">
        <v>30</v>
      </c>
      <c r="G101" t="s">
        <v>24</v>
      </c>
      <c r="H101" s="2">
        <v>1</v>
      </c>
      <c r="I101" t="s">
        <v>240</v>
      </c>
      <c r="K101">
        <v>59475290</v>
      </c>
      <c r="L101">
        <v>0</v>
      </c>
      <c r="M101">
        <v>0</v>
      </c>
      <c r="N101">
        <v>6542281.9000000004</v>
      </c>
      <c r="O101">
        <v>0</v>
      </c>
      <c r="P101">
        <v>0</v>
      </c>
      <c r="Q101">
        <v>0</v>
      </c>
      <c r="R101">
        <v>66017571.899999999</v>
      </c>
      <c r="S101">
        <v>18559533.600000001</v>
      </c>
      <c r="T101">
        <v>31.2054528864</v>
      </c>
      <c r="U101" t="str">
        <f t="shared" si="1"/>
        <v>Week 2</v>
      </c>
    </row>
    <row r="102" spans="1:21" x14ac:dyDescent="0.25">
      <c r="A102">
        <v>101</v>
      </c>
      <c r="B102" t="s">
        <v>241</v>
      </c>
      <c r="C102" s="1">
        <v>46094</v>
      </c>
      <c r="D102" t="s">
        <v>99</v>
      </c>
      <c r="E102" t="s">
        <v>100</v>
      </c>
      <c r="F102" t="s">
        <v>30</v>
      </c>
      <c r="G102" t="s">
        <v>24</v>
      </c>
      <c r="H102" s="2">
        <v>1</v>
      </c>
      <c r="I102" t="s">
        <v>242</v>
      </c>
      <c r="J102" t="s">
        <v>57</v>
      </c>
      <c r="K102">
        <v>91874907</v>
      </c>
      <c r="L102">
        <v>0</v>
      </c>
      <c r="M102">
        <v>0</v>
      </c>
      <c r="N102">
        <v>10106239.77</v>
      </c>
      <c r="O102">
        <v>0</v>
      </c>
      <c r="P102">
        <v>0</v>
      </c>
      <c r="Q102">
        <v>0</v>
      </c>
      <c r="R102">
        <v>101981146.77</v>
      </c>
      <c r="S102">
        <v>-46668393</v>
      </c>
      <c r="T102">
        <v>-50.795581213486003</v>
      </c>
      <c r="U102" t="str">
        <f t="shared" si="1"/>
        <v>Week 2</v>
      </c>
    </row>
    <row r="103" spans="1:21" x14ac:dyDescent="0.25">
      <c r="A103">
        <v>102</v>
      </c>
      <c r="B103" t="s">
        <v>243</v>
      </c>
      <c r="C103" s="1">
        <v>46094</v>
      </c>
      <c r="D103" t="s">
        <v>33</v>
      </c>
      <c r="E103" t="s">
        <v>38</v>
      </c>
      <c r="F103" t="s">
        <v>23</v>
      </c>
      <c r="G103" t="s">
        <v>24</v>
      </c>
      <c r="H103" s="2">
        <v>1</v>
      </c>
      <c r="I103" t="s">
        <v>244</v>
      </c>
      <c r="J103" t="s">
        <v>26</v>
      </c>
      <c r="K103">
        <v>1973125</v>
      </c>
      <c r="L103">
        <v>0</v>
      </c>
      <c r="M103">
        <v>0</v>
      </c>
      <c r="N103">
        <v>217043.75</v>
      </c>
      <c r="O103">
        <v>0</v>
      </c>
      <c r="P103">
        <v>0</v>
      </c>
      <c r="Q103">
        <v>0</v>
      </c>
      <c r="R103">
        <v>2190168.75</v>
      </c>
      <c r="S103">
        <v>398125</v>
      </c>
      <c r="T103">
        <v>20.177383592018</v>
      </c>
      <c r="U103" t="str">
        <f t="shared" si="1"/>
        <v>Week 2</v>
      </c>
    </row>
    <row r="104" spans="1:21" x14ac:dyDescent="0.25">
      <c r="A104">
        <v>103</v>
      </c>
      <c r="B104" t="s">
        <v>245</v>
      </c>
      <c r="C104" s="1">
        <v>46094</v>
      </c>
      <c r="D104" t="s">
        <v>21</v>
      </c>
      <c r="E104" t="s">
        <v>22</v>
      </c>
      <c r="F104" t="s">
        <v>23</v>
      </c>
      <c r="G104" t="s">
        <v>24</v>
      </c>
      <c r="H104" s="2">
        <v>1</v>
      </c>
      <c r="I104" t="s">
        <v>246</v>
      </c>
      <c r="J104" t="s">
        <v>26</v>
      </c>
      <c r="K104">
        <v>2970000</v>
      </c>
      <c r="L104">
        <v>0</v>
      </c>
      <c r="M104">
        <v>0</v>
      </c>
      <c r="N104">
        <v>326700</v>
      </c>
      <c r="O104">
        <v>0</v>
      </c>
      <c r="P104">
        <v>0</v>
      </c>
      <c r="Q104">
        <v>0</v>
      </c>
      <c r="R104">
        <v>3296700</v>
      </c>
      <c r="S104">
        <v>595000</v>
      </c>
      <c r="T104">
        <v>20.033670033669999</v>
      </c>
      <c r="U104" t="str">
        <f t="shared" si="1"/>
        <v>Week 2</v>
      </c>
    </row>
    <row r="105" spans="1:21" x14ac:dyDescent="0.25">
      <c r="A105">
        <v>104</v>
      </c>
      <c r="B105" t="s">
        <v>247</v>
      </c>
      <c r="C105" s="1">
        <v>46094</v>
      </c>
      <c r="D105" t="s">
        <v>171</v>
      </c>
      <c r="E105" t="s">
        <v>100</v>
      </c>
      <c r="F105" t="s">
        <v>30</v>
      </c>
      <c r="G105" t="s">
        <v>24</v>
      </c>
      <c r="H105" s="2">
        <v>1</v>
      </c>
      <c r="I105" t="s">
        <v>248</v>
      </c>
      <c r="J105" t="s">
        <v>26</v>
      </c>
      <c r="K105">
        <v>56234918</v>
      </c>
      <c r="L105">
        <v>0</v>
      </c>
      <c r="M105">
        <v>0</v>
      </c>
      <c r="N105">
        <v>6185840.9800000004</v>
      </c>
      <c r="O105">
        <v>0</v>
      </c>
      <c r="P105">
        <v>0</v>
      </c>
      <c r="Q105">
        <v>0</v>
      </c>
      <c r="R105">
        <v>62420758.979999997</v>
      </c>
      <c r="S105">
        <v>4242432</v>
      </c>
      <c r="T105">
        <v>7.5441240974157999</v>
      </c>
      <c r="U105" t="str">
        <f t="shared" si="1"/>
        <v>Week 2</v>
      </c>
    </row>
    <row r="106" spans="1:21" x14ac:dyDescent="0.25">
      <c r="A106">
        <v>105</v>
      </c>
      <c r="B106" t="s">
        <v>249</v>
      </c>
      <c r="C106" s="1">
        <v>46094</v>
      </c>
      <c r="D106" t="s">
        <v>54</v>
      </c>
      <c r="E106" t="s">
        <v>55</v>
      </c>
      <c r="F106" t="s">
        <v>23</v>
      </c>
      <c r="G106" t="s">
        <v>24</v>
      </c>
      <c r="H106" s="2">
        <v>1</v>
      </c>
      <c r="I106" t="s">
        <v>250</v>
      </c>
      <c r="K106">
        <v>35981698</v>
      </c>
      <c r="L106">
        <v>0</v>
      </c>
      <c r="M106">
        <v>0</v>
      </c>
      <c r="N106">
        <v>3957986.78</v>
      </c>
      <c r="O106">
        <v>0</v>
      </c>
      <c r="P106">
        <v>0</v>
      </c>
      <c r="Q106">
        <v>0</v>
      </c>
      <c r="R106">
        <v>39939684.780000001</v>
      </c>
      <c r="S106">
        <v>10293498</v>
      </c>
      <c r="T106">
        <v>28.607593782816998</v>
      </c>
      <c r="U106" t="str">
        <f t="shared" si="1"/>
        <v>Week 2</v>
      </c>
    </row>
    <row r="107" spans="1:21" x14ac:dyDescent="0.25">
      <c r="A107">
        <v>106</v>
      </c>
      <c r="B107" t="s">
        <v>251</v>
      </c>
      <c r="C107" s="1">
        <v>46094</v>
      </c>
      <c r="D107" t="s">
        <v>252</v>
      </c>
      <c r="E107" t="s">
        <v>117</v>
      </c>
      <c r="F107" t="s">
        <v>23</v>
      </c>
      <c r="G107" t="s">
        <v>24</v>
      </c>
      <c r="H107" s="2">
        <v>1</v>
      </c>
      <c r="I107" t="s">
        <v>253</v>
      </c>
      <c r="J107" t="s">
        <v>26</v>
      </c>
      <c r="K107">
        <v>19580110</v>
      </c>
      <c r="L107">
        <v>0</v>
      </c>
      <c r="M107">
        <v>0</v>
      </c>
      <c r="N107">
        <v>2153812.1</v>
      </c>
      <c r="O107">
        <v>0</v>
      </c>
      <c r="P107">
        <v>0</v>
      </c>
      <c r="Q107">
        <v>0</v>
      </c>
      <c r="R107">
        <v>21733922.100000001</v>
      </c>
      <c r="S107">
        <v>12196398.289999999</v>
      </c>
      <c r="T107">
        <v>62.289733254818003</v>
      </c>
      <c r="U107" t="str">
        <f t="shared" si="1"/>
        <v>Week 2</v>
      </c>
    </row>
    <row r="108" spans="1:21" x14ac:dyDescent="0.25">
      <c r="A108">
        <v>107</v>
      </c>
      <c r="B108" t="s">
        <v>254</v>
      </c>
      <c r="C108" s="1">
        <v>46093</v>
      </c>
      <c r="D108" t="s">
        <v>255</v>
      </c>
      <c r="E108" t="s">
        <v>205</v>
      </c>
      <c r="F108" t="s">
        <v>30</v>
      </c>
      <c r="G108" t="s">
        <v>24</v>
      </c>
      <c r="H108" s="2">
        <v>1</v>
      </c>
      <c r="I108" t="s">
        <v>256</v>
      </c>
      <c r="J108" t="s">
        <v>26</v>
      </c>
      <c r="K108">
        <v>64937290</v>
      </c>
      <c r="L108">
        <v>0</v>
      </c>
      <c r="M108">
        <v>0</v>
      </c>
      <c r="N108">
        <v>7143101.9000000004</v>
      </c>
      <c r="O108">
        <v>0</v>
      </c>
      <c r="P108">
        <v>0</v>
      </c>
      <c r="Q108">
        <v>0</v>
      </c>
      <c r="R108">
        <v>72080391.900000006</v>
      </c>
      <c r="S108">
        <v>2991118.4</v>
      </c>
      <c r="T108">
        <v>4.6061645011671999</v>
      </c>
      <c r="U108" t="str">
        <f t="shared" si="1"/>
        <v>Week 2</v>
      </c>
    </row>
    <row r="109" spans="1:21" x14ac:dyDescent="0.25">
      <c r="A109">
        <v>108</v>
      </c>
      <c r="B109" t="s">
        <v>257</v>
      </c>
      <c r="C109" s="1">
        <v>46093</v>
      </c>
      <c r="D109" t="s">
        <v>54</v>
      </c>
      <c r="E109" t="s">
        <v>55</v>
      </c>
      <c r="F109" t="s">
        <v>23</v>
      </c>
      <c r="G109" t="s">
        <v>24</v>
      </c>
      <c r="H109" s="2">
        <v>1</v>
      </c>
      <c r="I109" t="s">
        <v>258</v>
      </c>
      <c r="K109">
        <v>44850000</v>
      </c>
      <c r="L109">
        <v>0</v>
      </c>
      <c r="M109">
        <v>0</v>
      </c>
      <c r="N109">
        <v>4933500</v>
      </c>
      <c r="O109">
        <v>0</v>
      </c>
      <c r="P109">
        <v>0</v>
      </c>
      <c r="Q109">
        <v>0</v>
      </c>
      <c r="R109">
        <v>49783500</v>
      </c>
      <c r="S109">
        <v>19201351.338</v>
      </c>
      <c r="T109">
        <v>42.812377565216998</v>
      </c>
      <c r="U109" t="str">
        <f t="shared" si="1"/>
        <v>Week 2</v>
      </c>
    </row>
    <row r="110" spans="1:21" x14ac:dyDescent="0.25">
      <c r="A110">
        <v>109</v>
      </c>
      <c r="B110" t="s">
        <v>259</v>
      </c>
      <c r="C110" s="1">
        <v>46093</v>
      </c>
      <c r="D110" t="s">
        <v>171</v>
      </c>
      <c r="E110" t="s">
        <v>100</v>
      </c>
      <c r="F110" t="s">
        <v>30</v>
      </c>
      <c r="G110" t="s">
        <v>24</v>
      </c>
      <c r="H110" s="2">
        <v>1</v>
      </c>
      <c r="I110" t="s">
        <v>260</v>
      </c>
      <c r="J110" t="s">
        <v>26</v>
      </c>
      <c r="K110">
        <v>17084610</v>
      </c>
      <c r="L110">
        <v>0</v>
      </c>
      <c r="M110">
        <v>0</v>
      </c>
      <c r="N110">
        <v>1879307.1</v>
      </c>
      <c r="O110">
        <v>0</v>
      </c>
      <c r="P110">
        <v>0</v>
      </c>
      <c r="Q110">
        <v>0</v>
      </c>
      <c r="R110">
        <v>18963917.100000001</v>
      </c>
      <c r="S110">
        <v>3989169</v>
      </c>
      <c r="T110">
        <v>23.349488223611999</v>
      </c>
      <c r="U110" t="str">
        <f t="shared" si="1"/>
        <v>Week 2</v>
      </c>
    </row>
    <row r="111" spans="1:21" x14ac:dyDescent="0.25">
      <c r="A111">
        <v>110</v>
      </c>
      <c r="B111" t="s">
        <v>261</v>
      </c>
      <c r="C111" s="1">
        <v>46093</v>
      </c>
      <c r="D111" t="s">
        <v>33</v>
      </c>
      <c r="E111" t="s">
        <v>34</v>
      </c>
      <c r="F111" t="s">
        <v>30</v>
      </c>
      <c r="G111" t="s">
        <v>24</v>
      </c>
      <c r="H111" s="2">
        <v>1</v>
      </c>
      <c r="I111" t="s">
        <v>262</v>
      </c>
      <c r="K111">
        <v>12397990</v>
      </c>
      <c r="L111">
        <v>0</v>
      </c>
      <c r="M111">
        <v>0</v>
      </c>
      <c r="N111">
        <v>1363778.9</v>
      </c>
      <c r="O111">
        <v>0</v>
      </c>
      <c r="P111">
        <v>0</v>
      </c>
      <c r="Q111">
        <v>0</v>
      </c>
      <c r="R111">
        <v>13761768.9</v>
      </c>
      <c r="S111">
        <v>1153190</v>
      </c>
      <c r="T111">
        <v>9.3014270861648001</v>
      </c>
      <c r="U111" t="str">
        <f t="shared" si="1"/>
        <v>Week 2</v>
      </c>
    </row>
    <row r="112" spans="1:21" x14ac:dyDescent="0.25">
      <c r="A112">
        <v>111</v>
      </c>
      <c r="B112" t="s">
        <v>263</v>
      </c>
      <c r="C112" s="1">
        <v>46093</v>
      </c>
      <c r="D112" t="s">
        <v>255</v>
      </c>
      <c r="E112" t="s">
        <v>205</v>
      </c>
      <c r="F112" t="s">
        <v>23</v>
      </c>
      <c r="G112" t="s">
        <v>24</v>
      </c>
      <c r="H112" s="2">
        <v>1</v>
      </c>
      <c r="I112" t="s">
        <v>264</v>
      </c>
      <c r="J112" t="s">
        <v>26</v>
      </c>
      <c r="K112">
        <v>53960000</v>
      </c>
      <c r="L112">
        <v>0</v>
      </c>
      <c r="M112">
        <v>0</v>
      </c>
      <c r="N112">
        <v>5935600</v>
      </c>
      <c r="O112">
        <v>0</v>
      </c>
      <c r="P112">
        <v>0</v>
      </c>
      <c r="Q112">
        <v>0</v>
      </c>
      <c r="R112">
        <v>59895600</v>
      </c>
      <c r="S112">
        <v>22481560</v>
      </c>
      <c r="T112">
        <v>41.663380281690003</v>
      </c>
      <c r="U112" t="str">
        <f t="shared" si="1"/>
        <v>Week 2</v>
      </c>
    </row>
    <row r="113" spans="1:21" x14ac:dyDescent="0.25">
      <c r="C113" s="1"/>
      <c r="H113" s="2"/>
    </row>
    <row r="114" spans="1:21" x14ac:dyDescent="0.25">
      <c r="C114" s="1"/>
      <c r="H114" s="2"/>
    </row>
    <row r="115" spans="1:21" x14ac:dyDescent="0.25">
      <c r="A115">
        <v>114</v>
      </c>
      <c r="B115" t="s">
        <v>266</v>
      </c>
      <c r="C115" s="1">
        <v>46093</v>
      </c>
      <c r="D115" t="s">
        <v>113</v>
      </c>
      <c r="E115" t="s">
        <v>38</v>
      </c>
      <c r="F115" t="s">
        <v>23</v>
      </c>
      <c r="G115" t="s">
        <v>24</v>
      </c>
      <c r="H115" s="2">
        <v>1</v>
      </c>
      <c r="I115" t="s">
        <v>267</v>
      </c>
      <c r="K115">
        <v>18875000</v>
      </c>
      <c r="L115">
        <v>0</v>
      </c>
      <c r="M115">
        <v>0</v>
      </c>
      <c r="N115">
        <v>2076250</v>
      </c>
      <c r="O115">
        <v>0</v>
      </c>
      <c r="P115">
        <v>0</v>
      </c>
      <c r="Q115">
        <v>0</v>
      </c>
      <c r="R115">
        <v>20951250</v>
      </c>
      <c r="S115">
        <v>10442567.567568</v>
      </c>
      <c r="T115">
        <v>55.324861285125998</v>
      </c>
      <c r="U115" t="str">
        <f t="shared" si="1"/>
        <v>Week 2</v>
      </c>
    </row>
    <row r="116" spans="1:21" x14ac:dyDescent="0.25">
      <c r="A116">
        <v>115</v>
      </c>
      <c r="B116" t="s">
        <v>268</v>
      </c>
      <c r="C116" s="1">
        <v>46093</v>
      </c>
      <c r="D116" t="s">
        <v>204</v>
      </c>
      <c r="E116" t="s">
        <v>205</v>
      </c>
      <c r="F116" t="s">
        <v>30</v>
      </c>
      <c r="G116" t="s">
        <v>24</v>
      </c>
      <c r="H116" s="2">
        <v>1</v>
      </c>
      <c r="I116" t="s">
        <v>269</v>
      </c>
      <c r="J116" t="s">
        <v>26</v>
      </c>
      <c r="K116">
        <v>13905000</v>
      </c>
      <c r="L116">
        <v>0</v>
      </c>
      <c r="M116">
        <v>0</v>
      </c>
      <c r="N116">
        <v>1529550</v>
      </c>
      <c r="O116">
        <v>0</v>
      </c>
      <c r="P116">
        <v>0</v>
      </c>
      <c r="Q116">
        <v>0</v>
      </c>
      <c r="R116">
        <v>15434550</v>
      </c>
      <c r="S116">
        <v>2405000</v>
      </c>
      <c r="T116">
        <v>17.295936713412001</v>
      </c>
      <c r="U116" t="str">
        <f t="shared" si="1"/>
        <v>Week 2</v>
      </c>
    </row>
    <row r="117" spans="1:21" x14ac:dyDescent="0.25">
      <c r="A117">
        <v>116</v>
      </c>
      <c r="B117" t="s">
        <v>270</v>
      </c>
      <c r="C117" s="1">
        <v>46093</v>
      </c>
      <c r="D117" t="s">
        <v>54</v>
      </c>
      <c r="E117" t="s">
        <v>55</v>
      </c>
      <c r="F117" t="s">
        <v>23</v>
      </c>
      <c r="G117" t="s">
        <v>24</v>
      </c>
      <c r="H117" s="2">
        <v>1</v>
      </c>
      <c r="I117" t="s">
        <v>271</v>
      </c>
      <c r="K117">
        <v>12252252.252251999</v>
      </c>
      <c r="L117">
        <v>0</v>
      </c>
      <c r="M117">
        <v>0</v>
      </c>
      <c r="N117">
        <v>1347747.7477477</v>
      </c>
      <c r="O117">
        <v>0</v>
      </c>
      <c r="P117">
        <v>0</v>
      </c>
      <c r="Q117">
        <v>0</v>
      </c>
      <c r="R117">
        <v>13600000</v>
      </c>
      <c r="S117">
        <v>3063063.0630628001</v>
      </c>
      <c r="T117">
        <v>24.999999999998</v>
      </c>
      <c r="U117" t="str">
        <f t="shared" si="1"/>
        <v>Week 2</v>
      </c>
    </row>
    <row r="118" spans="1:21" x14ac:dyDescent="0.25">
      <c r="A118">
        <v>117</v>
      </c>
      <c r="B118" t="s">
        <v>272</v>
      </c>
      <c r="C118" s="1">
        <v>46093</v>
      </c>
      <c r="D118" t="s">
        <v>54</v>
      </c>
      <c r="E118" t="s">
        <v>55</v>
      </c>
      <c r="F118" t="s">
        <v>23</v>
      </c>
      <c r="G118" t="s">
        <v>24</v>
      </c>
      <c r="H118" s="2">
        <v>1</v>
      </c>
      <c r="I118" t="s">
        <v>271</v>
      </c>
      <c r="J118" t="s">
        <v>57</v>
      </c>
      <c r="K118">
        <v>25814974.954953998</v>
      </c>
      <c r="L118">
        <v>0</v>
      </c>
      <c r="M118">
        <v>0</v>
      </c>
      <c r="N118">
        <v>2839647.2450449001</v>
      </c>
      <c r="O118">
        <v>0</v>
      </c>
      <c r="P118">
        <v>0</v>
      </c>
      <c r="Q118">
        <v>0</v>
      </c>
      <c r="R118">
        <v>28654622.199999001</v>
      </c>
      <c r="S118">
        <v>8622215.9549540002</v>
      </c>
      <c r="T118">
        <v>33.400055471675998</v>
      </c>
      <c r="U118" t="str">
        <f t="shared" si="1"/>
        <v>Week 2</v>
      </c>
    </row>
    <row r="119" spans="1:21" x14ac:dyDescent="0.25">
      <c r="A119">
        <v>118</v>
      </c>
      <c r="B119" t="s">
        <v>273</v>
      </c>
      <c r="C119" s="1">
        <v>46093</v>
      </c>
      <c r="D119" t="s">
        <v>21</v>
      </c>
      <c r="E119" t="s">
        <v>22</v>
      </c>
      <c r="F119" t="s">
        <v>30</v>
      </c>
      <c r="G119" t="s">
        <v>24</v>
      </c>
      <c r="H119" s="2">
        <v>1</v>
      </c>
      <c r="I119" t="s">
        <v>274</v>
      </c>
      <c r="J119" t="s">
        <v>26</v>
      </c>
      <c r="K119">
        <v>1276450</v>
      </c>
      <c r="L119">
        <v>0</v>
      </c>
      <c r="M119">
        <v>0</v>
      </c>
      <c r="N119">
        <v>140409.5</v>
      </c>
      <c r="O119">
        <v>0</v>
      </c>
      <c r="P119">
        <v>0</v>
      </c>
      <c r="Q119">
        <v>0</v>
      </c>
      <c r="R119">
        <v>1416859.5</v>
      </c>
      <c r="S119">
        <v>169450</v>
      </c>
      <c r="T119">
        <v>13.275098907125001</v>
      </c>
      <c r="U119" t="str">
        <f t="shared" si="1"/>
        <v>Week 2</v>
      </c>
    </row>
    <row r="120" spans="1:21" x14ac:dyDescent="0.25">
      <c r="A120">
        <v>119</v>
      </c>
      <c r="B120" t="s">
        <v>275</v>
      </c>
      <c r="C120" s="1">
        <v>46093</v>
      </c>
      <c r="D120" t="s">
        <v>21</v>
      </c>
      <c r="E120" t="s">
        <v>22</v>
      </c>
      <c r="F120" t="s">
        <v>30</v>
      </c>
      <c r="G120" t="s">
        <v>24</v>
      </c>
      <c r="H120" s="2">
        <v>1</v>
      </c>
      <c r="I120" t="s">
        <v>276</v>
      </c>
      <c r="J120" t="s">
        <v>26</v>
      </c>
      <c r="K120">
        <v>2158450</v>
      </c>
      <c r="L120">
        <v>0</v>
      </c>
      <c r="M120">
        <v>0</v>
      </c>
      <c r="N120">
        <v>237429.5</v>
      </c>
      <c r="O120">
        <v>0</v>
      </c>
      <c r="P120">
        <v>0</v>
      </c>
      <c r="Q120">
        <v>0</v>
      </c>
      <c r="R120">
        <v>2395879.5</v>
      </c>
      <c r="S120">
        <v>371450</v>
      </c>
      <c r="T120">
        <v>17.209108387964001</v>
      </c>
      <c r="U120" t="str">
        <f t="shared" si="1"/>
        <v>Week 2</v>
      </c>
    </row>
    <row r="121" spans="1:21" x14ac:dyDescent="0.25">
      <c r="A121">
        <v>120</v>
      </c>
      <c r="B121" t="s">
        <v>277</v>
      </c>
      <c r="C121" s="1">
        <v>46093</v>
      </c>
      <c r="D121" t="s">
        <v>54</v>
      </c>
      <c r="E121" t="s">
        <v>55</v>
      </c>
      <c r="F121" t="s">
        <v>23</v>
      </c>
      <c r="G121" t="s">
        <v>24</v>
      </c>
      <c r="H121" s="2">
        <v>1</v>
      </c>
      <c r="I121" t="s">
        <v>271</v>
      </c>
      <c r="K121">
        <v>64520000</v>
      </c>
      <c r="L121">
        <v>0</v>
      </c>
      <c r="M121">
        <v>0</v>
      </c>
      <c r="N121">
        <v>7097200</v>
      </c>
      <c r="O121">
        <v>0</v>
      </c>
      <c r="P121">
        <v>0</v>
      </c>
      <c r="Q121">
        <v>0</v>
      </c>
      <c r="R121">
        <v>71617200</v>
      </c>
      <c r="S121">
        <v>11263500</v>
      </c>
      <c r="T121">
        <v>17.457377557347002</v>
      </c>
      <c r="U121" t="str">
        <f t="shared" si="1"/>
        <v>Week 2</v>
      </c>
    </row>
    <row r="122" spans="1:21" x14ac:dyDescent="0.25">
      <c r="A122">
        <v>121</v>
      </c>
      <c r="B122" t="s">
        <v>278</v>
      </c>
      <c r="C122" s="1">
        <v>46093</v>
      </c>
      <c r="D122" t="s">
        <v>99</v>
      </c>
      <c r="E122" t="s">
        <v>100</v>
      </c>
      <c r="F122" t="s">
        <v>30</v>
      </c>
      <c r="G122" t="s">
        <v>24</v>
      </c>
      <c r="H122" s="2">
        <v>1</v>
      </c>
      <c r="I122" t="s">
        <v>279</v>
      </c>
      <c r="J122" t="s">
        <v>57</v>
      </c>
      <c r="K122">
        <v>114924480</v>
      </c>
      <c r="L122">
        <v>0</v>
      </c>
      <c r="M122">
        <v>0</v>
      </c>
      <c r="N122">
        <v>12641692.800000001</v>
      </c>
      <c r="O122">
        <v>0</v>
      </c>
      <c r="P122">
        <v>0</v>
      </c>
      <c r="Q122">
        <v>0</v>
      </c>
      <c r="R122">
        <v>127566172.8</v>
      </c>
      <c r="S122">
        <v>13306515.000009</v>
      </c>
      <c r="T122">
        <v>11.578486150217</v>
      </c>
      <c r="U122" t="str">
        <f t="shared" si="1"/>
        <v>Week 2</v>
      </c>
    </row>
    <row r="123" spans="1:21" x14ac:dyDescent="0.25">
      <c r="A123">
        <v>122</v>
      </c>
      <c r="B123" t="s">
        <v>280</v>
      </c>
      <c r="C123" s="1">
        <v>46093</v>
      </c>
      <c r="D123" t="s">
        <v>37</v>
      </c>
      <c r="E123" t="s">
        <v>38</v>
      </c>
      <c r="F123" t="s">
        <v>30</v>
      </c>
      <c r="G123" t="s">
        <v>24</v>
      </c>
      <c r="H123" s="2">
        <v>1</v>
      </c>
      <c r="I123" t="s">
        <v>281</v>
      </c>
      <c r="K123">
        <v>2161880</v>
      </c>
      <c r="L123">
        <v>0</v>
      </c>
      <c r="M123">
        <v>0</v>
      </c>
      <c r="N123">
        <v>237806.8</v>
      </c>
      <c r="O123">
        <v>0</v>
      </c>
      <c r="P123">
        <v>0</v>
      </c>
      <c r="Q123">
        <v>0</v>
      </c>
      <c r="R123">
        <v>2399686.7999999998</v>
      </c>
      <c r="S123">
        <v>432185.94594676001</v>
      </c>
      <c r="T123">
        <v>19.991208852793001</v>
      </c>
      <c r="U123" t="str">
        <f t="shared" si="1"/>
        <v>Week 2</v>
      </c>
    </row>
    <row r="124" spans="1:21" x14ac:dyDescent="0.25">
      <c r="A124">
        <v>123</v>
      </c>
      <c r="B124" t="s">
        <v>282</v>
      </c>
      <c r="C124" s="1">
        <v>46092</v>
      </c>
      <c r="D124" t="s">
        <v>99</v>
      </c>
      <c r="E124" t="s">
        <v>100</v>
      </c>
      <c r="F124" t="s">
        <v>30</v>
      </c>
      <c r="G124" t="s">
        <v>24</v>
      </c>
      <c r="H124" s="2">
        <v>1</v>
      </c>
      <c r="I124" t="s">
        <v>283</v>
      </c>
      <c r="J124" t="s">
        <v>26</v>
      </c>
      <c r="K124">
        <v>38443000</v>
      </c>
      <c r="L124">
        <v>0</v>
      </c>
      <c r="M124">
        <v>0</v>
      </c>
      <c r="N124">
        <v>4228730</v>
      </c>
      <c r="O124">
        <v>0</v>
      </c>
      <c r="P124">
        <v>0</v>
      </c>
      <c r="Q124">
        <v>0</v>
      </c>
      <c r="R124">
        <v>42671730</v>
      </c>
      <c r="S124">
        <v>1153290</v>
      </c>
      <c r="T124">
        <v>3</v>
      </c>
      <c r="U124" t="str">
        <f t="shared" si="1"/>
        <v>Week 2</v>
      </c>
    </row>
    <row r="125" spans="1:21" x14ac:dyDescent="0.25">
      <c r="A125">
        <v>124</v>
      </c>
      <c r="B125" t="s">
        <v>284</v>
      </c>
      <c r="C125" s="1">
        <v>46092</v>
      </c>
      <c r="D125" t="s">
        <v>54</v>
      </c>
      <c r="E125" t="s">
        <v>55</v>
      </c>
      <c r="F125" t="s">
        <v>30</v>
      </c>
      <c r="G125" t="s">
        <v>24</v>
      </c>
      <c r="H125" s="2">
        <v>1</v>
      </c>
      <c r="I125" t="s">
        <v>285</v>
      </c>
      <c r="K125">
        <v>19267000</v>
      </c>
      <c r="L125">
        <v>0</v>
      </c>
      <c r="M125">
        <v>0</v>
      </c>
      <c r="N125">
        <v>2119370</v>
      </c>
      <c r="O125">
        <v>0</v>
      </c>
      <c r="P125">
        <v>0</v>
      </c>
      <c r="Q125">
        <v>0</v>
      </c>
      <c r="R125">
        <v>21386370</v>
      </c>
      <c r="S125">
        <v>578010</v>
      </c>
      <c r="T125">
        <v>3</v>
      </c>
      <c r="U125" t="str">
        <f t="shared" si="1"/>
        <v>Week 2</v>
      </c>
    </row>
    <row r="126" spans="1:21" x14ac:dyDescent="0.25">
      <c r="A126">
        <v>125</v>
      </c>
      <c r="B126" t="s">
        <v>286</v>
      </c>
      <c r="C126" s="1">
        <v>46092</v>
      </c>
      <c r="D126" t="s">
        <v>54</v>
      </c>
      <c r="E126" t="s">
        <v>55</v>
      </c>
      <c r="F126" t="s">
        <v>30</v>
      </c>
      <c r="G126" t="s">
        <v>24</v>
      </c>
      <c r="H126" s="2">
        <v>1</v>
      </c>
      <c r="I126" t="s">
        <v>287</v>
      </c>
      <c r="K126">
        <v>652100</v>
      </c>
      <c r="L126">
        <v>0</v>
      </c>
      <c r="M126">
        <v>0</v>
      </c>
      <c r="N126">
        <v>71731</v>
      </c>
      <c r="O126">
        <v>0</v>
      </c>
      <c r="P126">
        <v>0</v>
      </c>
      <c r="Q126">
        <v>0</v>
      </c>
      <c r="R126">
        <v>723831</v>
      </c>
      <c r="S126">
        <v>75600</v>
      </c>
      <c r="T126">
        <v>11.59331390891</v>
      </c>
      <c r="U126" t="str">
        <f t="shared" si="1"/>
        <v>Week 2</v>
      </c>
    </row>
    <row r="127" spans="1:21" x14ac:dyDescent="0.25">
      <c r="A127">
        <v>126</v>
      </c>
      <c r="B127" t="s">
        <v>288</v>
      </c>
      <c r="C127" s="1">
        <v>46092</v>
      </c>
      <c r="D127" t="s">
        <v>54</v>
      </c>
      <c r="E127" t="s">
        <v>55</v>
      </c>
      <c r="F127" t="s">
        <v>30</v>
      </c>
      <c r="G127" t="s">
        <v>24</v>
      </c>
      <c r="H127" s="2">
        <v>1</v>
      </c>
      <c r="I127" t="s">
        <v>289</v>
      </c>
      <c r="K127">
        <v>2616000</v>
      </c>
      <c r="L127">
        <v>0</v>
      </c>
      <c r="M127">
        <v>0</v>
      </c>
      <c r="N127">
        <v>287760</v>
      </c>
      <c r="O127">
        <v>0</v>
      </c>
      <c r="P127">
        <v>0</v>
      </c>
      <c r="Q127">
        <v>0</v>
      </c>
      <c r="R127">
        <v>2903760</v>
      </c>
      <c r="S127">
        <v>363500</v>
      </c>
      <c r="T127">
        <v>13.895259938838</v>
      </c>
      <c r="U127" t="str">
        <f t="shared" si="1"/>
        <v>Week 2</v>
      </c>
    </row>
    <row r="128" spans="1:21" x14ac:dyDescent="0.25">
      <c r="A128">
        <v>127</v>
      </c>
      <c r="B128" t="s">
        <v>290</v>
      </c>
      <c r="C128" s="1">
        <v>46092</v>
      </c>
      <c r="D128" t="s">
        <v>54</v>
      </c>
      <c r="E128" t="s">
        <v>55</v>
      </c>
      <c r="F128" t="s">
        <v>30</v>
      </c>
      <c r="G128" t="s">
        <v>24</v>
      </c>
      <c r="H128" s="2">
        <v>1</v>
      </c>
      <c r="I128" t="s">
        <v>291</v>
      </c>
      <c r="K128">
        <v>1723500</v>
      </c>
      <c r="L128">
        <v>0</v>
      </c>
      <c r="M128">
        <v>0</v>
      </c>
      <c r="N128">
        <v>189585</v>
      </c>
      <c r="O128">
        <v>0</v>
      </c>
      <c r="P128">
        <v>0</v>
      </c>
      <c r="Q128">
        <v>0</v>
      </c>
      <c r="R128">
        <v>1913085</v>
      </c>
      <c r="S128">
        <v>50300</v>
      </c>
      <c r="T128">
        <v>2.9184798375399001</v>
      </c>
      <c r="U128" t="str">
        <f t="shared" si="1"/>
        <v>Week 2</v>
      </c>
    </row>
    <row r="129" spans="1:21" x14ac:dyDescent="0.25">
      <c r="A129">
        <v>128</v>
      </c>
      <c r="B129" t="s">
        <v>292</v>
      </c>
      <c r="C129" s="1">
        <v>46092</v>
      </c>
      <c r="D129" t="s">
        <v>54</v>
      </c>
      <c r="E129" t="s">
        <v>55</v>
      </c>
      <c r="F129" t="s">
        <v>30</v>
      </c>
      <c r="G129" t="s">
        <v>24</v>
      </c>
      <c r="H129" s="2">
        <v>1</v>
      </c>
      <c r="I129" t="s">
        <v>293</v>
      </c>
      <c r="K129">
        <v>1660600</v>
      </c>
      <c r="L129">
        <v>0</v>
      </c>
      <c r="M129">
        <v>0</v>
      </c>
      <c r="N129">
        <v>182666</v>
      </c>
      <c r="O129">
        <v>0</v>
      </c>
      <c r="P129">
        <v>0</v>
      </c>
      <c r="Q129">
        <v>0</v>
      </c>
      <c r="R129">
        <v>1843266</v>
      </c>
      <c r="S129">
        <v>246300</v>
      </c>
      <c r="T129">
        <v>14.831988437913999</v>
      </c>
      <c r="U129" t="str">
        <f t="shared" si="1"/>
        <v>Week 2</v>
      </c>
    </row>
    <row r="130" spans="1:21" x14ac:dyDescent="0.25">
      <c r="A130">
        <v>129</v>
      </c>
      <c r="B130" t="s">
        <v>294</v>
      </c>
      <c r="C130" s="1">
        <v>46092</v>
      </c>
      <c r="D130" t="s">
        <v>252</v>
      </c>
      <c r="E130" t="s">
        <v>117</v>
      </c>
      <c r="F130" t="s">
        <v>23</v>
      </c>
      <c r="G130" t="s">
        <v>24</v>
      </c>
      <c r="H130" s="2">
        <v>1</v>
      </c>
      <c r="I130" t="s">
        <v>295</v>
      </c>
      <c r="J130" t="s">
        <v>26</v>
      </c>
      <c r="K130">
        <v>2602543.75</v>
      </c>
      <c r="L130">
        <v>0</v>
      </c>
      <c r="M130">
        <v>0</v>
      </c>
      <c r="N130">
        <v>286279.8125</v>
      </c>
      <c r="O130">
        <v>0</v>
      </c>
      <c r="P130">
        <v>0</v>
      </c>
      <c r="Q130">
        <v>0</v>
      </c>
      <c r="R130">
        <v>2888823.5625</v>
      </c>
      <c r="S130">
        <v>619243.75</v>
      </c>
      <c r="T130">
        <v>23.793788288862</v>
      </c>
      <c r="U130" t="str">
        <f t="shared" si="1"/>
        <v>Week 2</v>
      </c>
    </row>
    <row r="131" spans="1:21" x14ac:dyDescent="0.25">
      <c r="A131">
        <v>130</v>
      </c>
      <c r="B131" t="s">
        <v>296</v>
      </c>
      <c r="C131" s="1">
        <v>46092</v>
      </c>
      <c r="D131" t="s">
        <v>54</v>
      </c>
      <c r="E131" t="s">
        <v>55</v>
      </c>
      <c r="F131" t="s">
        <v>30</v>
      </c>
      <c r="G131" t="s">
        <v>24</v>
      </c>
      <c r="H131" s="2">
        <v>1</v>
      </c>
      <c r="I131" t="s">
        <v>297</v>
      </c>
      <c r="K131">
        <v>11382300</v>
      </c>
      <c r="L131">
        <v>0</v>
      </c>
      <c r="M131">
        <v>0</v>
      </c>
      <c r="N131">
        <v>1252053</v>
      </c>
      <c r="O131">
        <v>0</v>
      </c>
      <c r="P131">
        <v>0</v>
      </c>
      <c r="Q131">
        <v>0</v>
      </c>
      <c r="R131">
        <v>12634353</v>
      </c>
      <c r="S131">
        <v>1885100</v>
      </c>
      <c r="T131">
        <v>16.561679098249002</v>
      </c>
      <c r="U131" t="str">
        <f t="shared" ref="U131:U194" si="2">"Week " &amp;IF(DAY(C131)&gt;=24,4,INT((DAY(C131)-1)/7)+1)</f>
        <v>Week 2</v>
      </c>
    </row>
    <row r="132" spans="1:21" x14ac:dyDescent="0.25">
      <c r="A132">
        <v>131</v>
      </c>
      <c r="B132" t="s">
        <v>298</v>
      </c>
      <c r="C132" s="1">
        <v>46092</v>
      </c>
      <c r="D132" t="s">
        <v>54</v>
      </c>
      <c r="E132" t="s">
        <v>55</v>
      </c>
      <c r="F132" t="s">
        <v>30</v>
      </c>
      <c r="G132" t="s">
        <v>24</v>
      </c>
      <c r="H132" s="2">
        <v>1</v>
      </c>
      <c r="I132" t="s">
        <v>299</v>
      </c>
      <c r="K132">
        <v>6268510</v>
      </c>
      <c r="L132">
        <v>0</v>
      </c>
      <c r="M132">
        <v>0</v>
      </c>
      <c r="N132">
        <v>689536.1</v>
      </c>
      <c r="O132">
        <v>0</v>
      </c>
      <c r="P132">
        <v>0</v>
      </c>
      <c r="Q132">
        <v>0</v>
      </c>
      <c r="R132">
        <v>6958046.0999999996</v>
      </c>
      <c r="S132">
        <v>252610</v>
      </c>
      <c r="T132">
        <v>4.0298252694818997</v>
      </c>
      <c r="U132" t="str">
        <f t="shared" si="2"/>
        <v>Week 2</v>
      </c>
    </row>
    <row r="133" spans="1:21" x14ac:dyDescent="0.25">
      <c r="A133">
        <v>132</v>
      </c>
      <c r="B133" t="s">
        <v>300</v>
      </c>
      <c r="C133" s="1">
        <v>46092</v>
      </c>
      <c r="D133" t="s">
        <v>204</v>
      </c>
      <c r="E133" t="s">
        <v>205</v>
      </c>
      <c r="F133" t="s">
        <v>23</v>
      </c>
      <c r="G133" t="s">
        <v>24</v>
      </c>
      <c r="H133" s="2">
        <v>1</v>
      </c>
      <c r="I133" t="s">
        <v>301</v>
      </c>
      <c r="J133" t="s">
        <v>26</v>
      </c>
      <c r="K133">
        <v>19900000</v>
      </c>
      <c r="L133">
        <v>0</v>
      </c>
      <c r="M133">
        <v>0</v>
      </c>
      <c r="N133">
        <v>2189000</v>
      </c>
      <c r="O133">
        <v>0</v>
      </c>
      <c r="P133">
        <v>0</v>
      </c>
      <c r="Q133">
        <v>0</v>
      </c>
      <c r="R133">
        <v>22089000</v>
      </c>
      <c r="S133">
        <v>3721621.6168</v>
      </c>
      <c r="T133">
        <v>18.701616164823999</v>
      </c>
      <c r="U133" t="str">
        <f t="shared" si="2"/>
        <v>Week 2</v>
      </c>
    </row>
    <row r="134" spans="1:21" x14ac:dyDescent="0.25">
      <c r="A134">
        <v>133</v>
      </c>
      <c r="B134" t="s">
        <v>302</v>
      </c>
      <c r="C134" s="1">
        <v>46092</v>
      </c>
      <c r="D134" t="s">
        <v>33</v>
      </c>
      <c r="E134" t="s">
        <v>34</v>
      </c>
      <c r="F134" t="s">
        <v>30</v>
      </c>
      <c r="G134" t="s">
        <v>24</v>
      </c>
      <c r="H134" s="2">
        <v>1</v>
      </c>
      <c r="I134" t="s">
        <v>303</v>
      </c>
      <c r="K134">
        <v>3636415</v>
      </c>
      <c r="L134">
        <v>0</v>
      </c>
      <c r="M134">
        <v>0</v>
      </c>
      <c r="N134">
        <v>400005.65</v>
      </c>
      <c r="O134">
        <v>0</v>
      </c>
      <c r="P134">
        <v>0</v>
      </c>
      <c r="Q134">
        <v>0</v>
      </c>
      <c r="R134">
        <v>4036420.65</v>
      </c>
      <c r="S134">
        <v>512766.35135136999</v>
      </c>
      <c r="T134">
        <v>14.100875487295999</v>
      </c>
      <c r="U134" t="str">
        <f t="shared" si="2"/>
        <v>Week 2</v>
      </c>
    </row>
    <row r="135" spans="1:21" x14ac:dyDescent="0.25">
      <c r="A135">
        <v>134</v>
      </c>
      <c r="B135" t="s">
        <v>304</v>
      </c>
      <c r="C135" s="1">
        <v>46092</v>
      </c>
      <c r="D135" t="s">
        <v>37</v>
      </c>
      <c r="E135" t="s">
        <v>38</v>
      </c>
      <c r="F135" t="s">
        <v>23</v>
      </c>
      <c r="G135" t="s">
        <v>24</v>
      </c>
      <c r="H135" s="2">
        <v>1</v>
      </c>
      <c r="I135" t="s">
        <v>182</v>
      </c>
      <c r="J135" t="s">
        <v>26</v>
      </c>
      <c r="K135">
        <v>38770533</v>
      </c>
      <c r="L135">
        <v>0</v>
      </c>
      <c r="M135">
        <v>0</v>
      </c>
      <c r="N135">
        <v>4264758.63</v>
      </c>
      <c r="O135">
        <v>0</v>
      </c>
      <c r="P135">
        <v>0</v>
      </c>
      <c r="Q135">
        <v>0</v>
      </c>
      <c r="R135">
        <v>43035291.630000003</v>
      </c>
      <c r="S135">
        <v>8399182.5500000007</v>
      </c>
      <c r="T135">
        <v>21.66383049209</v>
      </c>
      <c r="U135" t="str">
        <f t="shared" si="2"/>
        <v>Week 2</v>
      </c>
    </row>
    <row r="136" spans="1:21" x14ac:dyDescent="0.25">
      <c r="A136">
        <v>135</v>
      </c>
      <c r="B136" t="s">
        <v>305</v>
      </c>
      <c r="C136" s="1">
        <v>46092</v>
      </c>
      <c r="D136" t="s">
        <v>252</v>
      </c>
      <c r="E136" t="s">
        <v>117</v>
      </c>
      <c r="F136" t="s">
        <v>23</v>
      </c>
      <c r="G136" t="s">
        <v>24</v>
      </c>
      <c r="H136" s="2">
        <v>1</v>
      </c>
      <c r="I136" t="s">
        <v>306</v>
      </c>
      <c r="J136" t="s">
        <v>26</v>
      </c>
      <c r="K136">
        <v>9455000</v>
      </c>
      <c r="L136">
        <v>0</v>
      </c>
      <c r="M136">
        <v>0</v>
      </c>
      <c r="N136">
        <v>1040050</v>
      </c>
      <c r="O136">
        <v>0</v>
      </c>
      <c r="P136">
        <v>0</v>
      </c>
      <c r="Q136">
        <v>0</v>
      </c>
      <c r="R136">
        <v>10495050</v>
      </c>
      <c r="S136">
        <v>1930000</v>
      </c>
      <c r="T136">
        <v>20.412480169222999</v>
      </c>
      <c r="U136" t="str">
        <f t="shared" si="2"/>
        <v>Week 2</v>
      </c>
    </row>
    <row r="137" spans="1:21" x14ac:dyDescent="0.25">
      <c r="A137">
        <v>136</v>
      </c>
      <c r="B137" t="s">
        <v>307</v>
      </c>
      <c r="C137" s="1">
        <v>46092</v>
      </c>
      <c r="D137" t="s">
        <v>54</v>
      </c>
      <c r="E137" t="s">
        <v>55</v>
      </c>
      <c r="F137" t="s">
        <v>23</v>
      </c>
      <c r="G137" t="s">
        <v>24</v>
      </c>
      <c r="H137" s="2">
        <v>1</v>
      </c>
      <c r="I137" t="s">
        <v>308</v>
      </c>
      <c r="K137">
        <v>150000</v>
      </c>
      <c r="L137">
        <v>0</v>
      </c>
      <c r="M137">
        <v>0</v>
      </c>
      <c r="N137">
        <v>16500</v>
      </c>
      <c r="O137">
        <v>0</v>
      </c>
      <c r="P137">
        <v>0</v>
      </c>
      <c r="Q137">
        <v>0</v>
      </c>
      <c r="R137">
        <v>166500</v>
      </c>
      <c r="S137">
        <v>33445.949999999997</v>
      </c>
      <c r="T137">
        <v>22.2973</v>
      </c>
      <c r="U137" t="str">
        <f t="shared" si="2"/>
        <v>Week 2</v>
      </c>
    </row>
    <row r="138" spans="1:21" x14ac:dyDescent="0.25">
      <c r="A138">
        <v>137</v>
      </c>
      <c r="B138" t="s">
        <v>309</v>
      </c>
      <c r="C138" s="1">
        <v>46092</v>
      </c>
      <c r="D138" t="s">
        <v>99</v>
      </c>
      <c r="E138" t="s">
        <v>100</v>
      </c>
      <c r="F138" t="s">
        <v>30</v>
      </c>
      <c r="G138" t="s">
        <v>24</v>
      </c>
      <c r="H138" s="2">
        <v>1</v>
      </c>
      <c r="I138" t="s">
        <v>310</v>
      </c>
      <c r="K138">
        <v>1994300</v>
      </c>
      <c r="L138">
        <v>0</v>
      </c>
      <c r="M138">
        <v>0</v>
      </c>
      <c r="N138">
        <v>219373</v>
      </c>
      <c r="O138">
        <v>0</v>
      </c>
      <c r="P138">
        <v>0</v>
      </c>
      <c r="Q138">
        <v>0</v>
      </c>
      <c r="R138">
        <v>2213673</v>
      </c>
      <c r="S138">
        <v>28350</v>
      </c>
      <c r="T138">
        <v>1.4215514215514</v>
      </c>
      <c r="U138" t="str">
        <f t="shared" si="2"/>
        <v>Week 2</v>
      </c>
    </row>
    <row r="139" spans="1:21" x14ac:dyDescent="0.25">
      <c r="A139">
        <v>138</v>
      </c>
      <c r="B139" t="s">
        <v>311</v>
      </c>
      <c r="C139" s="1">
        <v>46092</v>
      </c>
      <c r="D139" t="s">
        <v>312</v>
      </c>
      <c r="E139" t="s">
        <v>100</v>
      </c>
      <c r="F139" t="s">
        <v>23</v>
      </c>
      <c r="G139" t="s">
        <v>24</v>
      </c>
      <c r="H139" s="2">
        <v>1</v>
      </c>
      <c r="I139" t="s">
        <v>313</v>
      </c>
      <c r="K139">
        <v>1400000</v>
      </c>
      <c r="L139">
        <v>0</v>
      </c>
      <c r="M139">
        <v>0</v>
      </c>
      <c r="N139">
        <v>154000</v>
      </c>
      <c r="O139">
        <v>0</v>
      </c>
      <c r="P139">
        <v>0</v>
      </c>
      <c r="Q139">
        <v>0</v>
      </c>
      <c r="R139">
        <v>1554000</v>
      </c>
      <c r="S139">
        <v>1000000</v>
      </c>
      <c r="T139">
        <v>71.428571428571004</v>
      </c>
      <c r="U139" t="str">
        <f t="shared" si="2"/>
        <v>Week 2</v>
      </c>
    </row>
    <row r="140" spans="1:21" x14ac:dyDescent="0.25">
      <c r="A140">
        <v>139</v>
      </c>
      <c r="B140" t="s">
        <v>314</v>
      </c>
      <c r="C140" s="1">
        <v>46092</v>
      </c>
      <c r="D140" t="s">
        <v>33</v>
      </c>
      <c r="E140" t="s">
        <v>38</v>
      </c>
      <c r="F140" t="s">
        <v>23</v>
      </c>
      <c r="G140" t="s">
        <v>24</v>
      </c>
      <c r="H140" s="2">
        <v>1</v>
      </c>
      <c r="I140" t="s">
        <v>315</v>
      </c>
      <c r="K140">
        <v>9000000</v>
      </c>
      <c r="L140">
        <v>0</v>
      </c>
      <c r="M140">
        <v>0</v>
      </c>
      <c r="N140">
        <v>990000</v>
      </c>
      <c r="O140">
        <v>0</v>
      </c>
      <c r="P140">
        <v>0</v>
      </c>
      <c r="Q140">
        <v>0</v>
      </c>
      <c r="R140">
        <v>9990000</v>
      </c>
      <c r="S140">
        <v>1800000</v>
      </c>
      <c r="T140">
        <v>20</v>
      </c>
      <c r="U140" t="str">
        <f t="shared" si="2"/>
        <v>Week 2</v>
      </c>
    </row>
    <row r="141" spans="1:21" x14ac:dyDescent="0.25">
      <c r="A141">
        <v>140</v>
      </c>
      <c r="B141" t="s">
        <v>316</v>
      </c>
      <c r="C141" s="1">
        <v>46091</v>
      </c>
      <c r="D141" t="s">
        <v>252</v>
      </c>
      <c r="E141" t="s">
        <v>117</v>
      </c>
      <c r="F141" t="s">
        <v>30</v>
      </c>
      <c r="G141" t="s">
        <v>24</v>
      </c>
      <c r="H141" s="2">
        <v>1</v>
      </c>
      <c r="I141" t="s">
        <v>317</v>
      </c>
      <c r="J141" t="s">
        <v>57</v>
      </c>
      <c r="K141">
        <v>408825000</v>
      </c>
      <c r="L141">
        <v>0</v>
      </c>
      <c r="M141">
        <v>0</v>
      </c>
      <c r="N141">
        <v>44970750</v>
      </c>
      <c r="O141">
        <v>0</v>
      </c>
      <c r="P141">
        <v>0</v>
      </c>
      <c r="Q141">
        <v>0</v>
      </c>
      <c r="R141">
        <v>453795750</v>
      </c>
      <c r="S141">
        <v>101025000</v>
      </c>
      <c r="T141">
        <v>24.711062190423998</v>
      </c>
      <c r="U141" t="str">
        <f t="shared" si="2"/>
        <v>Week 2</v>
      </c>
    </row>
    <row r="142" spans="1:21" x14ac:dyDescent="0.25">
      <c r="A142">
        <v>141</v>
      </c>
      <c r="B142" t="s">
        <v>318</v>
      </c>
      <c r="C142" s="1">
        <v>46091</v>
      </c>
      <c r="D142" t="s">
        <v>54</v>
      </c>
      <c r="E142" t="s">
        <v>55</v>
      </c>
      <c r="F142" t="s">
        <v>23</v>
      </c>
      <c r="G142" t="s">
        <v>24</v>
      </c>
      <c r="H142" s="2">
        <v>1</v>
      </c>
      <c r="I142" t="s">
        <v>319</v>
      </c>
      <c r="K142">
        <v>164301494</v>
      </c>
      <c r="L142">
        <v>0</v>
      </c>
      <c r="M142">
        <v>0</v>
      </c>
      <c r="N142">
        <v>18073164.34</v>
      </c>
      <c r="O142">
        <v>0</v>
      </c>
      <c r="P142">
        <v>0</v>
      </c>
      <c r="Q142">
        <v>0</v>
      </c>
      <c r="R142">
        <v>182374658.34</v>
      </c>
      <c r="S142">
        <v>35932494</v>
      </c>
      <c r="T142">
        <v>21.869852260746999</v>
      </c>
      <c r="U142" t="str">
        <f t="shared" si="2"/>
        <v>Week 2</v>
      </c>
    </row>
    <row r="143" spans="1:21" x14ac:dyDescent="0.25">
      <c r="A143">
        <v>142</v>
      </c>
      <c r="B143" t="s">
        <v>320</v>
      </c>
      <c r="C143" s="1">
        <v>46091</v>
      </c>
      <c r="D143" t="s">
        <v>37</v>
      </c>
      <c r="E143" t="s">
        <v>38</v>
      </c>
      <c r="F143" t="s">
        <v>30</v>
      </c>
      <c r="G143" t="s">
        <v>24</v>
      </c>
      <c r="H143" s="2">
        <v>1</v>
      </c>
      <c r="I143" t="s">
        <v>321</v>
      </c>
      <c r="K143">
        <v>1519000</v>
      </c>
      <c r="L143">
        <v>0</v>
      </c>
      <c r="M143">
        <v>0</v>
      </c>
      <c r="N143">
        <v>167090</v>
      </c>
      <c r="O143">
        <v>0</v>
      </c>
      <c r="P143">
        <v>0</v>
      </c>
      <c r="Q143">
        <v>0</v>
      </c>
      <c r="R143">
        <v>1686090</v>
      </c>
      <c r="S143">
        <v>1518999</v>
      </c>
      <c r="T143">
        <v>99.999934167215002</v>
      </c>
      <c r="U143" t="str">
        <f t="shared" si="2"/>
        <v>Week 2</v>
      </c>
    </row>
    <row r="144" spans="1:21" x14ac:dyDescent="0.25">
      <c r="A144">
        <v>143</v>
      </c>
      <c r="B144" t="s">
        <v>322</v>
      </c>
      <c r="C144" s="1">
        <v>46091</v>
      </c>
      <c r="D144" t="s">
        <v>323</v>
      </c>
      <c r="E144" t="s">
        <v>38</v>
      </c>
      <c r="F144" t="s">
        <v>23</v>
      </c>
      <c r="G144" t="s">
        <v>24</v>
      </c>
      <c r="H144" s="2">
        <v>1</v>
      </c>
      <c r="I144" t="s">
        <v>324</v>
      </c>
      <c r="K144">
        <v>4162460</v>
      </c>
      <c r="L144">
        <v>0</v>
      </c>
      <c r="M144">
        <v>0</v>
      </c>
      <c r="N144">
        <v>457870.6</v>
      </c>
      <c r="O144">
        <v>0</v>
      </c>
      <c r="P144">
        <v>0</v>
      </c>
      <c r="Q144">
        <v>0</v>
      </c>
      <c r="R144">
        <v>4620330.5999999996</v>
      </c>
      <c r="S144">
        <v>2019072.6126000001</v>
      </c>
      <c r="T144">
        <v>48.506715081947</v>
      </c>
      <c r="U144" t="str">
        <f t="shared" si="2"/>
        <v>Week 2</v>
      </c>
    </row>
    <row r="145" spans="1:21" x14ac:dyDescent="0.25">
      <c r="A145">
        <v>144</v>
      </c>
      <c r="B145" t="s">
        <v>325</v>
      </c>
      <c r="C145" s="1">
        <v>46091</v>
      </c>
      <c r="D145" t="s">
        <v>252</v>
      </c>
      <c r="E145" t="s">
        <v>117</v>
      </c>
      <c r="F145" t="s">
        <v>23</v>
      </c>
      <c r="G145" t="s">
        <v>24</v>
      </c>
      <c r="H145" s="2">
        <v>1</v>
      </c>
      <c r="I145" t="s">
        <v>326</v>
      </c>
      <c r="J145" t="s">
        <v>26</v>
      </c>
      <c r="K145">
        <v>4347500</v>
      </c>
      <c r="L145">
        <v>0</v>
      </c>
      <c r="M145">
        <v>0</v>
      </c>
      <c r="N145">
        <v>478225</v>
      </c>
      <c r="O145">
        <v>0</v>
      </c>
      <c r="P145">
        <v>0</v>
      </c>
      <c r="Q145">
        <v>0</v>
      </c>
      <c r="R145">
        <v>4825725</v>
      </c>
      <c r="S145">
        <v>1198000</v>
      </c>
      <c r="T145">
        <v>27.556066705003001</v>
      </c>
      <c r="U145" t="str">
        <f t="shared" si="2"/>
        <v>Week 2</v>
      </c>
    </row>
    <row r="146" spans="1:21" x14ac:dyDescent="0.25">
      <c r="A146">
        <v>145</v>
      </c>
      <c r="B146" t="s">
        <v>327</v>
      </c>
      <c r="C146" s="1">
        <v>46091</v>
      </c>
      <c r="D146" t="s">
        <v>328</v>
      </c>
      <c r="E146" t="s">
        <v>194</v>
      </c>
      <c r="F146" t="s">
        <v>23</v>
      </c>
      <c r="G146" t="s">
        <v>24</v>
      </c>
      <c r="H146" s="2">
        <v>1</v>
      </c>
      <c r="I146" t="s">
        <v>329</v>
      </c>
      <c r="J146" t="s">
        <v>57</v>
      </c>
      <c r="K146">
        <v>2325447</v>
      </c>
      <c r="L146">
        <v>0</v>
      </c>
      <c r="M146">
        <v>0</v>
      </c>
      <c r="N146">
        <v>255799.17</v>
      </c>
      <c r="O146">
        <v>0</v>
      </c>
      <c r="P146">
        <v>0</v>
      </c>
      <c r="Q146">
        <v>0</v>
      </c>
      <c r="R146">
        <v>2581246.17</v>
      </c>
      <c r="S146">
        <v>590403</v>
      </c>
      <c r="T146">
        <v>25.388796218532999</v>
      </c>
      <c r="U146" t="str">
        <f t="shared" si="2"/>
        <v>Week 2</v>
      </c>
    </row>
    <row r="147" spans="1:21" x14ac:dyDescent="0.25">
      <c r="A147">
        <v>146</v>
      </c>
      <c r="B147" t="s">
        <v>330</v>
      </c>
      <c r="C147" s="1">
        <v>46091</v>
      </c>
      <c r="D147" t="s">
        <v>33</v>
      </c>
      <c r="E147" t="s">
        <v>34</v>
      </c>
      <c r="F147" t="s">
        <v>30</v>
      </c>
      <c r="G147" t="s">
        <v>24</v>
      </c>
      <c r="H147" s="2">
        <v>1</v>
      </c>
      <c r="I147" t="s">
        <v>331</v>
      </c>
      <c r="K147">
        <v>26474719.600000001</v>
      </c>
      <c r="L147">
        <v>0</v>
      </c>
      <c r="M147">
        <v>0</v>
      </c>
      <c r="N147">
        <v>2912219.156</v>
      </c>
      <c r="O147">
        <v>0</v>
      </c>
      <c r="P147">
        <v>0</v>
      </c>
      <c r="Q147">
        <v>0</v>
      </c>
      <c r="R147">
        <v>29386938.756000001</v>
      </c>
      <c r="S147">
        <v>11226062.01045</v>
      </c>
      <c r="T147">
        <v>42.402949606500997</v>
      </c>
      <c r="U147" t="str">
        <f t="shared" si="2"/>
        <v>Week 2</v>
      </c>
    </row>
    <row r="148" spans="1:21" x14ac:dyDescent="0.25">
      <c r="A148">
        <v>147</v>
      </c>
      <c r="B148" t="s">
        <v>332</v>
      </c>
      <c r="C148" s="1">
        <v>46091</v>
      </c>
      <c r="D148" t="s">
        <v>21</v>
      </c>
      <c r="E148" t="s">
        <v>22</v>
      </c>
      <c r="F148" t="s">
        <v>30</v>
      </c>
      <c r="G148" t="s">
        <v>24</v>
      </c>
      <c r="H148" s="2">
        <v>1</v>
      </c>
      <c r="I148" t="s">
        <v>333</v>
      </c>
      <c r="J148" t="s">
        <v>26</v>
      </c>
      <c r="K148">
        <v>1217160</v>
      </c>
      <c r="L148">
        <v>0</v>
      </c>
      <c r="M148">
        <v>0</v>
      </c>
      <c r="N148">
        <v>133887.6</v>
      </c>
      <c r="O148">
        <v>0</v>
      </c>
      <c r="P148">
        <v>0</v>
      </c>
      <c r="Q148">
        <v>0</v>
      </c>
      <c r="R148">
        <v>1351047.6</v>
      </c>
      <c r="S148">
        <v>586529.36936937005</v>
      </c>
      <c r="T148">
        <v>48.188353985455002</v>
      </c>
      <c r="U148" t="str">
        <f t="shared" si="2"/>
        <v>Week 2</v>
      </c>
    </row>
    <row r="149" spans="1:21" x14ac:dyDescent="0.25">
      <c r="A149">
        <v>148</v>
      </c>
      <c r="B149" t="s">
        <v>334</v>
      </c>
      <c r="C149" s="1">
        <v>46091</v>
      </c>
      <c r="D149" t="s">
        <v>54</v>
      </c>
      <c r="E149" t="s">
        <v>55</v>
      </c>
      <c r="F149" t="s">
        <v>23</v>
      </c>
      <c r="G149" t="s">
        <v>24</v>
      </c>
      <c r="H149" s="2">
        <v>1</v>
      </c>
      <c r="I149" t="s">
        <v>271</v>
      </c>
      <c r="J149" t="s">
        <v>57</v>
      </c>
      <c r="K149">
        <v>59100000</v>
      </c>
      <c r="L149">
        <v>0</v>
      </c>
      <c r="M149">
        <v>0</v>
      </c>
      <c r="N149">
        <v>6501000</v>
      </c>
      <c r="O149">
        <v>0</v>
      </c>
      <c r="P149">
        <v>0</v>
      </c>
      <c r="Q149">
        <v>0</v>
      </c>
      <c r="R149">
        <v>65601000</v>
      </c>
      <c r="S149">
        <v>15014959.459458999</v>
      </c>
      <c r="T149">
        <v>25.406022774042999</v>
      </c>
      <c r="U149" t="str">
        <f t="shared" si="2"/>
        <v>Week 2</v>
      </c>
    </row>
    <row r="150" spans="1:21" x14ac:dyDescent="0.25">
      <c r="A150">
        <v>149</v>
      </c>
      <c r="B150" t="s">
        <v>335</v>
      </c>
      <c r="C150" s="1">
        <v>46091</v>
      </c>
      <c r="D150" t="s">
        <v>252</v>
      </c>
      <c r="E150" t="s">
        <v>117</v>
      </c>
      <c r="F150" t="s">
        <v>30</v>
      </c>
      <c r="G150" t="s">
        <v>24</v>
      </c>
      <c r="H150" s="2">
        <v>1</v>
      </c>
      <c r="I150" t="s">
        <v>336</v>
      </c>
      <c r="J150" t="s">
        <v>26</v>
      </c>
      <c r="K150">
        <v>8540000</v>
      </c>
      <c r="L150">
        <v>0</v>
      </c>
      <c r="M150">
        <v>0</v>
      </c>
      <c r="N150">
        <v>939400</v>
      </c>
      <c r="O150">
        <v>0</v>
      </c>
      <c r="P150">
        <v>0</v>
      </c>
      <c r="Q150">
        <v>0</v>
      </c>
      <c r="R150">
        <v>9479400</v>
      </c>
      <c r="S150">
        <v>256200</v>
      </c>
      <c r="T150">
        <v>3</v>
      </c>
      <c r="U150" t="str">
        <f t="shared" si="2"/>
        <v>Week 2</v>
      </c>
    </row>
    <row r="151" spans="1:21" x14ac:dyDescent="0.25">
      <c r="A151">
        <v>150</v>
      </c>
      <c r="B151" t="s">
        <v>337</v>
      </c>
      <c r="C151" s="1">
        <v>46091</v>
      </c>
      <c r="D151" t="s">
        <v>33</v>
      </c>
      <c r="E151" t="s">
        <v>34</v>
      </c>
      <c r="F151" t="s">
        <v>30</v>
      </c>
      <c r="G151" t="s">
        <v>24</v>
      </c>
      <c r="H151" s="2">
        <v>1</v>
      </c>
      <c r="I151" t="s">
        <v>338</v>
      </c>
      <c r="K151">
        <v>6564040</v>
      </c>
      <c r="L151">
        <v>0</v>
      </c>
      <c r="M151">
        <v>0</v>
      </c>
      <c r="N151">
        <v>722044.4</v>
      </c>
      <c r="O151">
        <v>0</v>
      </c>
      <c r="P151">
        <v>0</v>
      </c>
      <c r="Q151">
        <v>0</v>
      </c>
      <c r="R151">
        <v>7286084.4000000004</v>
      </c>
      <c r="S151">
        <v>3131040</v>
      </c>
      <c r="T151">
        <v>47.699892139596997</v>
      </c>
      <c r="U151" t="str">
        <f t="shared" si="2"/>
        <v>Week 2</v>
      </c>
    </row>
    <row r="152" spans="1:21" x14ac:dyDescent="0.25">
      <c r="A152">
        <v>151</v>
      </c>
      <c r="B152" t="s">
        <v>339</v>
      </c>
      <c r="C152" s="1">
        <v>46090</v>
      </c>
      <c r="D152" t="s">
        <v>21</v>
      </c>
      <c r="E152" t="s">
        <v>22</v>
      </c>
      <c r="F152" t="s">
        <v>30</v>
      </c>
      <c r="G152" t="s">
        <v>24</v>
      </c>
      <c r="H152" s="2">
        <v>1</v>
      </c>
      <c r="I152" t="s">
        <v>340</v>
      </c>
      <c r="J152" t="s">
        <v>26</v>
      </c>
      <c r="K152">
        <v>5353740</v>
      </c>
      <c r="L152">
        <v>0</v>
      </c>
      <c r="M152">
        <v>0</v>
      </c>
      <c r="N152">
        <v>588911.4</v>
      </c>
      <c r="O152">
        <v>0</v>
      </c>
      <c r="P152">
        <v>0</v>
      </c>
      <c r="Q152">
        <v>0</v>
      </c>
      <c r="R152">
        <v>5942651.4000000004</v>
      </c>
      <c r="S152">
        <v>387523.78378542</v>
      </c>
      <c r="T152">
        <v>7.2383751131996998</v>
      </c>
      <c r="U152" t="str">
        <f t="shared" si="2"/>
        <v>Week 2</v>
      </c>
    </row>
    <row r="153" spans="1:21" x14ac:dyDescent="0.25">
      <c r="A153">
        <v>152</v>
      </c>
      <c r="B153" t="s">
        <v>341</v>
      </c>
      <c r="C153" s="1">
        <v>46090</v>
      </c>
      <c r="D153" t="s">
        <v>21</v>
      </c>
      <c r="E153" t="s">
        <v>22</v>
      </c>
      <c r="F153" t="s">
        <v>39</v>
      </c>
      <c r="G153" t="s">
        <v>24</v>
      </c>
      <c r="H153" s="2">
        <v>1</v>
      </c>
      <c r="I153" t="s">
        <v>342</v>
      </c>
      <c r="J153" t="s">
        <v>26</v>
      </c>
      <c r="K153">
        <v>13660955</v>
      </c>
      <c r="L153">
        <v>0</v>
      </c>
      <c r="M153">
        <v>0</v>
      </c>
      <c r="N153">
        <v>1502705.05</v>
      </c>
      <c r="O153">
        <v>0</v>
      </c>
      <c r="P153">
        <v>0</v>
      </c>
      <c r="Q153">
        <v>0</v>
      </c>
      <c r="R153">
        <v>15163660.050000001</v>
      </c>
      <c r="S153">
        <v>1910955</v>
      </c>
      <c r="T153">
        <v>13.9884437069</v>
      </c>
      <c r="U153" t="str">
        <f t="shared" si="2"/>
        <v>Week 2</v>
      </c>
    </row>
    <row r="154" spans="1:21" x14ac:dyDescent="0.25">
      <c r="A154">
        <v>153</v>
      </c>
      <c r="B154" t="s">
        <v>343</v>
      </c>
      <c r="C154" s="1">
        <v>46090</v>
      </c>
      <c r="D154" t="s">
        <v>33</v>
      </c>
      <c r="E154" t="s">
        <v>34</v>
      </c>
      <c r="F154" t="s">
        <v>30</v>
      </c>
      <c r="G154" t="s">
        <v>24</v>
      </c>
      <c r="H154" s="2">
        <v>1</v>
      </c>
      <c r="I154" t="s">
        <v>344</v>
      </c>
      <c r="K154">
        <v>144200</v>
      </c>
      <c r="L154">
        <v>0</v>
      </c>
      <c r="M154">
        <v>0</v>
      </c>
      <c r="N154">
        <v>15862</v>
      </c>
      <c r="O154">
        <v>0</v>
      </c>
      <c r="P154">
        <v>0</v>
      </c>
      <c r="Q154">
        <v>0</v>
      </c>
      <c r="R154">
        <v>160062</v>
      </c>
      <c r="S154">
        <v>104440</v>
      </c>
      <c r="T154">
        <v>72.427184466019</v>
      </c>
      <c r="U154" t="str">
        <f t="shared" si="2"/>
        <v>Week 2</v>
      </c>
    </row>
    <row r="155" spans="1:21" x14ac:dyDescent="0.25">
      <c r="A155">
        <v>154</v>
      </c>
      <c r="B155" t="s">
        <v>345</v>
      </c>
      <c r="C155" s="1">
        <v>46090</v>
      </c>
      <c r="D155" t="s">
        <v>54</v>
      </c>
      <c r="E155" t="s">
        <v>55</v>
      </c>
      <c r="F155" t="s">
        <v>30</v>
      </c>
      <c r="G155" t="s">
        <v>24</v>
      </c>
      <c r="H155" s="2">
        <v>1</v>
      </c>
      <c r="I155" t="s">
        <v>346</v>
      </c>
      <c r="K155">
        <v>84503260</v>
      </c>
      <c r="L155">
        <v>0</v>
      </c>
      <c r="M155">
        <v>0</v>
      </c>
      <c r="N155">
        <v>9295358.5999999996</v>
      </c>
      <c r="O155">
        <v>0</v>
      </c>
      <c r="P155">
        <v>0</v>
      </c>
      <c r="Q155">
        <v>0</v>
      </c>
      <c r="R155">
        <v>93798618.599999994</v>
      </c>
      <c r="S155">
        <v>17873536</v>
      </c>
      <c r="T155">
        <v>21.151297594909</v>
      </c>
      <c r="U155" t="str">
        <f t="shared" si="2"/>
        <v>Week 2</v>
      </c>
    </row>
    <row r="156" spans="1:21" x14ac:dyDescent="0.25">
      <c r="A156">
        <v>155</v>
      </c>
      <c r="B156" t="s">
        <v>347</v>
      </c>
      <c r="C156" s="1">
        <v>46090</v>
      </c>
      <c r="D156" t="s">
        <v>54</v>
      </c>
      <c r="E156" t="s">
        <v>55</v>
      </c>
      <c r="F156" t="s">
        <v>30</v>
      </c>
      <c r="G156" t="s">
        <v>24</v>
      </c>
      <c r="H156" s="2">
        <v>1</v>
      </c>
      <c r="I156" t="s">
        <v>348</v>
      </c>
      <c r="K156">
        <v>5467126</v>
      </c>
      <c r="L156">
        <v>0</v>
      </c>
      <c r="M156">
        <v>0</v>
      </c>
      <c r="N156">
        <v>601383.86</v>
      </c>
      <c r="O156">
        <v>0</v>
      </c>
      <c r="P156">
        <v>0</v>
      </c>
      <c r="Q156">
        <v>0</v>
      </c>
      <c r="R156">
        <v>6068509.8600000003</v>
      </c>
      <c r="S156">
        <v>1259126</v>
      </c>
      <c r="T156">
        <v>23.030857529165999</v>
      </c>
      <c r="U156" t="str">
        <f t="shared" si="2"/>
        <v>Week 2</v>
      </c>
    </row>
    <row r="157" spans="1:21" x14ac:dyDescent="0.25">
      <c r="A157">
        <v>156</v>
      </c>
      <c r="B157" t="s">
        <v>349</v>
      </c>
      <c r="C157" s="1">
        <v>46090</v>
      </c>
      <c r="D157" t="s">
        <v>54</v>
      </c>
      <c r="E157" t="s">
        <v>55</v>
      </c>
      <c r="F157" t="s">
        <v>30</v>
      </c>
      <c r="G157" t="s">
        <v>24</v>
      </c>
      <c r="H157" s="2">
        <v>1</v>
      </c>
      <c r="I157" t="s">
        <v>350</v>
      </c>
      <c r="K157">
        <v>50985000</v>
      </c>
      <c r="L157">
        <v>0</v>
      </c>
      <c r="M157">
        <v>0</v>
      </c>
      <c r="N157">
        <v>5608350</v>
      </c>
      <c r="O157">
        <v>0</v>
      </c>
      <c r="P157">
        <v>0</v>
      </c>
      <c r="Q157">
        <v>0</v>
      </c>
      <c r="R157">
        <v>56593350</v>
      </c>
      <c r="S157">
        <v>7785000</v>
      </c>
      <c r="T157">
        <v>15.269196822594999</v>
      </c>
      <c r="U157" t="str">
        <f t="shared" si="2"/>
        <v>Week 2</v>
      </c>
    </row>
    <row r="158" spans="1:21" x14ac:dyDescent="0.25">
      <c r="A158">
        <v>157</v>
      </c>
      <c r="B158" t="s">
        <v>351</v>
      </c>
      <c r="C158" s="1">
        <v>46090</v>
      </c>
      <c r="D158" t="s">
        <v>54</v>
      </c>
      <c r="E158" t="s">
        <v>55</v>
      </c>
      <c r="F158" t="s">
        <v>30</v>
      </c>
      <c r="G158" t="s">
        <v>24</v>
      </c>
      <c r="H158" s="2">
        <v>1</v>
      </c>
      <c r="I158" t="s">
        <v>352</v>
      </c>
      <c r="K158">
        <v>7031500</v>
      </c>
      <c r="L158">
        <v>0</v>
      </c>
      <c r="M158">
        <v>0</v>
      </c>
      <c r="N158">
        <v>773465</v>
      </c>
      <c r="O158">
        <v>0</v>
      </c>
      <c r="P158">
        <v>0</v>
      </c>
      <c r="Q158">
        <v>0</v>
      </c>
      <c r="R158">
        <v>7804965</v>
      </c>
      <c r="S158">
        <v>3247720</v>
      </c>
      <c r="T158">
        <v>46.188153310105001</v>
      </c>
      <c r="U158" t="str">
        <f t="shared" si="2"/>
        <v>Week 2</v>
      </c>
    </row>
    <row r="159" spans="1:21" x14ac:dyDescent="0.25">
      <c r="A159">
        <v>158</v>
      </c>
      <c r="B159" t="s">
        <v>353</v>
      </c>
      <c r="C159" s="1">
        <v>46090</v>
      </c>
      <c r="D159" t="s">
        <v>54</v>
      </c>
      <c r="E159" t="s">
        <v>55</v>
      </c>
      <c r="F159" t="s">
        <v>30</v>
      </c>
      <c r="G159" t="s">
        <v>24</v>
      </c>
      <c r="H159" s="2">
        <v>1</v>
      </c>
      <c r="I159" t="s">
        <v>354</v>
      </c>
      <c r="K159">
        <v>652100</v>
      </c>
      <c r="L159">
        <v>0</v>
      </c>
      <c r="M159">
        <v>0</v>
      </c>
      <c r="N159">
        <v>71731</v>
      </c>
      <c r="O159">
        <v>0</v>
      </c>
      <c r="P159">
        <v>0</v>
      </c>
      <c r="Q159">
        <v>0</v>
      </c>
      <c r="R159">
        <v>723831</v>
      </c>
      <c r="S159">
        <v>75600</v>
      </c>
      <c r="T159">
        <v>11.59331390891</v>
      </c>
      <c r="U159" t="str">
        <f t="shared" si="2"/>
        <v>Week 2</v>
      </c>
    </row>
    <row r="160" spans="1:21" x14ac:dyDescent="0.25">
      <c r="C160" s="1"/>
      <c r="H160" s="2"/>
    </row>
    <row r="161" spans="1:21" x14ac:dyDescent="0.25">
      <c r="A161">
        <v>160</v>
      </c>
      <c r="B161" t="s">
        <v>355</v>
      </c>
      <c r="C161" s="1">
        <v>46090</v>
      </c>
      <c r="D161" t="s">
        <v>356</v>
      </c>
      <c r="E161" t="s">
        <v>29</v>
      </c>
      <c r="F161" t="s">
        <v>30</v>
      </c>
      <c r="G161" t="s">
        <v>24</v>
      </c>
      <c r="H161" s="2">
        <v>1</v>
      </c>
      <c r="I161" t="s">
        <v>357</v>
      </c>
      <c r="K161">
        <v>2648646</v>
      </c>
      <c r="L161">
        <v>0</v>
      </c>
      <c r="M161">
        <v>0</v>
      </c>
      <c r="N161">
        <v>291351.06</v>
      </c>
      <c r="O161">
        <v>0</v>
      </c>
      <c r="P161">
        <v>0</v>
      </c>
      <c r="Q161">
        <v>0</v>
      </c>
      <c r="R161">
        <v>2939997.06</v>
      </c>
      <c r="S161">
        <v>243046</v>
      </c>
      <c r="T161">
        <v>0</v>
      </c>
      <c r="U161" t="str">
        <f t="shared" si="2"/>
        <v>Week 2</v>
      </c>
    </row>
    <row r="162" spans="1:21" x14ac:dyDescent="0.25">
      <c r="A162">
        <v>161</v>
      </c>
      <c r="B162" t="s">
        <v>358</v>
      </c>
      <c r="C162" s="1">
        <v>46090</v>
      </c>
      <c r="D162" t="s">
        <v>186</v>
      </c>
      <c r="E162" t="s">
        <v>117</v>
      </c>
      <c r="F162" t="s">
        <v>23</v>
      </c>
      <c r="G162" t="s">
        <v>24</v>
      </c>
      <c r="H162" s="2">
        <v>1</v>
      </c>
      <c r="I162" t="s">
        <v>359</v>
      </c>
      <c r="J162" t="s">
        <v>26</v>
      </c>
      <c r="K162">
        <v>127624760</v>
      </c>
      <c r="L162">
        <v>0</v>
      </c>
      <c r="M162">
        <v>0</v>
      </c>
      <c r="N162">
        <v>14038723.6</v>
      </c>
      <c r="O162">
        <v>0</v>
      </c>
      <c r="P162">
        <v>0</v>
      </c>
      <c r="Q162">
        <v>0</v>
      </c>
      <c r="R162">
        <v>141663483.59999999</v>
      </c>
      <c r="S162">
        <v>31921606.84</v>
      </c>
      <c r="T162">
        <v>25.012079818994</v>
      </c>
      <c r="U162" t="str">
        <f t="shared" si="2"/>
        <v>Week 2</v>
      </c>
    </row>
    <row r="163" spans="1:21" x14ac:dyDescent="0.25">
      <c r="A163">
        <v>162</v>
      </c>
      <c r="B163" t="s">
        <v>360</v>
      </c>
      <c r="C163" s="1">
        <v>46090</v>
      </c>
      <c r="D163" t="s">
        <v>54</v>
      </c>
      <c r="E163" t="s">
        <v>55</v>
      </c>
      <c r="F163" t="s">
        <v>23</v>
      </c>
      <c r="G163" t="s">
        <v>24</v>
      </c>
      <c r="H163" s="2">
        <v>1</v>
      </c>
      <c r="I163" t="s">
        <v>354</v>
      </c>
      <c r="K163">
        <v>652100</v>
      </c>
      <c r="L163">
        <v>0</v>
      </c>
      <c r="M163">
        <v>0</v>
      </c>
      <c r="N163">
        <v>71731</v>
      </c>
      <c r="O163">
        <v>0</v>
      </c>
      <c r="P163">
        <v>0</v>
      </c>
      <c r="Q163">
        <v>0</v>
      </c>
      <c r="R163">
        <v>723831</v>
      </c>
      <c r="S163">
        <v>75600</v>
      </c>
      <c r="T163">
        <v>11.59331390891</v>
      </c>
      <c r="U163" t="str">
        <f t="shared" si="2"/>
        <v>Week 2</v>
      </c>
    </row>
    <row r="164" spans="1:21" x14ac:dyDescent="0.25">
      <c r="A164">
        <v>163</v>
      </c>
      <c r="B164" t="s">
        <v>361</v>
      </c>
      <c r="C164" s="1">
        <v>46090</v>
      </c>
      <c r="D164" t="s">
        <v>21</v>
      </c>
      <c r="E164" t="s">
        <v>22</v>
      </c>
      <c r="F164" t="s">
        <v>30</v>
      </c>
      <c r="G164" t="s">
        <v>24</v>
      </c>
      <c r="H164" s="2">
        <v>1</v>
      </c>
      <c r="I164" t="s">
        <v>362</v>
      </c>
      <c r="J164" t="s">
        <v>26</v>
      </c>
      <c r="K164">
        <v>75921175.260000005</v>
      </c>
      <c r="L164">
        <v>0</v>
      </c>
      <c r="M164">
        <v>0</v>
      </c>
      <c r="N164">
        <v>8351329.2785999998</v>
      </c>
      <c r="O164">
        <v>0</v>
      </c>
      <c r="P164">
        <v>0</v>
      </c>
      <c r="Q164">
        <v>0</v>
      </c>
      <c r="R164">
        <v>84272504.538599998</v>
      </c>
      <c r="S164">
        <v>75921172.260000005</v>
      </c>
      <c r="T164">
        <v>99.999996048533006</v>
      </c>
      <c r="U164" t="str">
        <f t="shared" si="2"/>
        <v>Week 2</v>
      </c>
    </row>
    <row r="165" spans="1:21" x14ac:dyDescent="0.25">
      <c r="A165">
        <v>164</v>
      </c>
      <c r="B165" t="s">
        <v>363</v>
      </c>
      <c r="C165" s="1">
        <v>46090</v>
      </c>
      <c r="D165" t="s">
        <v>21</v>
      </c>
      <c r="E165" t="s">
        <v>22</v>
      </c>
      <c r="F165" t="s">
        <v>30</v>
      </c>
      <c r="G165" t="s">
        <v>24</v>
      </c>
      <c r="H165" s="2">
        <v>1</v>
      </c>
      <c r="I165" t="s">
        <v>364</v>
      </c>
      <c r="J165" t="s">
        <v>57</v>
      </c>
      <c r="K165">
        <v>411254112.92000002</v>
      </c>
      <c r="L165">
        <v>0</v>
      </c>
      <c r="M165">
        <v>0</v>
      </c>
      <c r="N165">
        <v>45237952.4212</v>
      </c>
      <c r="O165">
        <v>0</v>
      </c>
      <c r="P165">
        <v>0</v>
      </c>
      <c r="Q165">
        <v>0</v>
      </c>
      <c r="R165">
        <v>456492065.34119999</v>
      </c>
      <c r="S165">
        <v>411254102.92000002</v>
      </c>
      <c r="T165">
        <v>99.999997568412994</v>
      </c>
      <c r="U165" t="str">
        <f t="shared" si="2"/>
        <v>Week 2</v>
      </c>
    </row>
    <row r="166" spans="1:21" x14ac:dyDescent="0.25">
      <c r="A166">
        <v>165</v>
      </c>
      <c r="B166" t="s">
        <v>365</v>
      </c>
      <c r="C166" s="1">
        <v>46090</v>
      </c>
      <c r="D166" t="s">
        <v>54</v>
      </c>
      <c r="E166" t="s">
        <v>55</v>
      </c>
      <c r="F166" t="s">
        <v>30</v>
      </c>
      <c r="G166" t="s">
        <v>24</v>
      </c>
      <c r="H166" s="2">
        <v>1</v>
      </c>
      <c r="I166" t="s">
        <v>366</v>
      </c>
      <c r="K166">
        <v>652100</v>
      </c>
      <c r="L166">
        <v>0</v>
      </c>
      <c r="M166">
        <v>0</v>
      </c>
      <c r="N166">
        <v>71731</v>
      </c>
      <c r="O166">
        <v>0</v>
      </c>
      <c r="P166">
        <v>0</v>
      </c>
      <c r="Q166">
        <v>0</v>
      </c>
      <c r="R166">
        <v>723831</v>
      </c>
      <c r="S166">
        <v>75600</v>
      </c>
      <c r="T166">
        <v>11.59331390891</v>
      </c>
      <c r="U166" t="str">
        <f t="shared" si="2"/>
        <v>Week 2</v>
      </c>
    </row>
    <row r="167" spans="1:21" x14ac:dyDescent="0.25">
      <c r="A167">
        <v>166</v>
      </c>
      <c r="B167" t="s">
        <v>367</v>
      </c>
      <c r="C167" s="1">
        <v>46090</v>
      </c>
      <c r="D167" t="s">
        <v>21</v>
      </c>
      <c r="E167" t="s">
        <v>22</v>
      </c>
      <c r="F167" t="s">
        <v>23</v>
      </c>
      <c r="G167" t="s">
        <v>24</v>
      </c>
      <c r="H167" s="2">
        <v>1</v>
      </c>
      <c r="I167" t="s">
        <v>368</v>
      </c>
      <c r="J167" t="s">
        <v>26</v>
      </c>
      <c r="K167">
        <v>43672727</v>
      </c>
      <c r="L167">
        <v>0</v>
      </c>
      <c r="M167">
        <v>0</v>
      </c>
      <c r="N167">
        <v>4803999.97</v>
      </c>
      <c r="O167">
        <v>0</v>
      </c>
      <c r="P167">
        <v>0</v>
      </c>
      <c r="Q167">
        <v>0</v>
      </c>
      <c r="R167">
        <v>48476726.969999999</v>
      </c>
      <c r="S167">
        <v>10072727</v>
      </c>
      <c r="T167">
        <v>23.064112758518998</v>
      </c>
      <c r="U167" t="str">
        <f t="shared" si="2"/>
        <v>Week 2</v>
      </c>
    </row>
    <row r="168" spans="1:21" x14ac:dyDescent="0.25">
      <c r="A168">
        <v>167</v>
      </c>
      <c r="B168" t="s">
        <v>369</v>
      </c>
      <c r="C168" s="1">
        <v>46088</v>
      </c>
      <c r="D168" t="s">
        <v>21</v>
      </c>
      <c r="E168" t="s">
        <v>22</v>
      </c>
      <c r="F168" t="s">
        <v>23</v>
      </c>
      <c r="G168" t="s">
        <v>24</v>
      </c>
      <c r="H168" s="2">
        <v>1</v>
      </c>
      <c r="I168" t="s">
        <v>370</v>
      </c>
      <c r="J168" t="s">
        <v>57</v>
      </c>
      <c r="K168">
        <v>141431358</v>
      </c>
      <c r="L168">
        <v>0</v>
      </c>
      <c r="M168">
        <v>0</v>
      </c>
      <c r="N168">
        <v>15557449.380000001</v>
      </c>
      <c r="O168">
        <v>0</v>
      </c>
      <c r="P168">
        <v>0</v>
      </c>
      <c r="Q168">
        <v>0</v>
      </c>
      <c r="R168">
        <v>156988807.38</v>
      </c>
      <c r="S168">
        <v>35409418.366847001</v>
      </c>
      <c r="T168">
        <v>25.036469187298</v>
      </c>
      <c r="U168" t="str">
        <f t="shared" si="2"/>
        <v>Week 1</v>
      </c>
    </row>
    <row r="169" spans="1:21" x14ac:dyDescent="0.25">
      <c r="A169">
        <v>168</v>
      </c>
      <c r="B169" t="s">
        <v>371</v>
      </c>
      <c r="C169" s="1">
        <v>46088</v>
      </c>
      <c r="D169" t="s">
        <v>252</v>
      </c>
      <c r="E169" t="s">
        <v>117</v>
      </c>
      <c r="F169" t="s">
        <v>30</v>
      </c>
      <c r="G169" t="s">
        <v>24</v>
      </c>
      <c r="H169" s="2">
        <v>1</v>
      </c>
      <c r="I169" t="s">
        <v>372</v>
      </c>
      <c r="J169" t="s">
        <v>373</v>
      </c>
      <c r="K169">
        <v>196730000</v>
      </c>
      <c r="L169">
        <v>0</v>
      </c>
      <c r="M169">
        <v>0</v>
      </c>
      <c r="N169">
        <v>21640300</v>
      </c>
      <c r="O169">
        <v>0</v>
      </c>
      <c r="P169">
        <v>0</v>
      </c>
      <c r="Q169">
        <v>0</v>
      </c>
      <c r="R169">
        <v>218370300</v>
      </c>
      <c r="S169">
        <v>5730000</v>
      </c>
      <c r="T169">
        <v>2.9126213592233001</v>
      </c>
      <c r="U169" t="str">
        <f t="shared" si="2"/>
        <v>Week 1</v>
      </c>
    </row>
    <row r="170" spans="1:21" x14ac:dyDescent="0.25">
      <c r="A170">
        <v>169</v>
      </c>
      <c r="B170" t="s">
        <v>374</v>
      </c>
      <c r="C170" s="1">
        <v>46088</v>
      </c>
      <c r="D170" t="s">
        <v>54</v>
      </c>
      <c r="E170" t="s">
        <v>55</v>
      </c>
      <c r="F170" t="s">
        <v>30</v>
      </c>
      <c r="G170" t="s">
        <v>24</v>
      </c>
      <c r="H170" s="2">
        <v>1</v>
      </c>
      <c r="I170" t="s">
        <v>375</v>
      </c>
      <c r="K170">
        <v>170956000</v>
      </c>
      <c r="L170">
        <v>0</v>
      </c>
      <c r="M170">
        <v>0</v>
      </c>
      <c r="N170">
        <v>18805160</v>
      </c>
      <c r="O170">
        <v>0</v>
      </c>
      <c r="P170">
        <v>0</v>
      </c>
      <c r="Q170">
        <v>0</v>
      </c>
      <c r="R170">
        <v>189761160</v>
      </c>
      <c r="S170">
        <v>18006830</v>
      </c>
      <c r="T170">
        <v>10.53302019233</v>
      </c>
      <c r="U170" t="str">
        <f t="shared" si="2"/>
        <v>Week 1</v>
      </c>
    </row>
    <row r="171" spans="1:21" x14ac:dyDescent="0.25">
      <c r="A171">
        <v>170</v>
      </c>
      <c r="B171" t="s">
        <v>376</v>
      </c>
      <c r="C171" s="1">
        <v>46088</v>
      </c>
      <c r="D171" t="s">
        <v>54</v>
      </c>
      <c r="E171" t="s">
        <v>55</v>
      </c>
      <c r="F171" t="s">
        <v>30</v>
      </c>
      <c r="G171" t="s">
        <v>24</v>
      </c>
      <c r="H171" s="2">
        <v>1</v>
      </c>
      <c r="I171" t="s">
        <v>377</v>
      </c>
      <c r="K171">
        <v>9398900</v>
      </c>
      <c r="L171">
        <v>0</v>
      </c>
      <c r="M171">
        <v>0</v>
      </c>
      <c r="N171">
        <v>1033879</v>
      </c>
      <c r="O171">
        <v>0</v>
      </c>
      <c r="P171">
        <v>0</v>
      </c>
      <c r="Q171">
        <v>0</v>
      </c>
      <c r="R171">
        <v>10432779</v>
      </c>
      <c r="S171">
        <v>2011050</v>
      </c>
      <c r="T171">
        <v>21.396652799796001</v>
      </c>
      <c r="U171" t="str">
        <f t="shared" si="2"/>
        <v>Week 1</v>
      </c>
    </row>
    <row r="172" spans="1:21" x14ac:dyDescent="0.25">
      <c r="A172">
        <v>171</v>
      </c>
      <c r="B172" t="s">
        <v>378</v>
      </c>
      <c r="C172" s="1">
        <v>46088</v>
      </c>
      <c r="D172" t="s">
        <v>54</v>
      </c>
      <c r="E172" t="s">
        <v>55</v>
      </c>
      <c r="F172" t="s">
        <v>30</v>
      </c>
      <c r="G172" t="s">
        <v>24</v>
      </c>
      <c r="H172" s="2">
        <v>1</v>
      </c>
      <c r="I172" t="s">
        <v>379</v>
      </c>
      <c r="K172">
        <v>8960000</v>
      </c>
      <c r="L172">
        <v>0</v>
      </c>
      <c r="M172">
        <v>0</v>
      </c>
      <c r="N172">
        <v>985600</v>
      </c>
      <c r="O172">
        <v>0</v>
      </c>
      <c r="P172">
        <v>0</v>
      </c>
      <c r="Q172">
        <v>0</v>
      </c>
      <c r="R172">
        <v>9945600</v>
      </c>
      <c r="S172">
        <v>1004580</v>
      </c>
      <c r="T172">
        <v>11.211830357143</v>
      </c>
      <c r="U172" t="str">
        <f t="shared" si="2"/>
        <v>Week 1</v>
      </c>
    </row>
    <row r="173" spans="1:21" x14ac:dyDescent="0.25">
      <c r="A173">
        <v>172</v>
      </c>
      <c r="B173" t="s">
        <v>380</v>
      </c>
      <c r="C173" s="1">
        <v>46088</v>
      </c>
      <c r="D173" t="s">
        <v>54</v>
      </c>
      <c r="E173" t="s">
        <v>55</v>
      </c>
      <c r="F173" t="s">
        <v>30</v>
      </c>
      <c r="G173" t="s">
        <v>24</v>
      </c>
      <c r="H173" s="2">
        <v>1</v>
      </c>
      <c r="I173" t="s">
        <v>381</v>
      </c>
      <c r="K173">
        <v>75178000</v>
      </c>
      <c r="L173">
        <v>0</v>
      </c>
      <c r="M173">
        <v>0</v>
      </c>
      <c r="N173">
        <v>8269580</v>
      </c>
      <c r="O173">
        <v>0</v>
      </c>
      <c r="P173">
        <v>0</v>
      </c>
      <c r="Q173">
        <v>0</v>
      </c>
      <c r="R173">
        <v>83447580</v>
      </c>
      <c r="S173">
        <v>2256140</v>
      </c>
      <c r="T173">
        <v>3.0010641411051</v>
      </c>
      <c r="U173" t="str">
        <f t="shared" si="2"/>
        <v>Week 1</v>
      </c>
    </row>
    <row r="174" spans="1:21" x14ac:dyDescent="0.25">
      <c r="A174">
        <v>173</v>
      </c>
      <c r="B174" t="s">
        <v>382</v>
      </c>
      <c r="C174" s="1">
        <v>46088</v>
      </c>
      <c r="D174" t="s">
        <v>54</v>
      </c>
      <c r="E174" t="s">
        <v>55</v>
      </c>
      <c r="F174" t="s">
        <v>30</v>
      </c>
      <c r="G174" t="s">
        <v>24</v>
      </c>
      <c r="H174" s="2">
        <v>1</v>
      </c>
      <c r="I174" t="s">
        <v>383</v>
      </c>
      <c r="K174">
        <v>17934000</v>
      </c>
      <c r="L174">
        <v>0</v>
      </c>
      <c r="M174">
        <v>0</v>
      </c>
      <c r="N174">
        <v>1972740</v>
      </c>
      <c r="O174">
        <v>0</v>
      </c>
      <c r="P174">
        <v>0</v>
      </c>
      <c r="Q174">
        <v>0</v>
      </c>
      <c r="R174">
        <v>19906740</v>
      </c>
      <c r="S174">
        <v>538020</v>
      </c>
      <c r="T174">
        <v>3</v>
      </c>
      <c r="U174" t="str">
        <f t="shared" si="2"/>
        <v>Week 1</v>
      </c>
    </row>
    <row r="175" spans="1:21" x14ac:dyDescent="0.25">
      <c r="A175">
        <v>174</v>
      </c>
      <c r="B175" t="s">
        <v>384</v>
      </c>
      <c r="C175" s="1">
        <v>46088</v>
      </c>
      <c r="D175" t="s">
        <v>54</v>
      </c>
      <c r="E175" t="s">
        <v>55</v>
      </c>
      <c r="F175" t="s">
        <v>30</v>
      </c>
      <c r="G175" t="s">
        <v>24</v>
      </c>
      <c r="H175" s="2">
        <v>1</v>
      </c>
      <c r="I175" t="s">
        <v>385</v>
      </c>
      <c r="K175">
        <v>6405000</v>
      </c>
      <c r="L175">
        <v>0</v>
      </c>
      <c r="M175">
        <v>0</v>
      </c>
      <c r="N175">
        <v>704550</v>
      </c>
      <c r="O175">
        <v>0</v>
      </c>
      <c r="P175">
        <v>0</v>
      </c>
      <c r="Q175">
        <v>0</v>
      </c>
      <c r="R175">
        <v>7109550</v>
      </c>
      <c r="S175">
        <v>192150</v>
      </c>
      <c r="T175">
        <v>3</v>
      </c>
      <c r="U175" t="str">
        <f t="shared" si="2"/>
        <v>Week 1</v>
      </c>
    </row>
    <row r="176" spans="1:21" x14ac:dyDescent="0.25">
      <c r="A176">
        <v>175</v>
      </c>
      <c r="B176" t="s">
        <v>386</v>
      </c>
      <c r="C176" s="1">
        <v>46088</v>
      </c>
      <c r="D176" t="s">
        <v>54</v>
      </c>
      <c r="E176" t="s">
        <v>55</v>
      </c>
      <c r="F176" t="s">
        <v>30</v>
      </c>
      <c r="G176" t="s">
        <v>24</v>
      </c>
      <c r="H176" s="2">
        <v>1</v>
      </c>
      <c r="I176" t="s">
        <v>387</v>
      </c>
      <c r="K176">
        <v>59910000</v>
      </c>
      <c r="L176">
        <v>0</v>
      </c>
      <c r="M176">
        <v>0</v>
      </c>
      <c r="N176">
        <v>6590100</v>
      </c>
      <c r="O176">
        <v>0</v>
      </c>
      <c r="P176">
        <v>0</v>
      </c>
      <c r="Q176">
        <v>0</v>
      </c>
      <c r="R176">
        <v>66500100</v>
      </c>
      <c r="S176">
        <v>1801300</v>
      </c>
      <c r="T176">
        <v>3.0066766816891999</v>
      </c>
      <c r="U176" t="str">
        <f t="shared" si="2"/>
        <v>Week 1</v>
      </c>
    </row>
    <row r="177" spans="1:21" x14ac:dyDescent="0.25">
      <c r="A177">
        <v>176</v>
      </c>
      <c r="B177" t="s">
        <v>388</v>
      </c>
      <c r="C177" s="1">
        <v>46088</v>
      </c>
      <c r="D177" t="s">
        <v>54</v>
      </c>
      <c r="E177" t="s">
        <v>55</v>
      </c>
      <c r="F177" t="s">
        <v>30</v>
      </c>
      <c r="G177" t="s">
        <v>24</v>
      </c>
      <c r="H177" s="2">
        <v>1</v>
      </c>
      <c r="I177" t="s">
        <v>389</v>
      </c>
      <c r="K177">
        <v>128230000</v>
      </c>
      <c r="L177">
        <v>0</v>
      </c>
      <c r="M177">
        <v>0</v>
      </c>
      <c r="N177">
        <v>14105300</v>
      </c>
      <c r="O177">
        <v>0</v>
      </c>
      <c r="P177">
        <v>0</v>
      </c>
      <c r="Q177">
        <v>0</v>
      </c>
      <c r="R177">
        <v>142335300</v>
      </c>
      <c r="S177">
        <v>3850900</v>
      </c>
      <c r="T177">
        <v>3.0031193948374</v>
      </c>
      <c r="U177" t="str">
        <f t="shared" si="2"/>
        <v>Week 1</v>
      </c>
    </row>
    <row r="178" spans="1:21" x14ac:dyDescent="0.25">
      <c r="A178">
        <v>177</v>
      </c>
      <c r="B178" t="s">
        <v>390</v>
      </c>
      <c r="C178" s="1">
        <v>46088</v>
      </c>
      <c r="D178" t="s">
        <v>204</v>
      </c>
      <c r="E178" t="s">
        <v>205</v>
      </c>
      <c r="F178" t="s">
        <v>23</v>
      </c>
      <c r="G178" t="s">
        <v>24</v>
      </c>
      <c r="H178" s="2">
        <v>1</v>
      </c>
      <c r="I178" t="s">
        <v>391</v>
      </c>
      <c r="J178" t="s">
        <v>26</v>
      </c>
      <c r="K178">
        <v>17612500</v>
      </c>
      <c r="L178">
        <v>0</v>
      </c>
      <c r="M178">
        <v>0</v>
      </c>
      <c r="N178">
        <v>1937375</v>
      </c>
      <c r="O178">
        <v>0</v>
      </c>
      <c r="P178">
        <v>0</v>
      </c>
      <c r="Q178">
        <v>0</v>
      </c>
      <c r="R178">
        <v>19549875</v>
      </c>
      <c r="S178">
        <v>4321510</v>
      </c>
      <c r="T178">
        <v>24.536607523065999</v>
      </c>
      <c r="U178" t="str">
        <f t="shared" si="2"/>
        <v>Week 1</v>
      </c>
    </row>
    <row r="179" spans="1:21" x14ac:dyDescent="0.25">
      <c r="A179">
        <v>178</v>
      </c>
      <c r="B179" t="s">
        <v>392</v>
      </c>
      <c r="C179" s="1">
        <v>46088</v>
      </c>
      <c r="D179" t="s">
        <v>21</v>
      </c>
      <c r="E179" t="s">
        <v>22</v>
      </c>
      <c r="F179" t="s">
        <v>23</v>
      </c>
      <c r="G179" t="s">
        <v>24</v>
      </c>
      <c r="H179" s="2">
        <v>1</v>
      </c>
      <c r="I179" t="s">
        <v>149</v>
      </c>
      <c r="J179" t="s">
        <v>26</v>
      </c>
      <c r="K179">
        <v>15352000</v>
      </c>
      <c r="L179">
        <v>0</v>
      </c>
      <c r="M179">
        <v>0</v>
      </c>
      <c r="N179">
        <v>1688720</v>
      </c>
      <c r="O179">
        <v>0</v>
      </c>
      <c r="P179">
        <v>0</v>
      </c>
      <c r="Q179">
        <v>0</v>
      </c>
      <c r="R179">
        <v>17040720</v>
      </c>
      <c r="S179">
        <v>4773500</v>
      </c>
      <c r="T179">
        <v>31.093668577384001</v>
      </c>
      <c r="U179" t="str">
        <f t="shared" si="2"/>
        <v>Week 1</v>
      </c>
    </row>
    <row r="180" spans="1:21" x14ac:dyDescent="0.25">
      <c r="A180">
        <v>179</v>
      </c>
      <c r="B180" t="s">
        <v>393</v>
      </c>
      <c r="C180" s="1">
        <v>46088</v>
      </c>
      <c r="D180" t="s">
        <v>99</v>
      </c>
      <c r="E180" t="s">
        <v>100</v>
      </c>
      <c r="F180" t="s">
        <v>30</v>
      </c>
      <c r="G180" t="s">
        <v>24</v>
      </c>
      <c r="H180" s="2">
        <v>1</v>
      </c>
      <c r="I180" t="s">
        <v>394</v>
      </c>
      <c r="K180">
        <v>101326250</v>
      </c>
      <c r="L180">
        <v>0</v>
      </c>
      <c r="M180">
        <v>0</v>
      </c>
      <c r="N180">
        <v>11145887.5</v>
      </c>
      <c r="O180">
        <v>0</v>
      </c>
      <c r="P180">
        <v>0</v>
      </c>
      <c r="Q180">
        <v>0</v>
      </c>
      <c r="R180">
        <v>112472137.5</v>
      </c>
      <c r="S180">
        <v>-28080550</v>
      </c>
      <c r="T180">
        <v>-27.713006254549001</v>
      </c>
      <c r="U180" t="str">
        <f t="shared" si="2"/>
        <v>Week 1</v>
      </c>
    </row>
    <row r="181" spans="1:21" x14ac:dyDescent="0.25">
      <c r="A181">
        <v>180</v>
      </c>
      <c r="B181" t="s">
        <v>395</v>
      </c>
      <c r="C181" s="1">
        <v>46088</v>
      </c>
      <c r="D181" t="s">
        <v>252</v>
      </c>
      <c r="E181" t="s">
        <v>117</v>
      </c>
      <c r="F181" t="s">
        <v>30</v>
      </c>
      <c r="G181" t="s">
        <v>24</v>
      </c>
      <c r="H181" s="2">
        <v>1</v>
      </c>
      <c r="I181" t="s">
        <v>396</v>
      </c>
      <c r="J181" t="s">
        <v>26</v>
      </c>
      <c r="K181">
        <v>15598839</v>
      </c>
      <c r="L181">
        <v>0</v>
      </c>
      <c r="M181">
        <v>0</v>
      </c>
      <c r="N181">
        <v>1715872.29</v>
      </c>
      <c r="O181">
        <v>0</v>
      </c>
      <c r="P181">
        <v>0</v>
      </c>
      <c r="Q181">
        <v>0</v>
      </c>
      <c r="R181">
        <v>17314711.289999999</v>
      </c>
      <c r="S181">
        <v>454339</v>
      </c>
      <c r="T181">
        <v>2.9126462552758001</v>
      </c>
      <c r="U181" t="str">
        <f t="shared" si="2"/>
        <v>Week 1</v>
      </c>
    </row>
    <row r="182" spans="1:21" x14ac:dyDescent="0.25">
      <c r="A182">
        <v>181</v>
      </c>
      <c r="B182" t="s">
        <v>397</v>
      </c>
      <c r="C182" s="1">
        <v>46088</v>
      </c>
      <c r="D182" t="s">
        <v>21</v>
      </c>
      <c r="E182" t="s">
        <v>22</v>
      </c>
      <c r="F182" t="s">
        <v>39</v>
      </c>
      <c r="G182" t="s">
        <v>24</v>
      </c>
      <c r="H182" s="2">
        <v>1</v>
      </c>
      <c r="I182" t="s">
        <v>398</v>
      </c>
      <c r="J182" t="s">
        <v>57</v>
      </c>
      <c r="K182">
        <v>138014076.03749999</v>
      </c>
      <c r="L182">
        <v>0</v>
      </c>
      <c r="M182">
        <v>0</v>
      </c>
      <c r="N182">
        <v>15181548.364125</v>
      </c>
      <c r="O182">
        <v>0</v>
      </c>
      <c r="P182">
        <v>0</v>
      </c>
      <c r="Q182">
        <v>0</v>
      </c>
      <c r="R182">
        <v>153195624.40163001</v>
      </c>
      <c r="S182">
        <v>38902309.207500003</v>
      </c>
      <c r="T182">
        <v>28.187204033398999</v>
      </c>
      <c r="U182" t="str">
        <f t="shared" si="2"/>
        <v>Week 1</v>
      </c>
    </row>
    <row r="183" spans="1:21" x14ac:dyDescent="0.25">
      <c r="A183">
        <v>182</v>
      </c>
      <c r="B183" t="s">
        <v>399</v>
      </c>
      <c r="C183" s="1">
        <v>46088</v>
      </c>
      <c r="D183" t="s">
        <v>54</v>
      </c>
      <c r="E183" t="s">
        <v>55</v>
      </c>
      <c r="F183" t="s">
        <v>30</v>
      </c>
      <c r="G183" t="s">
        <v>24</v>
      </c>
      <c r="H183" s="2">
        <v>1</v>
      </c>
      <c r="I183" t="s">
        <v>400</v>
      </c>
      <c r="K183">
        <v>147000000</v>
      </c>
      <c r="L183">
        <v>0</v>
      </c>
      <c r="M183">
        <v>0</v>
      </c>
      <c r="N183">
        <v>16170000</v>
      </c>
      <c r="O183">
        <v>0</v>
      </c>
      <c r="P183">
        <v>0</v>
      </c>
      <c r="Q183">
        <v>0</v>
      </c>
      <c r="R183">
        <v>163170000</v>
      </c>
      <c r="S183">
        <v>46729729.729800001</v>
      </c>
      <c r="T183">
        <v>31.788931788980001</v>
      </c>
      <c r="U183" t="str">
        <f t="shared" si="2"/>
        <v>Week 1</v>
      </c>
    </row>
    <row r="184" spans="1:21" x14ac:dyDescent="0.25">
      <c r="A184">
        <v>183</v>
      </c>
      <c r="B184" t="s">
        <v>401</v>
      </c>
      <c r="C184" s="1">
        <v>46087</v>
      </c>
      <c r="D184" t="s">
        <v>21</v>
      </c>
      <c r="E184" t="s">
        <v>55</v>
      </c>
      <c r="F184" t="s">
        <v>30</v>
      </c>
      <c r="G184" t="s">
        <v>24</v>
      </c>
      <c r="H184" s="2">
        <v>1</v>
      </c>
      <c r="I184" t="s">
        <v>402</v>
      </c>
      <c r="K184">
        <v>109540500</v>
      </c>
      <c r="L184">
        <v>0</v>
      </c>
      <c r="M184">
        <v>0</v>
      </c>
      <c r="N184">
        <v>12049455</v>
      </c>
      <c r="O184">
        <v>0</v>
      </c>
      <c r="P184">
        <v>0</v>
      </c>
      <c r="Q184">
        <v>0</v>
      </c>
      <c r="R184">
        <v>121589955</v>
      </c>
      <c r="S184">
        <v>22865730</v>
      </c>
      <c r="T184">
        <v>20.87422460186</v>
      </c>
      <c r="U184" t="str">
        <f t="shared" si="2"/>
        <v>Week 1</v>
      </c>
    </row>
    <row r="185" spans="1:21" x14ac:dyDescent="0.25">
      <c r="A185">
        <v>184</v>
      </c>
      <c r="B185" t="s">
        <v>403</v>
      </c>
      <c r="C185" s="1">
        <v>46087</v>
      </c>
      <c r="D185" t="s">
        <v>404</v>
      </c>
      <c r="E185" t="s">
        <v>22</v>
      </c>
      <c r="F185" t="s">
        <v>23</v>
      </c>
      <c r="G185" t="s">
        <v>24</v>
      </c>
      <c r="H185" s="2">
        <v>1</v>
      </c>
      <c r="I185" t="s">
        <v>405</v>
      </c>
      <c r="J185" t="s">
        <v>26</v>
      </c>
      <c r="K185">
        <v>43380000</v>
      </c>
      <c r="L185">
        <v>0</v>
      </c>
      <c r="M185">
        <v>0</v>
      </c>
      <c r="N185">
        <v>4771800</v>
      </c>
      <c r="O185">
        <v>0</v>
      </c>
      <c r="P185">
        <v>0</v>
      </c>
      <c r="Q185">
        <v>0</v>
      </c>
      <c r="R185">
        <v>48151800</v>
      </c>
      <c r="S185">
        <v>10217350</v>
      </c>
      <c r="T185">
        <v>23.553135085293</v>
      </c>
      <c r="U185" t="str">
        <f t="shared" si="2"/>
        <v>Week 1</v>
      </c>
    </row>
    <row r="186" spans="1:21" x14ac:dyDescent="0.25">
      <c r="A186">
        <v>185</v>
      </c>
      <c r="B186" t="s">
        <v>406</v>
      </c>
      <c r="C186" s="1">
        <v>46087</v>
      </c>
      <c r="D186" t="s">
        <v>33</v>
      </c>
      <c r="E186" t="s">
        <v>38</v>
      </c>
      <c r="F186" t="s">
        <v>23</v>
      </c>
      <c r="G186" t="s">
        <v>24</v>
      </c>
      <c r="H186" s="2">
        <v>1</v>
      </c>
      <c r="I186" t="s">
        <v>407</v>
      </c>
      <c r="K186">
        <v>20400000</v>
      </c>
      <c r="L186">
        <v>0</v>
      </c>
      <c r="M186">
        <v>0</v>
      </c>
      <c r="N186">
        <v>2244000</v>
      </c>
      <c r="O186">
        <v>0</v>
      </c>
      <c r="P186">
        <v>0</v>
      </c>
      <c r="Q186">
        <v>0</v>
      </c>
      <c r="R186">
        <v>22644000</v>
      </c>
      <c r="S186">
        <v>4860000</v>
      </c>
      <c r="T186">
        <v>23.823529411765001</v>
      </c>
      <c r="U186" t="str">
        <f t="shared" si="2"/>
        <v>Week 1</v>
      </c>
    </row>
    <row r="187" spans="1:21" x14ac:dyDescent="0.25">
      <c r="A187">
        <v>186</v>
      </c>
      <c r="B187" t="s">
        <v>408</v>
      </c>
      <c r="C187" s="1">
        <v>46087</v>
      </c>
      <c r="D187" t="s">
        <v>21</v>
      </c>
      <c r="E187" t="s">
        <v>22</v>
      </c>
      <c r="F187" t="s">
        <v>30</v>
      </c>
      <c r="G187" t="s">
        <v>24</v>
      </c>
      <c r="H187" s="2">
        <v>1</v>
      </c>
      <c r="I187" t="s">
        <v>409</v>
      </c>
      <c r="J187" t="s">
        <v>26</v>
      </c>
      <c r="K187">
        <v>11419450</v>
      </c>
      <c r="L187">
        <v>0</v>
      </c>
      <c r="M187">
        <v>0</v>
      </c>
      <c r="N187">
        <v>1256139.5</v>
      </c>
      <c r="O187">
        <v>0</v>
      </c>
      <c r="P187">
        <v>0</v>
      </c>
      <c r="Q187">
        <v>0</v>
      </c>
      <c r="R187">
        <v>12675589.5</v>
      </c>
      <c r="S187">
        <v>1577450</v>
      </c>
      <c r="T187">
        <v>13.813712569344</v>
      </c>
      <c r="U187" t="str">
        <f t="shared" si="2"/>
        <v>Week 1</v>
      </c>
    </row>
    <row r="188" spans="1:21" x14ac:dyDescent="0.25">
      <c r="A188">
        <v>187</v>
      </c>
      <c r="B188" t="s">
        <v>410</v>
      </c>
      <c r="C188" s="1">
        <v>46087</v>
      </c>
      <c r="D188" t="s">
        <v>33</v>
      </c>
      <c r="E188" t="s">
        <v>38</v>
      </c>
      <c r="F188" t="s">
        <v>30</v>
      </c>
      <c r="G188" t="s">
        <v>24</v>
      </c>
      <c r="H188" s="2">
        <v>1</v>
      </c>
      <c r="I188" t="s">
        <v>411</v>
      </c>
      <c r="K188">
        <v>131937850</v>
      </c>
      <c r="L188">
        <v>0</v>
      </c>
      <c r="M188">
        <v>0</v>
      </c>
      <c r="N188">
        <v>14513163.5</v>
      </c>
      <c r="O188">
        <v>0</v>
      </c>
      <c r="P188">
        <v>0</v>
      </c>
      <c r="Q188">
        <v>0</v>
      </c>
      <c r="R188">
        <v>146451013.5</v>
      </c>
      <c r="S188">
        <v>-103512150</v>
      </c>
      <c r="T188">
        <v>-78.455234794261003</v>
      </c>
      <c r="U188" t="str">
        <f t="shared" si="2"/>
        <v>Week 1</v>
      </c>
    </row>
    <row r="189" spans="1:21" x14ac:dyDescent="0.25">
      <c r="A189">
        <v>188</v>
      </c>
      <c r="B189" t="s">
        <v>412</v>
      </c>
      <c r="C189" s="1">
        <v>46087</v>
      </c>
      <c r="D189" t="s">
        <v>21</v>
      </c>
      <c r="E189" t="s">
        <v>22</v>
      </c>
      <c r="F189" t="s">
        <v>30</v>
      </c>
      <c r="G189" t="s">
        <v>24</v>
      </c>
      <c r="H189" s="2">
        <v>1</v>
      </c>
      <c r="I189" t="s">
        <v>413</v>
      </c>
      <c r="J189" t="s">
        <v>26</v>
      </c>
      <c r="K189">
        <v>102900</v>
      </c>
      <c r="L189">
        <v>0</v>
      </c>
      <c r="M189">
        <v>0</v>
      </c>
      <c r="N189">
        <v>11319</v>
      </c>
      <c r="O189">
        <v>0</v>
      </c>
      <c r="P189">
        <v>0</v>
      </c>
      <c r="Q189">
        <v>0</v>
      </c>
      <c r="R189">
        <v>114219</v>
      </c>
      <c r="S189">
        <v>3087</v>
      </c>
      <c r="T189">
        <v>3</v>
      </c>
      <c r="U189" t="str">
        <f t="shared" si="2"/>
        <v>Week 1</v>
      </c>
    </row>
    <row r="190" spans="1:21" x14ac:dyDescent="0.25">
      <c r="A190">
        <v>189</v>
      </c>
      <c r="B190" t="s">
        <v>414</v>
      </c>
      <c r="C190" s="1">
        <v>46087</v>
      </c>
      <c r="D190" t="s">
        <v>252</v>
      </c>
      <c r="E190" t="s">
        <v>100</v>
      </c>
      <c r="F190" t="s">
        <v>30</v>
      </c>
      <c r="G190" t="s">
        <v>24</v>
      </c>
      <c r="H190" s="2">
        <v>1</v>
      </c>
      <c r="I190" t="s">
        <v>415</v>
      </c>
      <c r="J190" t="s">
        <v>26</v>
      </c>
      <c r="K190">
        <v>5325203</v>
      </c>
      <c r="L190">
        <v>0</v>
      </c>
      <c r="M190">
        <v>0</v>
      </c>
      <c r="N190">
        <v>585772.32999999996</v>
      </c>
      <c r="O190">
        <v>0</v>
      </c>
      <c r="P190">
        <v>0</v>
      </c>
      <c r="Q190">
        <v>0</v>
      </c>
      <c r="R190">
        <v>5910975.3300000001</v>
      </c>
      <c r="S190">
        <v>-1266777</v>
      </c>
      <c r="T190">
        <v>-23.788332576241999</v>
      </c>
      <c r="U190" t="str">
        <f t="shared" si="2"/>
        <v>Week 1</v>
      </c>
    </row>
    <row r="191" spans="1:21" x14ac:dyDescent="0.25">
      <c r="A191">
        <v>190</v>
      </c>
      <c r="B191" t="s">
        <v>416</v>
      </c>
      <c r="C191" s="1">
        <v>46087</v>
      </c>
      <c r="D191" t="s">
        <v>33</v>
      </c>
      <c r="E191" t="s">
        <v>38</v>
      </c>
      <c r="F191" t="s">
        <v>30</v>
      </c>
      <c r="G191" t="s">
        <v>24</v>
      </c>
      <c r="H191" s="2">
        <v>1</v>
      </c>
      <c r="I191" t="s">
        <v>417</v>
      </c>
      <c r="K191">
        <v>51104336.359999999</v>
      </c>
      <c r="L191">
        <v>0</v>
      </c>
      <c r="M191">
        <v>0</v>
      </c>
      <c r="N191">
        <v>5621476.9995999997</v>
      </c>
      <c r="O191">
        <v>0</v>
      </c>
      <c r="P191">
        <v>0</v>
      </c>
      <c r="Q191">
        <v>0</v>
      </c>
      <c r="R191">
        <v>56725813.3596</v>
      </c>
      <c r="S191">
        <v>6104502.7187989</v>
      </c>
      <c r="T191">
        <v>11.945175602705</v>
      </c>
      <c r="U191" t="str">
        <f t="shared" si="2"/>
        <v>Week 1</v>
      </c>
    </row>
    <row r="192" spans="1:21" x14ac:dyDescent="0.25">
      <c r="A192">
        <v>191</v>
      </c>
      <c r="B192" t="s">
        <v>418</v>
      </c>
      <c r="C192" s="1">
        <v>46087</v>
      </c>
      <c r="D192" t="s">
        <v>204</v>
      </c>
      <c r="E192" t="s">
        <v>205</v>
      </c>
      <c r="F192" t="s">
        <v>30</v>
      </c>
      <c r="G192" t="s">
        <v>24</v>
      </c>
      <c r="H192" s="2">
        <v>1</v>
      </c>
      <c r="I192" t="s">
        <v>419</v>
      </c>
      <c r="J192" t="s">
        <v>26</v>
      </c>
      <c r="K192">
        <v>1499400</v>
      </c>
      <c r="L192">
        <v>0</v>
      </c>
      <c r="M192">
        <v>0</v>
      </c>
      <c r="N192">
        <v>164934</v>
      </c>
      <c r="O192">
        <v>0</v>
      </c>
      <c r="P192">
        <v>0</v>
      </c>
      <c r="Q192">
        <v>0</v>
      </c>
      <c r="R192">
        <v>1664334</v>
      </c>
      <c r="S192">
        <v>649400</v>
      </c>
      <c r="T192">
        <v>43.310657596372003</v>
      </c>
      <c r="U192" t="str">
        <f t="shared" si="2"/>
        <v>Week 1</v>
      </c>
    </row>
    <row r="193" spans="1:21" x14ac:dyDescent="0.25">
      <c r="A193">
        <v>192</v>
      </c>
      <c r="B193" t="s">
        <v>420</v>
      </c>
      <c r="C193" s="1">
        <v>46087</v>
      </c>
      <c r="D193" t="s">
        <v>252</v>
      </c>
      <c r="E193" t="s">
        <v>117</v>
      </c>
      <c r="F193" t="s">
        <v>30</v>
      </c>
      <c r="G193" t="s">
        <v>24</v>
      </c>
      <c r="H193" s="2">
        <v>1</v>
      </c>
      <c r="I193" t="s">
        <v>421</v>
      </c>
      <c r="J193" t="s">
        <v>26</v>
      </c>
      <c r="K193">
        <v>36091200</v>
      </c>
      <c r="L193">
        <v>0</v>
      </c>
      <c r="M193">
        <v>0</v>
      </c>
      <c r="N193">
        <v>3970032</v>
      </c>
      <c r="O193">
        <v>0</v>
      </c>
      <c r="P193">
        <v>0</v>
      </c>
      <c r="Q193">
        <v>0</v>
      </c>
      <c r="R193">
        <v>40061232</v>
      </c>
      <c r="S193">
        <v>-1948800</v>
      </c>
      <c r="T193">
        <v>-5.3996542093363002</v>
      </c>
      <c r="U193" t="str">
        <f t="shared" si="2"/>
        <v>Week 1</v>
      </c>
    </row>
    <row r="194" spans="1:21" x14ac:dyDescent="0.25">
      <c r="A194">
        <v>193</v>
      </c>
      <c r="B194" t="s">
        <v>422</v>
      </c>
      <c r="C194" s="1">
        <v>46087</v>
      </c>
      <c r="D194" t="s">
        <v>113</v>
      </c>
      <c r="E194" t="s">
        <v>38</v>
      </c>
      <c r="F194" t="s">
        <v>30</v>
      </c>
      <c r="G194" t="s">
        <v>24</v>
      </c>
      <c r="H194" s="2">
        <v>1</v>
      </c>
      <c r="I194" t="s">
        <v>423</v>
      </c>
      <c r="K194">
        <v>158105</v>
      </c>
      <c r="L194">
        <v>0</v>
      </c>
      <c r="M194">
        <v>0</v>
      </c>
      <c r="N194">
        <v>17391.55</v>
      </c>
      <c r="O194">
        <v>0</v>
      </c>
      <c r="P194">
        <v>0</v>
      </c>
      <c r="Q194">
        <v>0</v>
      </c>
      <c r="R194">
        <v>175496.55</v>
      </c>
      <c r="S194">
        <v>22294.189189190001</v>
      </c>
      <c r="T194">
        <v>14.100875487295999</v>
      </c>
      <c r="U194" t="str">
        <f t="shared" si="2"/>
        <v>Week 1</v>
      </c>
    </row>
    <row r="195" spans="1:21" x14ac:dyDescent="0.25">
      <c r="A195">
        <v>194</v>
      </c>
      <c r="B195" t="s">
        <v>424</v>
      </c>
      <c r="C195" s="1">
        <v>46086</v>
      </c>
      <c r="D195" t="s">
        <v>37</v>
      </c>
      <c r="E195" t="s">
        <v>38</v>
      </c>
      <c r="F195" t="s">
        <v>30</v>
      </c>
      <c r="G195" t="s">
        <v>24</v>
      </c>
      <c r="H195" s="2">
        <v>1</v>
      </c>
      <c r="I195" t="s">
        <v>425</v>
      </c>
      <c r="K195">
        <v>21550.2</v>
      </c>
      <c r="L195">
        <v>0</v>
      </c>
      <c r="M195">
        <v>0</v>
      </c>
      <c r="N195">
        <v>2370.5219999999999</v>
      </c>
      <c r="O195">
        <v>0</v>
      </c>
      <c r="P195">
        <v>0</v>
      </c>
      <c r="Q195">
        <v>0</v>
      </c>
      <c r="R195">
        <v>23920.722000000002</v>
      </c>
      <c r="S195">
        <v>3532.1819819819998</v>
      </c>
      <c r="T195">
        <v>16.390483531392</v>
      </c>
      <c r="U195" t="str">
        <f t="shared" ref="U195:U258" si="3">"Week " &amp;IF(DAY(C195)&gt;=24,4,INT((DAY(C195)-1)/7)+1)</f>
        <v>Week 1</v>
      </c>
    </row>
    <row r="196" spans="1:21" x14ac:dyDescent="0.25">
      <c r="A196">
        <v>195</v>
      </c>
      <c r="B196" t="s">
        <v>426</v>
      </c>
      <c r="C196" s="1">
        <v>46086</v>
      </c>
      <c r="D196" t="s">
        <v>37</v>
      </c>
      <c r="E196" t="s">
        <v>38</v>
      </c>
      <c r="F196" t="s">
        <v>30</v>
      </c>
      <c r="G196" t="s">
        <v>24</v>
      </c>
      <c r="H196" s="2">
        <v>1</v>
      </c>
      <c r="I196" t="s">
        <v>427</v>
      </c>
      <c r="K196">
        <v>2861355</v>
      </c>
      <c r="L196">
        <v>0</v>
      </c>
      <c r="M196">
        <v>0</v>
      </c>
      <c r="N196">
        <v>314749.05</v>
      </c>
      <c r="O196">
        <v>0</v>
      </c>
      <c r="P196">
        <v>0</v>
      </c>
      <c r="Q196">
        <v>0</v>
      </c>
      <c r="R196">
        <v>3176104.05</v>
      </c>
      <c r="S196">
        <v>525555</v>
      </c>
      <c r="T196">
        <v>18.367346938775999</v>
      </c>
      <c r="U196" t="str">
        <f t="shared" si="3"/>
        <v>Week 1</v>
      </c>
    </row>
    <row r="197" spans="1:21" x14ac:dyDescent="0.25">
      <c r="A197">
        <v>196</v>
      </c>
      <c r="B197" t="s">
        <v>428</v>
      </c>
      <c r="C197" s="1">
        <v>46086</v>
      </c>
      <c r="D197" t="s">
        <v>429</v>
      </c>
      <c r="E197" t="s">
        <v>205</v>
      </c>
      <c r="F197" t="s">
        <v>39</v>
      </c>
      <c r="G197" t="s">
        <v>24</v>
      </c>
      <c r="H197" s="2">
        <v>1</v>
      </c>
      <c r="I197" t="s">
        <v>200</v>
      </c>
      <c r="J197" t="s">
        <v>26</v>
      </c>
      <c r="K197">
        <v>37916110.5</v>
      </c>
      <c r="L197">
        <v>0</v>
      </c>
      <c r="M197">
        <v>0</v>
      </c>
      <c r="N197">
        <v>4170772.1549999998</v>
      </c>
      <c r="O197">
        <v>0</v>
      </c>
      <c r="P197">
        <v>0</v>
      </c>
      <c r="Q197">
        <v>0</v>
      </c>
      <c r="R197">
        <v>42086882.655000001</v>
      </c>
      <c r="S197">
        <v>17150402</v>
      </c>
      <c r="T197">
        <v>45.232492926719999</v>
      </c>
      <c r="U197" t="str">
        <f t="shared" si="3"/>
        <v>Week 1</v>
      </c>
    </row>
    <row r="198" spans="1:21" x14ac:dyDescent="0.25">
      <c r="A198">
        <v>197</v>
      </c>
      <c r="B198" t="s">
        <v>430</v>
      </c>
      <c r="C198" s="1">
        <v>46086</v>
      </c>
      <c r="D198" t="s">
        <v>54</v>
      </c>
      <c r="E198" t="s">
        <v>55</v>
      </c>
      <c r="F198" t="s">
        <v>30</v>
      </c>
      <c r="G198" t="s">
        <v>24</v>
      </c>
      <c r="H198" s="2">
        <v>1</v>
      </c>
      <c r="I198" t="s">
        <v>431</v>
      </c>
      <c r="K198">
        <v>60514148</v>
      </c>
      <c r="L198">
        <v>0</v>
      </c>
      <c r="M198">
        <v>0</v>
      </c>
      <c r="N198">
        <v>6656556.2800000003</v>
      </c>
      <c r="O198">
        <v>0</v>
      </c>
      <c r="P198">
        <v>0</v>
      </c>
      <c r="Q198">
        <v>0</v>
      </c>
      <c r="R198">
        <v>67170704.280000001</v>
      </c>
      <c r="S198">
        <v>6763948</v>
      </c>
      <c r="T198">
        <v>11.177465474685</v>
      </c>
      <c r="U198" t="str">
        <f t="shared" si="3"/>
        <v>Week 1</v>
      </c>
    </row>
    <row r="199" spans="1:21" x14ac:dyDescent="0.25">
      <c r="A199">
        <v>198</v>
      </c>
      <c r="B199" t="s">
        <v>432</v>
      </c>
      <c r="C199" s="1">
        <v>46086</v>
      </c>
      <c r="D199" t="s">
        <v>429</v>
      </c>
      <c r="E199" t="s">
        <v>194</v>
      </c>
      <c r="F199" t="s">
        <v>30</v>
      </c>
      <c r="G199" t="s">
        <v>24</v>
      </c>
      <c r="H199" s="2">
        <v>1</v>
      </c>
      <c r="I199" t="s">
        <v>433</v>
      </c>
      <c r="J199" t="s">
        <v>57</v>
      </c>
      <c r="K199">
        <v>5271969.9000000004</v>
      </c>
      <c r="L199">
        <v>0</v>
      </c>
      <c r="M199">
        <v>0</v>
      </c>
      <c r="N199">
        <v>579916.68900000001</v>
      </c>
      <c r="O199">
        <v>0</v>
      </c>
      <c r="P199">
        <v>0</v>
      </c>
      <c r="Q199">
        <v>0</v>
      </c>
      <c r="R199">
        <v>5851886.5889999997</v>
      </c>
      <c r="S199">
        <v>2659651.9</v>
      </c>
      <c r="T199">
        <v>50.448920431052002</v>
      </c>
      <c r="U199" t="str">
        <f t="shared" si="3"/>
        <v>Week 1</v>
      </c>
    </row>
    <row r="200" spans="1:21" x14ac:dyDescent="0.25">
      <c r="A200">
        <v>199</v>
      </c>
      <c r="B200" t="s">
        <v>434</v>
      </c>
      <c r="C200" s="1">
        <v>46086</v>
      </c>
      <c r="D200" t="s">
        <v>252</v>
      </c>
      <c r="E200" t="s">
        <v>117</v>
      </c>
      <c r="F200" t="s">
        <v>30</v>
      </c>
      <c r="G200" t="s">
        <v>24</v>
      </c>
      <c r="H200" s="2">
        <v>1</v>
      </c>
      <c r="I200" t="s">
        <v>435</v>
      </c>
      <c r="J200" t="s">
        <v>26</v>
      </c>
      <c r="K200">
        <v>14223270</v>
      </c>
      <c r="L200">
        <v>0</v>
      </c>
      <c r="M200">
        <v>0</v>
      </c>
      <c r="N200">
        <v>1564559.7</v>
      </c>
      <c r="O200">
        <v>0</v>
      </c>
      <c r="P200">
        <v>0</v>
      </c>
      <c r="Q200">
        <v>0</v>
      </c>
      <c r="R200">
        <v>15787829.699999999</v>
      </c>
      <c r="S200">
        <v>414270</v>
      </c>
      <c r="T200">
        <v>2.9126213592233001</v>
      </c>
      <c r="U200" t="str">
        <f t="shared" si="3"/>
        <v>Week 1</v>
      </c>
    </row>
    <row r="201" spans="1:21" x14ac:dyDescent="0.25">
      <c r="A201">
        <v>200</v>
      </c>
      <c r="B201" t="s">
        <v>436</v>
      </c>
      <c r="C201" s="1">
        <v>46086</v>
      </c>
      <c r="D201" t="s">
        <v>437</v>
      </c>
      <c r="E201" t="s">
        <v>205</v>
      </c>
      <c r="F201" t="s">
        <v>23</v>
      </c>
      <c r="G201" t="s">
        <v>24</v>
      </c>
      <c r="H201" s="2">
        <v>1</v>
      </c>
      <c r="I201" t="s">
        <v>438</v>
      </c>
      <c r="J201" t="s">
        <v>57</v>
      </c>
      <c r="K201">
        <v>45350000</v>
      </c>
      <c r="L201">
        <v>0</v>
      </c>
      <c r="M201">
        <v>0</v>
      </c>
      <c r="N201">
        <v>4988500</v>
      </c>
      <c r="O201">
        <v>0</v>
      </c>
      <c r="P201">
        <v>0</v>
      </c>
      <c r="Q201">
        <v>0</v>
      </c>
      <c r="R201">
        <v>50338500</v>
      </c>
      <c r="S201">
        <v>9313965</v>
      </c>
      <c r="T201">
        <v>20.537960308710002</v>
      </c>
      <c r="U201" t="str">
        <f t="shared" si="3"/>
        <v>Week 1</v>
      </c>
    </row>
    <row r="202" spans="1:21" x14ac:dyDescent="0.25">
      <c r="A202">
        <v>201</v>
      </c>
      <c r="B202" t="s">
        <v>439</v>
      </c>
      <c r="C202" s="1">
        <v>46086</v>
      </c>
      <c r="D202" t="s">
        <v>440</v>
      </c>
      <c r="E202" t="s">
        <v>117</v>
      </c>
      <c r="F202" t="s">
        <v>30</v>
      </c>
      <c r="G202" t="s">
        <v>24</v>
      </c>
      <c r="H202" s="2">
        <v>1</v>
      </c>
      <c r="I202" t="s">
        <v>441</v>
      </c>
      <c r="J202" t="s">
        <v>26</v>
      </c>
      <c r="K202">
        <v>37080000</v>
      </c>
      <c r="L202">
        <v>0</v>
      </c>
      <c r="M202">
        <v>0</v>
      </c>
      <c r="N202">
        <v>4078800</v>
      </c>
      <c r="O202">
        <v>0</v>
      </c>
      <c r="P202">
        <v>0</v>
      </c>
      <c r="Q202">
        <v>0</v>
      </c>
      <c r="R202">
        <v>41158800</v>
      </c>
      <c r="S202">
        <v>5580000</v>
      </c>
      <c r="T202">
        <v>15.048543689320001</v>
      </c>
      <c r="U202" t="str">
        <f t="shared" si="3"/>
        <v>Week 1</v>
      </c>
    </row>
    <row r="203" spans="1:21" x14ac:dyDescent="0.25">
      <c r="A203">
        <v>202</v>
      </c>
      <c r="B203" t="s">
        <v>442</v>
      </c>
      <c r="C203" s="1">
        <v>46086</v>
      </c>
      <c r="D203" t="s">
        <v>54</v>
      </c>
      <c r="E203" t="s">
        <v>55</v>
      </c>
      <c r="F203" t="s">
        <v>30</v>
      </c>
      <c r="G203" t="s">
        <v>24</v>
      </c>
      <c r="H203" s="2">
        <v>1</v>
      </c>
      <c r="I203" t="s">
        <v>443</v>
      </c>
      <c r="K203">
        <v>56186500</v>
      </c>
      <c r="L203">
        <v>0</v>
      </c>
      <c r="M203">
        <v>0</v>
      </c>
      <c r="N203">
        <v>6180515</v>
      </c>
      <c r="O203">
        <v>0</v>
      </c>
      <c r="P203">
        <v>0</v>
      </c>
      <c r="Q203">
        <v>0</v>
      </c>
      <c r="R203">
        <v>62367015</v>
      </c>
      <c r="S203">
        <v>-9813500</v>
      </c>
      <c r="T203">
        <v>-17.465939327063001</v>
      </c>
      <c r="U203" t="str">
        <f t="shared" si="3"/>
        <v>Week 1</v>
      </c>
    </row>
    <row r="204" spans="1:21" x14ac:dyDescent="0.25">
      <c r="A204">
        <v>203</v>
      </c>
      <c r="B204" t="s">
        <v>444</v>
      </c>
      <c r="C204" s="1">
        <v>46086</v>
      </c>
      <c r="D204" t="s">
        <v>116</v>
      </c>
      <c r="E204" t="s">
        <v>117</v>
      </c>
      <c r="F204" t="s">
        <v>265</v>
      </c>
      <c r="G204" t="s">
        <v>24</v>
      </c>
      <c r="H204" s="2">
        <v>1</v>
      </c>
      <c r="I204" t="s">
        <v>445</v>
      </c>
      <c r="J204" t="s">
        <v>26</v>
      </c>
      <c r="K204">
        <v>19343989.699999999</v>
      </c>
      <c r="L204">
        <v>0</v>
      </c>
      <c r="M204">
        <v>0</v>
      </c>
      <c r="N204">
        <v>2127838.8670000001</v>
      </c>
      <c r="O204">
        <v>0</v>
      </c>
      <c r="P204">
        <v>0</v>
      </c>
      <c r="Q204">
        <v>0</v>
      </c>
      <c r="R204">
        <v>21471828.567000002</v>
      </c>
      <c r="S204">
        <v>2102375.56</v>
      </c>
      <c r="T204">
        <v>10.868365795294</v>
      </c>
      <c r="U204" t="str">
        <f t="shared" si="3"/>
        <v>Week 1</v>
      </c>
    </row>
    <row r="205" spans="1:21" x14ac:dyDescent="0.25">
      <c r="A205">
        <v>204</v>
      </c>
      <c r="B205" t="s">
        <v>446</v>
      </c>
      <c r="C205" s="1">
        <v>46086</v>
      </c>
      <c r="D205" t="s">
        <v>21</v>
      </c>
      <c r="E205" t="s">
        <v>22</v>
      </c>
      <c r="F205" t="s">
        <v>23</v>
      </c>
      <c r="G205" t="s">
        <v>24</v>
      </c>
      <c r="H205" s="2">
        <v>1</v>
      </c>
      <c r="I205" t="s">
        <v>149</v>
      </c>
      <c r="J205" t="s">
        <v>26</v>
      </c>
      <c r="K205">
        <v>5028000</v>
      </c>
      <c r="L205">
        <v>0</v>
      </c>
      <c r="M205">
        <v>0</v>
      </c>
      <c r="N205">
        <v>553080</v>
      </c>
      <c r="O205">
        <v>0</v>
      </c>
      <c r="P205">
        <v>0</v>
      </c>
      <c r="Q205">
        <v>0</v>
      </c>
      <c r="R205">
        <v>5581080</v>
      </c>
      <c r="S205">
        <v>2084982.3693694</v>
      </c>
      <c r="T205">
        <v>41.467429780616001</v>
      </c>
      <c r="U205" t="str">
        <f t="shared" si="3"/>
        <v>Week 1</v>
      </c>
    </row>
    <row r="206" spans="1:21" x14ac:dyDescent="0.25">
      <c r="A206">
        <v>205</v>
      </c>
      <c r="B206" t="s">
        <v>447</v>
      </c>
      <c r="C206" s="1">
        <v>46086</v>
      </c>
      <c r="D206" t="s">
        <v>21</v>
      </c>
      <c r="E206" t="s">
        <v>22</v>
      </c>
      <c r="F206" t="s">
        <v>23</v>
      </c>
      <c r="G206" t="s">
        <v>24</v>
      </c>
      <c r="H206" s="2">
        <v>1</v>
      </c>
      <c r="I206" t="s">
        <v>149</v>
      </c>
      <c r="J206" t="s">
        <v>26</v>
      </c>
      <c r="K206">
        <v>6800000</v>
      </c>
      <c r="L206">
        <v>0</v>
      </c>
      <c r="M206">
        <v>0</v>
      </c>
      <c r="N206">
        <v>748000</v>
      </c>
      <c r="O206">
        <v>0</v>
      </c>
      <c r="P206">
        <v>0</v>
      </c>
      <c r="Q206">
        <v>0</v>
      </c>
      <c r="R206">
        <v>7548000</v>
      </c>
      <c r="S206">
        <v>2221620</v>
      </c>
      <c r="T206">
        <v>32.670882352941</v>
      </c>
      <c r="U206" t="str">
        <f t="shared" si="3"/>
        <v>Week 1</v>
      </c>
    </row>
    <row r="207" spans="1:21" x14ac:dyDescent="0.25">
      <c r="A207">
        <v>206</v>
      </c>
      <c r="B207" t="s">
        <v>448</v>
      </c>
      <c r="C207" s="1">
        <v>46086</v>
      </c>
      <c r="D207" t="s">
        <v>171</v>
      </c>
      <c r="E207" t="s">
        <v>100</v>
      </c>
      <c r="F207" t="s">
        <v>30</v>
      </c>
      <c r="G207" t="s">
        <v>24</v>
      </c>
      <c r="H207" s="2">
        <v>1</v>
      </c>
      <c r="I207" t="s">
        <v>449</v>
      </c>
      <c r="K207">
        <v>8082187.5</v>
      </c>
      <c r="L207">
        <v>0</v>
      </c>
      <c r="M207">
        <v>0</v>
      </c>
      <c r="N207">
        <v>889040.625</v>
      </c>
      <c r="O207">
        <v>0</v>
      </c>
      <c r="P207">
        <v>0</v>
      </c>
      <c r="Q207">
        <v>0</v>
      </c>
      <c r="R207">
        <v>8971228.125</v>
      </c>
      <c r="S207">
        <v>2257187.5</v>
      </c>
      <c r="T207">
        <v>27.927927927928</v>
      </c>
      <c r="U207" t="str">
        <f t="shared" si="3"/>
        <v>Week 1</v>
      </c>
    </row>
    <row r="208" spans="1:21" x14ac:dyDescent="0.25">
      <c r="A208">
        <v>207</v>
      </c>
      <c r="B208" t="s">
        <v>450</v>
      </c>
      <c r="C208" s="1">
        <v>46086</v>
      </c>
      <c r="D208" t="s">
        <v>252</v>
      </c>
      <c r="E208" t="s">
        <v>117</v>
      </c>
      <c r="F208" t="s">
        <v>30</v>
      </c>
      <c r="G208" t="s">
        <v>24</v>
      </c>
      <c r="H208" s="2">
        <v>1</v>
      </c>
      <c r="I208" t="s">
        <v>451</v>
      </c>
      <c r="J208" t="s">
        <v>26</v>
      </c>
      <c r="K208">
        <v>4472132</v>
      </c>
      <c r="L208">
        <v>0</v>
      </c>
      <c r="M208">
        <v>0</v>
      </c>
      <c r="N208">
        <v>491934.52</v>
      </c>
      <c r="O208">
        <v>0</v>
      </c>
      <c r="P208">
        <v>0</v>
      </c>
      <c r="Q208">
        <v>0</v>
      </c>
      <c r="R208">
        <v>4964066.5199999996</v>
      </c>
      <c r="S208">
        <v>2887826.32</v>
      </c>
      <c r="T208">
        <v>64.573816694141001</v>
      </c>
      <c r="U208" t="str">
        <f t="shared" si="3"/>
        <v>Week 1</v>
      </c>
    </row>
    <row r="209" spans="1:21" x14ac:dyDescent="0.25">
      <c r="A209">
        <v>208</v>
      </c>
      <c r="B209" t="s">
        <v>452</v>
      </c>
      <c r="C209" s="1">
        <v>46086</v>
      </c>
      <c r="D209" t="s">
        <v>33</v>
      </c>
      <c r="E209" t="s">
        <v>34</v>
      </c>
      <c r="F209" t="s">
        <v>30</v>
      </c>
      <c r="G209" t="s">
        <v>24</v>
      </c>
      <c r="H209" s="2">
        <v>1</v>
      </c>
      <c r="I209" t="s">
        <v>453</v>
      </c>
      <c r="K209">
        <v>21908802.739999998</v>
      </c>
      <c r="L209">
        <v>0</v>
      </c>
      <c r="M209">
        <v>0</v>
      </c>
      <c r="N209">
        <v>2409968.3014000002</v>
      </c>
      <c r="O209">
        <v>0</v>
      </c>
      <c r="P209">
        <v>0</v>
      </c>
      <c r="Q209">
        <v>0</v>
      </c>
      <c r="R209">
        <v>24318771.0414</v>
      </c>
      <c r="S209">
        <v>6270317.0724323997</v>
      </c>
      <c r="T209">
        <v>28.620080918363001</v>
      </c>
      <c r="U209" t="str">
        <f t="shared" si="3"/>
        <v>Week 1</v>
      </c>
    </row>
    <row r="210" spans="1:21" x14ac:dyDescent="0.25">
      <c r="A210">
        <v>209</v>
      </c>
      <c r="B210" t="s">
        <v>454</v>
      </c>
      <c r="C210" s="1">
        <v>46086</v>
      </c>
      <c r="D210" t="s">
        <v>440</v>
      </c>
      <c r="E210" t="s">
        <v>117</v>
      </c>
      <c r="F210" t="s">
        <v>23</v>
      </c>
      <c r="G210" t="s">
        <v>24</v>
      </c>
      <c r="H210" s="2">
        <v>1</v>
      </c>
      <c r="I210" t="s">
        <v>455</v>
      </c>
      <c r="J210" t="s">
        <v>26</v>
      </c>
      <c r="K210">
        <v>45000000</v>
      </c>
      <c r="L210">
        <v>0</v>
      </c>
      <c r="M210">
        <v>0</v>
      </c>
      <c r="N210">
        <v>4950000</v>
      </c>
      <c r="O210">
        <v>0</v>
      </c>
      <c r="P210">
        <v>0</v>
      </c>
      <c r="Q210">
        <v>0</v>
      </c>
      <c r="R210">
        <v>49950000</v>
      </c>
      <c r="S210">
        <v>6750000</v>
      </c>
      <c r="T210">
        <v>15</v>
      </c>
      <c r="U210" t="str">
        <f t="shared" si="3"/>
        <v>Week 1</v>
      </c>
    </row>
    <row r="211" spans="1:21" x14ac:dyDescent="0.25">
      <c r="A211">
        <v>210</v>
      </c>
      <c r="B211" t="s">
        <v>456</v>
      </c>
      <c r="C211" s="1">
        <v>46086</v>
      </c>
      <c r="D211" t="s">
        <v>33</v>
      </c>
      <c r="E211" t="s">
        <v>38</v>
      </c>
      <c r="F211" t="s">
        <v>23</v>
      </c>
      <c r="G211" t="s">
        <v>24</v>
      </c>
      <c r="H211" s="2">
        <v>1</v>
      </c>
      <c r="I211" t="s">
        <v>457</v>
      </c>
      <c r="J211" t="s">
        <v>26</v>
      </c>
      <c r="K211">
        <v>7800000</v>
      </c>
      <c r="L211">
        <v>0</v>
      </c>
      <c r="M211">
        <v>0</v>
      </c>
      <c r="N211">
        <v>858000</v>
      </c>
      <c r="O211">
        <v>0</v>
      </c>
      <c r="P211">
        <v>0</v>
      </c>
      <c r="Q211">
        <v>0</v>
      </c>
      <c r="R211">
        <v>8658000</v>
      </c>
      <c r="S211">
        <v>7799996</v>
      </c>
      <c r="T211">
        <v>99.999948717948996</v>
      </c>
      <c r="U211" t="str">
        <f t="shared" si="3"/>
        <v>Week 1</v>
      </c>
    </row>
    <row r="212" spans="1:21" x14ac:dyDescent="0.25">
      <c r="A212">
        <v>211</v>
      </c>
      <c r="B212" t="s">
        <v>458</v>
      </c>
      <c r="C212" s="1">
        <v>46086</v>
      </c>
      <c r="D212" t="s">
        <v>171</v>
      </c>
      <c r="E212" t="s">
        <v>100</v>
      </c>
      <c r="F212" t="s">
        <v>23</v>
      </c>
      <c r="G212" t="s">
        <v>24</v>
      </c>
      <c r="H212" s="2">
        <v>1</v>
      </c>
      <c r="I212" t="s">
        <v>184</v>
      </c>
      <c r="K212">
        <v>4500000</v>
      </c>
      <c r="L212">
        <v>0</v>
      </c>
      <c r="M212">
        <v>0</v>
      </c>
      <c r="N212">
        <v>495000</v>
      </c>
      <c r="O212">
        <v>0</v>
      </c>
      <c r="P212">
        <v>0</v>
      </c>
      <c r="Q212">
        <v>0</v>
      </c>
      <c r="R212">
        <v>4995000</v>
      </c>
      <c r="S212">
        <v>1560000</v>
      </c>
      <c r="T212">
        <v>34.666666666666998</v>
      </c>
      <c r="U212" t="str">
        <f t="shared" si="3"/>
        <v>Week 1</v>
      </c>
    </row>
    <row r="213" spans="1:21" x14ac:dyDescent="0.25">
      <c r="A213">
        <v>212</v>
      </c>
      <c r="B213" t="s">
        <v>459</v>
      </c>
      <c r="C213" s="1">
        <v>46086</v>
      </c>
      <c r="D213" t="s">
        <v>33</v>
      </c>
      <c r="E213" t="s">
        <v>34</v>
      </c>
      <c r="F213" t="s">
        <v>30</v>
      </c>
      <c r="G213" t="s">
        <v>24</v>
      </c>
      <c r="H213" s="2">
        <v>1</v>
      </c>
      <c r="I213" t="s">
        <v>460</v>
      </c>
      <c r="K213">
        <v>3579388.2</v>
      </c>
      <c r="L213">
        <v>0</v>
      </c>
      <c r="M213">
        <v>0</v>
      </c>
      <c r="N213">
        <v>393732.70199999999</v>
      </c>
      <c r="O213">
        <v>0</v>
      </c>
      <c r="P213">
        <v>0</v>
      </c>
      <c r="Q213">
        <v>0</v>
      </c>
      <c r="R213">
        <v>3973120.9019999998</v>
      </c>
      <c r="S213">
        <v>411901.71351351001</v>
      </c>
      <c r="T213">
        <v>11.507601033984001</v>
      </c>
      <c r="U213" t="str">
        <f t="shared" si="3"/>
        <v>Week 1</v>
      </c>
    </row>
    <row r="214" spans="1:21" x14ac:dyDescent="0.25">
      <c r="A214">
        <v>213</v>
      </c>
      <c r="B214" t="s">
        <v>461</v>
      </c>
      <c r="C214" s="1">
        <v>46086</v>
      </c>
      <c r="D214" t="s">
        <v>21</v>
      </c>
      <c r="E214" t="s">
        <v>22</v>
      </c>
      <c r="F214" t="s">
        <v>23</v>
      </c>
      <c r="G214" t="s">
        <v>24</v>
      </c>
      <c r="H214" s="2">
        <v>1</v>
      </c>
      <c r="I214" t="s">
        <v>462</v>
      </c>
      <c r="J214" t="s">
        <v>26</v>
      </c>
      <c r="K214">
        <v>77588804</v>
      </c>
      <c r="L214">
        <v>0</v>
      </c>
      <c r="M214">
        <v>0</v>
      </c>
      <c r="N214">
        <v>8534768.4399999995</v>
      </c>
      <c r="O214">
        <v>0</v>
      </c>
      <c r="P214">
        <v>0</v>
      </c>
      <c r="Q214">
        <v>0</v>
      </c>
      <c r="R214">
        <v>86123572.439999998</v>
      </c>
      <c r="S214">
        <v>21251833.260000002</v>
      </c>
      <c r="T214">
        <v>27.390334899350002</v>
      </c>
      <c r="U214" t="str">
        <f t="shared" si="3"/>
        <v>Week 1</v>
      </c>
    </row>
    <row r="215" spans="1:21" x14ac:dyDescent="0.25">
      <c r="A215">
        <v>214</v>
      </c>
      <c r="B215" t="s">
        <v>463</v>
      </c>
      <c r="C215" s="1">
        <v>46085</v>
      </c>
      <c r="D215" t="s">
        <v>204</v>
      </c>
      <c r="E215" t="s">
        <v>205</v>
      </c>
      <c r="F215" t="s">
        <v>23</v>
      </c>
      <c r="G215" t="s">
        <v>24</v>
      </c>
      <c r="H215" s="2">
        <v>1</v>
      </c>
      <c r="I215" t="s">
        <v>464</v>
      </c>
      <c r="J215" t="s">
        <v>26</v>
      </c>
      <c r="K215">
        <v>3150000</v>
      </c>
      <c r="L215">
        <v>0</v>
      </c>
      <c r="M215">
        <v>0</v>
      </c>
      <c r="N215">
        <v>346500</v>
      </c>
      <c r="O215">
        <v>0</v>
      </c>
      <c r="P215">
        <v>0</v>
      </c>
      <c r="Q215">
        <v>0</v>
      </c>
      <c r="R215">
        <v>3496500</v>
      </c>
      <c r="S215">
        <v>575000</v>
      </c>
      <c r="T215">
        <v>18.253968253968001</v>
      </c>
      <c r="U215" t="str">
        <f t="shared" si="3"/>
        <v>Week 1</v>
      </c>
    </row>
    <row r="216" spans="1:21" x14ac:dyDescent="0.25">
      <c r="A216">
        <v>215</v>
      </c>
      <c r="B216" t="s">
        <v>465</v>
      </c>
      <c r="C216" s="1">
        <v>46085</v>
      </c>
      <c r="D216" t="s">
        <v>33</v>
      </c>
      <c r="E216" t="s">
        <v>34</v>
      </c>
      <c r="F216" t="s">
        <v>30</v>
      </c>
      <c r="G216" t="s">
        <v>24</v>
      </c>
      <c r="H216" s="2">
        <v>1</v>
      </c>
      <c r="I216" t="s">
        <v>466</v>
      </c>
      <c r="K216">
        <v>18205002</v>
      </c>
      <c r="L216">
        <v>0</v>
      </c>
      <c r="M216">
        <v>0</v>
      </c>
      <c r="N216">
        <v>2002550.22</v>
      </c>
      <c r="O216">
        <v>0</v>
      </c>
      <c r="P216">
        <v>0</v>
      </c>
      <c r="Q216">
        <v>0</v>
      </c>
      <c r="R216">
        <v>20207552.219999999</v>
      </c>
      <c r="S216">
        <v>-399998</v>
      </c>
      <c r="T216">
        <v>-2.1971873444451999</v>
      </c>
      <c r="U216" t="str">
        <f t="shared" si="3"/>
        <v>Week 1</v>
      </c>
    </row>
    <row r="217" spans="1:21" x14ac:dyDescent="0.25">
      <c r="A217">
        <v>216</v>
      </c>
      <c r="B217" t="s">
        <v>467</v>
      </c>
      <c r="C217" s="1">
        <v>46085</v>
      </c>
      <c r="D217" t="s">
        <v>33</v>
      </c>
      <c r="E217" t="s">
        <v>34</v>
      </c>
      <c r="F217" t="s">
        <v>30</v>
      </c>
      <c r="G217" t="s">
        <v>24</v>
      </c>
      <c r="H217" s="2">
        <v>1</v>
      </c>
      <c r="I217" t="s">
        <v>468</v>
      </c>
      <c r="K217">
        <v>68600</v>
      </c>
      <c r="L217">
        <v>0</v>
      </c>
      <c r="M217">
        <v>0</v>
      </c>
      <c r="N217">
        <v>7546</v>
      </c>
      <c r="O217">
        <v>0</v>
      </c>
      <c r="P217">
        <v>0</v>
      </c>
      <c r="Q217">
        <v>0</v>
      </c>
      <c r="R217">
        <v>76146</v>
      </c>
      <c r="S217">
        <v>14600</v>
      </c>
      <c r="T217">
        <v>21.282798833819001</v>
      </c>
      <c r="U217" t="str">
        <f t="shared" si="3"/>
        <v>Week 1</v>
      </c>
    </row>
    <row r="218" spans="1:21" x14ac:dyDescent="0.25">
      <c r="A218">
        <v>217</v>
      </c>
      <c r="B218" t="s">
        <v>469</v>
      </c>
      <c r="C218" s="1">
        <v>46085</v>
      </c>
      <c r="D218" t="s">
        <v>204</v>
      </c>
      <c r="E218" t="s">
        <v>205</v>
      </c>
      <c r="F218" t="s">
        <v>30</v>
      </c>
      <c r="G218" t="s">
        <v>24</v>
      </c>
      <c r="H218" s="2">
        <v>1</v>
      </c>
      <c r="I218" t="s">
        <v>470</v>
      </c>
      <c r="J218" t="s">
        <v>26</v>
      </c>
      <c r="K218">
        <v>33784000</v>
      </c>
      <c r="L218">
        <v>0</v>
      </c>
      <c r="M218">
        <v>0</v>
      </c>
      <c r="N218">
        <v>3716240</v>
      </c>
      <c r="O218">
        <v>0</v>
      </c>
      <c r="P218">
        <v>0</v>
      </c>
      <c r="Q218">
        <v>0</v>
      </c>
      <c r="R218">
        <v>37500240</v>
      </c>
      <c r="S218">
        <v>2680000</v>
      </c>
      <c r="T218">
        <v>7.9327492304048999</v>
      </c>
      <c r="U218" t="str">
        <f t="shared" si="3"/>
        <v>Week 1</v>
      </c>
    </row>
    <row r="219" spans="1:21" x14ac:dyDescent="0.25">
      <c r="A219">
        <v>218</v>
      </c>
      <c r="B219" t="s">
        <v>471</v>
      </c>
      <c r="C219" s="1">
        <v>46085</v>
      </c>
      <c r="D219" t="s">
        <v>21</v>
      </c>
      <c r="E219" t="s">
        <v>22</v>
      </c>
      <c r="F219" t="s">
        <v>30</v>
      </c>
      <c r="G219" t="s">
        <v>24</v>
      </c>
      <c r="H219" s="2">
        <v>1</v>
      </c>
      <c r="I219" t="s">
        <v>472</v>
      </c>
      <c r="J219" t="s">
        <v>26</v>
      </c>
      <c r="K219">
        <v>63714000</v>
      </c>
      <c r="L219">
        <v>0</v>
      </c>
      <c r="M219">
        <v>0</v>
      </c>
      <c r="N219">
        <v>7008540</v>
      </c>
      <c r="O219">
        <v>0</v>
      </c>
      <c r="P219">
        <v>0</v>
      </c>
      <c r="Q219">
        <v>0</v>
      </c>
      <c r="R219">
        <v>70722540</v>
      </c>
      <c r="S219">
        <v>1913420</v>
      </c>
      <c r="T219">
        <v>3.0031390275293002</v>
      </c>
      <c r="U219" t="str">
        <f t="shared" si="3"/>
        <v>Week 1</v>
      </c>
    </row>
    <row r="220" spans="1:21" x14ac:dyDescent="0.25">
      <c r="A220">
        <v>219</v>
      </c>
      <c r="B220" t="s">
        <v>473</v>
      </c>
      <c r="C220" s="1">
        <v>46085</v>
      </c>
      <c r="D220" t="s">
        <v>21</v>
      </c>
      <c r="E220" t="s">
        <v>22</v>
      </c>
      <c r="F220" t="s">
        <v>30</v>
      </c>
      <c r="G220" t="s">
        <v>24</v>
      </c>
      <c r="H220" s="2">
        <v>1</v>
      </c>
      <c r="I220" t="s">
        <v>474</v>
      </c>
      <c r="J220" t="s">
        <v>26</v>
      </c>
      <c r="K220">
        <v>71070000</v>
      </c>
      <c r="L220">
        <v>0</v>
      </c>
      <c r="M220">
        <v>0</v>
      </c>
      <c r="N220">
        <v>7817700</v>
      </c>
      <c r="O220">
        <v>0</v>
      </c>
      <c r="P220">
        <v>0</v>
      </c>
      <c r="Q220">
        <v>0</v>
      </c>
      <c r="R220">
        <v>78887700</v>
      </c>
      <c r="S220">
        <v>6070000</v>
      </c>
      <c r="T220">
        <v>8.5408751934711997</v>
      </c>
      <c r="U220" t="str">
        <f t="shared" si="3"/>
        <v>Week 1</v>
      </c>
    </row>
    <row r="221" spans="1:21" x14ac:dyDescent="0.25">
      <c r="A221">
        <v>220</v>
      </c>
      <c r="B221" t="s">
        <v>475</v>
      </c>
      <c r="C221" s="1">
        <v>46085</v>
      </c>
      <c r="D221" t="s">
        <v>21</v>
      </c>
      <c r="E221" t="s">
        <v>22</v>
      </c>
      <c r="F221" t="s">
        <v>23</v>
      </c>
      <c r="G221" t="s">
        <v>24</v>
      </c>
      <c r="H221" s="2">
        <v>1</v>
      </c>
      <c r="I221" t="s">
        <v>476</v>
      </c>
      <c r="J221" t="s">
        <v>26</v>
      </c>
      <c r="K221">
        <v>49090000</v>
      </c>
      <c r="L221">
        <v>0</v>
      </c>
      <c r="M221">
        <v>0</v>
      </c>
      <c r="N221">
        <v>5399900</v>
      </c>
      <c r="O221">
        <v>0</v>
      </c>
      <c r="P221">
        <v>0</v>
      </c>
      <c r="Q221">
        <v>0</v>
      </c>
      <c r="R221">
        <v>54489900</v>
      </c>
      <c r="S221">
        <v>10543488</v>
      </c>
      <c r="T221">
        <v>21.477873293950001</v>
      </c>
      <c r="U221" t="str">
        <f t="shared" si="3"/>
        <v>Week 1</v>
      </c>
    </row>
    <row r="222" spans="1:21" x14ac:dyDescent="0.25">
      <c r="A222">
        <v>221</v>
      </c>
      <c r="B222" t="s">
        <v>477</v>
      </c>
      <c r="C222" s="1">
        <v>46085</v>
      </c>
      <c r="D222" t="s">
        <v>54</v>
      </c>
      <c r="E222" t="s">
        <v>55</v>
      </c>
      <c r="F222" t="s">
        <v>30</v>
      </c>
      <c r="G222" t="s">
        <v>24</v>
      </c>
      <c r="H222" s="2">
        <v>1</v>
      </c>
      <c r="I222" t="s">
        <v>478</v>
      </c>
      <c r="K222">
        <v>190610000</v>
      </c>
      <c r="L222">
        <v>0</v>
      </c>
      <c r="M222">
        <v>0</v>
      </c>
      <c r="N222">
        <v>20967100</v>
      </c>
      <c r="O222">
        <v>0</v>
      </c>
      <c r="P222">
        <v>0</v>
      </c>
      <c r="Q222">
        <v>0</v>
      </c>
      <c r="R222">
        <v>211577100</v>
      </c>
      <c r="S222">
        <v>10010000</v>
      </c>
      <c r="T222">
        <v>5.2515607785530998</v>
      </c>
      <c r="U222" t="str">
        <f t="shared" si="3"/>
        <v>Week 1</v>
      </c>
    </row>
    <row r="223" spans="1:21" x14ac:dyDescent="0.25">
      <c r="A223">
        <v>222</v>
      </c>
      <c r="B223" t="s">
        <v>479</v>
      </c>
      <c r="C223" s="1">
        <v>46085</v>
      </c>
      <c r="D223" t="s">
        <v>252</v>
      </c>
      <c r="E223" t="s">
        <v>100</v>
      </c>
      <c r="F223" t="s">
        <v>30</v>
      </c>
      <c r="G223" t="s">
        <v>24</v>
      </c>
      <c r="H223" s="2">
        <v>1</v>
      </c>
      <c r="I223" t="s">
        <v>480</v>
      </c>
      <c r="K223">
        <v>4508000</v>
      </c>
      <c r="L223">
        <v>0</v>
      </c>
      <c r="M223">
        <v>0</v>
      </c>
      <c r="N223">
        <v>495880</v>
      </c>
      <c r="O223">
        <v>0</v>
      </c>
      <c r="P223">
        <v>0</v>
      </c>
      <c r="Q223">
        <v>0</v>
      </c>
      <c r="R223">
        <v>5003880</v>
      </c>
      <c r="S223">
        <v>708000</v>
      </c>
      <c r="T223">
        <v>15.705412599822999</v>
      </c>
      <c r="U223" t="str">
        <f t="shared" si="3"/>
        <v>Week 1</v>
      </c>
    </row>
    <row r="224" spans="1:21" x14ac:dyDescent="0.25">
      <c r="A224">
        <v>223</v>
      </c>
      <c r="B224" t="s">
        <v>481</v>
      </c>
      <c r="C224" s="1">
        <v>46085</v>
      </c>
      <c r="D224" t="s">
        <v>28</v>
      </c>
      <c r="E224" t="s">
        <v>29</v>
      </c>
      <c r="F224" t="s">
        <v>23</v>
      </c>
      <c r="G224" t="s">
        <v>24</v>
      </c>
      <c r="H224" s="2">
        <v>1</v>
      </c>
      <c r="I224" t="s">
        <v>482</v>
      </c>
      <c r="K224">
        <v>53225625</v>
      </c>
      <c r="L224">
        <v>0</v>
      </c>
      <c r="M224">
        <v>0</v>
      </c>
      <c r="N224">
        <v>5854818.75</v>
      </c>
      <c r="O224">
        <v>0</v>
      </c>
      <c r="P224">
        <v>0</v>
      </c>
      <c r="Q224">
        <v>0</v>
      </c>
      <c r="R224">
        <v>59080443.75</v>
      </c>
      <c r="S224">
        <v>10795125</v>
      </c>
      <c r="T224">
        <v>20.281819142564999</v>
      </c>
      <c r="U224" t="str">
        <f t="shared" si="3"/>
        <v>Week 1</v>
      </c>
    </row>
    <row r="225" spans="1:21" x14ac:dyDescent="0.25">
      <c r="A225">
        <v>224</v>
      </c>
      <c r="B225" t="s">
        <v>483</v>
      </c>
      <c r="C225" s="1">
        <v>46085</v>
      </c>
      <c r="D225" t="s">
        <v>33</v>
      </c>
      <c r="E225" t="s">
        <v>34</v>
      </c>
      <c r="F225" t="s">
        <v>30</v>
      </c>
      <c r="G225" t="s">
        <v>24</v>
      </c>
      <c r="H225" s="2">
        <v>1</v>
      </c>
      <c r="I225" t="s">
        <v>484</v>
      </c>
      <c r="K225">
        <v>617400</v>
      </c>
      <c r="L225">
        <v>0</v>
      </c>
      <c r="M225">
        <v>0</v>
      </c>
      <c r="N225">
        <v>67914</v>
      </c>
      <c r="O225">
        <v>0</v>
      </c>
      <c r="P225">
        <v>0</v>
      </c>
      <c r="Q225">
        <v>0</v>
      </c>
      <c r="R225">
        <v>685314</v>
      </c>
      <c r="S225">
        <v>342200</v>
      </c>
      <c r="T225">
        <v>55.425979915775997</v>
      </c>
      <c r="U225" t="str">
        <f t="shared" si="3"/>
        <v>Week 1</v>
      </c>
    </row>
    <row r="226" spans="1:21" x14ac:dyDescent="0.25">
      <c r="A226">
        <v>225</v>
      </c>
      <c r="B226" t="s">
        <v>485</v>
      </c>
      <c r="C226" s="1">
        <v>46085</v>
      </c>
      <c r="D226" t="s">
        <v>54</v>
      </c>
      <c r="E226" t="s">
        <v>55</v>
      </c>
      <c r="F226" t="s">
        <v>30</v>
      </c>
      <c r="G226" t="s">
        <v>24</v>
      </c>
      <c r="H226" s="2">
        <v>1</v>
      </c>
      <c r="I226" t="s">
        <v>486</v>
      </c>
      <c r="K226">
        <v>927000</v>
      </c>
      <c r="L226">
        <v>0</v>
      </c>
      <c r="M226">
        <v>0</v>
      </c>
      <c r="N226">
        <v>101970</v>
      </c>
      <c r="O226">
        <v>0</v>
      </c>
      <c r="P226">
        <v>0</v>
      </c>
      <c r="Q226">
        <v>0</v>
      </c>
      <c r="R226">
        <v>1028970</v>
      </c>
      <c r="S226">
        <v>162000</v>
      </c>
      <c r="T226">
        <v>17.475728155340001</v>
      </c>
      <c r="U226" t="str">
        <f t="shared" si="3"/>
        <v>Week 1</v>
      </c>
    </row>
    <row r="227" spans="1:21" x14ac:dyDescent="0.25">
      <c r="A227">
        <v>226</v>
      </c>
      <c r="B227" t="s">
        <v>487</v>
      </c>
      <c r="C227" s="1">
        <v>46085</v>
      </c>
      <c r="D227" t="s">
        <v>204</v>
      </c>
      <c r="E227" t="s">
        <v>205</v>
      </c>
      <c r="F227" t="s">
        <v>23</v>
      </c>
      <c r="G227" t="s">
        <v>24</v>
      </c>
      <c r="H227" s="2">
        <v>1</v>
      </c>
      <c r="I227" t="s">
        <v>488</v>
      </c>
      <c r="J227" t="s">
        <v>26</v>
      </c>
      <c r="K227">
        <v>10228982</v>
      </c>
      <c r="L227">
        <v>0</v>
      </c>
      <c r="M227">
        <v>0</v>
      </c>
      <c r="N227">
        <v>1125188.02</v>
      </c>
      <c r="O227">
        <v>0</v>
      </c>
      <c r="P227">
        <v>0</v>
      </c>
      <c r="Q227">
        <v>0</v>
      </c>
      <c r="R227">
        <v>11354170.02</v>
      </c>
      <c r="S227">
        <v>2842482</v>
      </c>
      <c r="T227">
        <v>27.788513070019999</v>
      </c>
      <c r="U227" t="str">
        <f t="shared" si="3"/>
        <v>Week 1</v>
      </c>
    </row>
    <row r="228" spans="1:21" x14ac:dyDescent="0.25">
      <c r="A228">
        <v>227</v>
      </c>
      <c r="B228" t="s">
        <v>489</v>
      </c>
      <c r="C228" s="1">
        <v>46085</v>
      </c>
      <c r="D228" t="s">
        <v>54</v>
      </c>
      <c r="E228" t="s">
        <v>55</v>
      </c>
      <c r="F228" t="s">
        <v>30</v>
      </c>
      <c r="G228" t="s">
        <v>24</v>
      </c>
      <c r="H228" s="2">
        <v>1</v>
      </c>
      <c r="I228" t="s">
        <v>490</v>
      </c>
      <c r="K228">
        <v>3162100</v>
      </c>
      <c r="L228">
        <v>0</v>
      </c>
      <c r="M228">
        <v>0</v>
      </c>
      <c r="N228">
        <v>347831</v>
      </c>
      <c r="O228">
        <v>0</v>
      </c>
      <c r="P228">
        <v>0</v>
      </c>
      <c r="Q228">
        <v>0</v>
      </c>
      <c r="R228">
        <v>3509931</v>
      </c>
      <c r="S228">
        <v>445883.78378380003</v>
      </c>
      <c r="T228">
        <v>14.100875487295999</v>
      </c>
      <c r="U228" t="str">
        <f t="shared" si="3"/>
        <v>Week 1</v>
      </c>
    </row>
    <row r="229" spans="1:21" x14ac:dyDescent="0.25">
      <c r="A229">
        <v>228</v>
      </c>
      <c r="B229" t="s">
        <v>491</v>
      </c>
      <c r="C229" s="1">
        <v>46085</v>
      </c>
      <c r="D229" t="s">
        <v>171</v>
      </c>
      <c r="E229" t="s">
        <v>100</v>
      </c>
      <c r="F229" t="s">
        <v>23</v>
      </c>
      <c r="G229" t="s">
        <v>24</v>
      </c>
      <c r="H229" s="2">
        <v>1</v>
      </c>
      <c r="I229" t="s">
        <v>172</v>
      </c>
      <c r="K229">
        <v>18215000</v>
      </c>
      <c r="L229">
        <v>0</v>
      </c>
      <c r="M229">
        <v>0</v>
      </c>
      <c r="N229">
        <v>2003650</v>
      </c>
      <c r="O229">
        <v>0</v>
      </c>
      <c r="P229">
        <v>0</v>
      </c>
      <c r="Q229">
        <v>0</v>
      </c>
      <c r="R229">
        <v>20218650</v>
      </c>
      <c r="S229">
        <v>9447237.3913513999</v>
      </c>
      <c r="T229">
        <v>51.865151750488003</v>
      </c>
      <c r="U229" t="str">
        <f t="shared" si="3"/>
        <v>Week 1</v>
      </c>
    </row>
    <row r="230" spans="1:21" x14ac:dyDescent="0.25">
      <c r="A230">
        <v>229</v>
      </c>
      <c r="B230" t="s">
        <v>492</v>
      </c>
      <c r="C230" s="1">
        <v>46085</v>
      </c>
      <c r="D230" t="s">
        <v>54</v>
      </c>
      <c r="E230" t="s">
        <v>55</v>
      </c>
      <c r="F230" t="s">
        <v>30</v>
      </c>
      <c r="G230" t="s">
        <v>24</v>
      </c>
      <c r="H230" s="2">
        <v>1</v>
      </c>
      <c r="I230" t="s">
        <v>493</v>
      </c>
      <c r="K230">
        <v>44024050</v>
      </c>
      <c r="L230">
        <v>0</v>
      </c>
      <c r="M230">
        <v>0</v>
      </c>
      <c r="N230">
        <v>4842645.5</v>
      </c>
      <c r="O230">
        <v>0</v>
      </c>
      <c r="P230">
        <v>0</v>
      </c>
      <c r="Q230">
        <v>0</v>
      </c>
      <c r="R230">
        <v>48866695.5</v>
      </c>
      <c r="S230">
        <v>12060986.936937001</v>
      </c>
      <c r="T230">
        <v>27.396359346623001</v>
      </c>
      <c r="U230" t="str">
        <f t="shared" si="3"/>
        <v>Week 1</v>
      </c>
    </row>
    <row r="231" spans="1:21" x14ac:dyDescent="0.25">
      <c r="A231">
        <v>230</v>
      </c>
      <c r="B231" t="s">
        <v>494</v>
      </c>
      <c r="C231" s="1">
        <v>46085</v>
      </c>
      <c r="D231" t="s">
        <v>54</v>
      </c>
      <c r="E231" t="s">
        <v>55</v>
      </c>
      <c r="F231" t="s">
        <v>30</v>
      </c>
      <c r="G231" t="s">
        <v>24</v>
      </c>
      <c r="H231" s="2">
        <v>1</v>
      </c>
      <c r="I231" t="s">
        <v>495</v>
      </c>
      <c r="K231">
        <v>2196500</v>
      </c>
      <c r="L231">
        <v>0</v>
      </c>
      <c r="M231">
        <v>0</v>
      </c>
      <c r="N231">
        <v>241615</v>
      </c>
      <c r="O231">
        <v>0</v>
      </c>
      <c r="P231">
        <v>0</v>
      </c>
      <c r="Q231">
        <v>0</v>
      </c>
      <c r="R231">
        <v>2438115</v>
      </c>
      <c r="S231">
        <v>888211.48648647999</v>
      </c>
      <c r="T231">
        <v>40.437581902411999</v>
      </c>
      <c r="U231" t="str">
        <f t="shared" si="3"/>
        <v>Week 1</v>
      </c>
    </row>
    <row r="232" spans="1:21" x14ac:dyDescent="0.25">
      <c r="A232">
        <v>231</v>
      </c>
      <c r="B232" t="s">
        <v>496</v>
      </c>
      <c r="C232" s="1">
        <v>46085</v>
      </c>
      <c r="D232" t="s">
        <v>21</v>
      </c>
      <c r="E232" t="s">
        <v>22</v>
      </c>
      <c r="F232" t="s">
        <v>23</v>
      </c>
      <c r="G232" t="s">
        <v>24</v>
      </c>
      <c r="H232" s="2">
        <v>1</v>
      </c>
      <c r="I232" t="s">
        <v>149</v>
      </c>
      <c r="J232" t="s">
        <v>26</v>
      </c>
      <c r="K232">
        <v>97128378</v>
      </c>
      <c r="L232">
        <v>0</v>
      </c>
      <c r="M232">
        <v>0</v>
      </c>
      <c r="N232">
        <v>0</v>
      </c>
      <c r="O232">
        <v>0</v>
      </c>
      <c r="P232">
        <v>0</v>
      </c>
      <c r="Q232">
        <v>0</v>
      </c>
      <c r="R232">
        <v>97128378</v>
      </c>
      <c r="S232">
        <v>19425675</v>
      </c>
      <c r="T232">
        <v>19.999999382260999</v>
      </c>
      <c r="U232" t="str">
        <f t="shared" si="3"/>
        <v>Week 1</v>
      </c>
    </row>
    <row r="233" spans="1:21" x14ac:dyDescent="0.25">
      <c r="A233">
        <v>232</v>
      </c>
      <c r="B233" t="s">
        <v>497</v>
      </c>
      <c r="C233" s="1">
        <v>46085</v>
      </c>
      <c r="D233" t="s">
        <v>21</v>
      </c>
      <c r="E233" t="s">
        <v>22</v>
      </c>
      <c r="F233" t="s">
        <v>23</v>
      </c>
      <c r="G233" t="s">
        <v>24</v>
      </c>
      <c r="H233" s="2">
        <v>1</v>
      </c>
      <c r="I233" t="s">
        <v>149</v>
      </c>
      <c r="J233" t="s">
        <v>26</v>
      </c>
      <c r="K233">
        <v>6407027.0270269997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6407027.0270269997</v>
      </c>
      <c r="S233">
        <v>1304027.027027</v>
      </c>
      <c r="T233">
        <v>20.353075170842999</v>
      </c>
      <c r="U233" t="str">
        <f t="shared" si="3"/>
        <v>Week 1</v>
      </c>
    </row>
    <row r="234" spans="1:21" x14ac:dyDescent="0.25">
      <c r="C234" s="1"/>
      <c r="H234" s="2"/>
    </row>
    <row r="235" spans="1:21" x14ac:dyDescent="0.25">
      <c r="A235">
        <v>234</v>
      </c>
      <c r="B235" t="s">
        <v>498</v>
      </c>
      <c r="C235" s="1">
        <v>46084</v>
      </c>
      <c r="D235" t="s">
        <v>54</v>
      </c>
      <c r="E235" t="s">
        <v>55</v>
      </c>
      <c r="F235" t="s">
        <v>30</v>
      </c>
      <c r="G235" t="s">
        <v>24</v>
      </c>
      <c r="H235" s="2">
        <v>1</v>
      </c>
      <c r="I235" t="s">
        <v>499</v>
      </c>
      <c r="K235">
        <v>13569131.6</v>
      </c>
      <c r="L235">
        <v>0</v>
      </c>
      <c r="M235">
        <v>0</v>
      </c>
      <c r="N235">
        <v>1492604.476</v>
      </c>
      <c r="O235">
        <v>0</v>
      </c>
      <c r="P235">
        <v>0</v>
      </c>
      <c r="Q235">
        <v>0</v>
      </c>
      <c r="R235">
        <v>15061736.075999999</v>
      </c>
      <c r="S235">
        <v>6509746.0144143999</v>
      </c>
      <c r="T235">
        <v>47.974669317927997</v>
      </c>
      <c r="U235" t="str">
        <f t="shared" si="3"/>
        <v>Week 1</v>
      </c>
    </row>
    <row r="236" spans="1:21" x14ac:dyDescent="0.25">
      <c r="A236">
        <v>235</v>
      </c>
      <c r="B236" t="s">
        <v>500</v>
      </c>
      <c r="C236" s="1">
        <v>46084</v>
      </c>
      <c r="D236" t="s">
        <v>186</v>
      </c>
      <c r="E236" t="s">
        <v>117</v>
      </c>
      <c r="F236" t="s">
        <v>23</v>
      </c>
      <c r="G236" t="s">
        <v>24</v>
      </c>
      <c r="H236" s="2">
        <v>1</v>
      </c>
      <c r="I236" t="s">
        <v>359</v>
      </c>
      <c r="J236" t="s">
        <v>26</v>
      </c>
      <c r="K236">
        <v>116523000</v>
      </c>
      <c r="L236">
        <v>0</v>
      </c>
      <c r="M236">
        <v>0</v>
      </c>
      <c r="N236">
        <v>12817530</v>
      </c>
      <c r="O236">
        <v>0</v>
      </c>
      <c r="P236">
        <v>0</v>
      </c>
      <c r="Q236">
        <v>0</v>
      </c>
      <c r="R236">
        <v>129340530</v>
      </c>
      <c r="S236">
        <v>27554531.539999999</v>
      </c>
      <c r="T236">
        <v>23.647289839774</v>
      </c>
      <c r="U236" t="str">
        <f t="shared" si="3"/>
        <v>Week 1</v>
      </c>
    </row>
    <row r="237" spans="1:21" x14ac:dyDescent="0.25">
      <c r="A237">
        <v>236</v>
      </c>
      <c r="B237" t="s">
        <v>501</v>
      </c>
      <c r="C237" s="1">
        <v>46084</v>
      </c>
      <c r="D237" t="s">
        <v>54</v>
      </c>
      <c r="E237" t="s">
        <v>55</v>
      </c>
      <c r="F237" t="s">
        <v>30</v>
      </c>
      <c r="G237" t="s">
        <v>24</v>
      </c>
      <c r="H237" s="2">
        <v>1</v>
      </c>
      <c r="I237" t="s">
        <v>502</v>
      </c>
      <c r="K237">
        <v>20872040</v>
      </c>
      <c r="L237">
        <v>0</v>
      </c>
      <c r="M237">
        <v>0</v>
      </c>
      <c r="N237">
        <v>2295924.4</v>
      </c>
      <c r="O237">
        <v>0</v>
      </c>
      <c r="P237">
        <v>0</v>
      </c>
      <c r="Q237">
        <v>0</v>
      </c>
      <c r="R237">
        <v>23167964.399999999</v>
      </c>
      <c r="S237">
        <v>10553606.266666999</v>
      </c>
      <c r="T237">
        <v>50.563367388461998</v>
      </c>
      <c r="U237" t="str">
        <f t="shared" si="3"/>
        <v>Week 1</v>
      </c>
    </row>
    <row r="238" spans="1:21" x14ac:dyDescent="0.25">
      <c r="A238">
        <v>237</v>
      </c>
      <c r="B238" t="s">
        <v>503</v>
      </c>
      <c r="C238" s="1">
        <v>46084</v>
      </c>
      <c r="D238" t="s">
        <v>504</v>
      </c>
      <c r="E238" t="s">
        <v>194</v>
      </c>
      <c r="F238" t="s">
        <v>23</v>
      </c>
      <c r="G238" t="s">
        <v>24</v>
      </c>
      <c r="H238" s="2">
        <v>1</v>
      </c>
      <c r="I238" t="s">
        <v>505</v>
      </c>
      <c r="J238" t="s">
        <v>57</v>
      </c>
      <c r="K238">
        <v>63000000</v>
      </c>
      <c r="L238">
        <v>0</v>
      </c>
      <c r="M238">
        <v>0</v>
      </c>
      <c r="N238">
        <v>6930000</v>
      </c>
      <c r="O238">
        <v>0</v>
      </c>
      <c r="P238">
        <v>0</v>
      </c>
      <c r="Q238">
        <v>0</v>
      </c>
      <c r="R238">
        <v>69930000</v>
      </c>
      <c r="S238">
        <v>8945946.8469999991</v>
      </c>
      <c r="T238">
        <v>14.199915630158999</v>
      </c>
      <c r="U238" t="str">
        <f t="shared" si="3"/>
        <v>Week 1</v>
      </c>
    </row>
    <row r="239" spans="1:21" x14ac:dyDescent="0.25">
      <c r="A239">
        <v>238</v>
      </c>
      <c r="B239" t="s">
        <v>506</v>
      </c>
      <c r="C239" s="1">
        <v>46084</v>
      </c>
      <c r="D239" t="s">
        <v>21</v>
      </c>
      <c r="E239" t="s">
        <v>22</v>
      </c>
      <c r="F239" t="s">
        <v>30</v>
      </c>
      <c r="G239" t="s">
        <v>24</v>
      </c>
      <c r="H239" s="2">
        <v>1</v>
      </c>
      <c r="I239" t="s">
        <v>507</v>
      </c>
      <c r="J239" t="s">
        <v>57</v>
      </c>
      <c r="K239">
        <v>852840000</v>
      </c>
      <c r="L239">
        <v>0</v>
      </c>
      <c r="M239">
        <v>0</v>
      </c>
      <c r="N239">
        <v>93812400</v>
      </c>
      <c r="O239">
        <v>0</v>
      </c>
      <c r="P239">
        <v>0</v>
      </c>
      <c r="Q239">
        <v>0</v>
      </c>
      <c r="R239">
        <v>946652400</v>
      </c>
      <c r="S239">
        <v>72840000</v>
      </c>
      <c r="T239">
        <v>8.5408751934711997</v>
      </c>
      <c r="U239" t="str">
        <f t="shared" si="3"/>
        <v>Week 1</v>
      </c>
    </row>
    <row r="240" spans="1:21" x14ac:dyDescent="0.25">
      <c r="A240">
        <v>239</v>
      </c>
      <c r="B240" t="s">
        <v>508</v>
      </c>
      <c r="C240" s="1">
        <v>46084</v>
      </c>
      <c r="D240" t="s">
        <v>312</v>
      </c>
      <c r="E240" t="s">
        <v>100</v>
      </c>
      <c r="F240" t="s">
        <v>30</v>
      </c>
      <c r="G240" t="s">
        <v>24</v>
      </c>
      <c r="H240" s="2">
        <v>1</v>
      </c>
      <c r="I240" t="s">
        <v>509</v>
      </c>
      <c r="K240">
        <v>2646000</v>
      </c>
      <c r="L240">
        <v>0</v>
      </c>
      <c r="M240">
        <v>0</v>
      </c>
      <c r="N240">
        <v>291060</v>
      </c>
      <c r="O240">
        <v>0</v>
      </c>
      <c r="P240">
        <v>0</v>
      </c>
      <c r="Q240">
        <v>0</v>
      </c>
      <c r="R240">
        <v>2937060</v>
      </c>
      <c r="S240">
        <v>1401810.75</v>
      </c>
      <c r="T240">
        <v>52.978486394557997</v>
      </c>
      <c r="U240" t="str">
        <f t="shared" si="3"/>
        <v>Week 1</v>
      </c>
    </row>
    <row r="241" spans="1:21" x14ac:dyDescent="0.25">
      <c r="A241">
        <v>240</v>
      </c>
      <c r="B241" t="s">
        <v>510</v>
      </c>
      <c r="C241" s="1">
        <v>46084</v>
      </c>
      <c r="D241" t="s">
        <v>171</v>
      </c>
      <c r="E241" t="s">
        <v>100</v>
      </c>
      <c r="F241" t="s">
        <v>23</v>
      </c>
      <c r="G241" t="s">
        <v>24</v>
      </c>
      <c r="H241" s="2">
        <v>1</v>
      </c>
      <c r="I241" t="s">
        <v>172</v>
      </c>
      <c r="K241">
        <v>20525000</v>
      </c>
      <c r="L241">
        <v>0</v>
      </c>
      <c r="M241">
        <v>0</v>
      </c>
      <c r="N241">
        <v>2257750</v>
      </c>
      <c r="O241">
        <v>0</v>
      </c>
      <c r="P241">
        <v>0</v>
      </c>
      <c r="Q241">
        <v>0</v>
      </c>
      <c r="R241">
        <v>22782750</v>
      </c>
      <c r="S241">
        <v>7585000</v>
      </c>
      <c r="T241">
        <v>36.954933008525998</v>
      </c>
      <c r="U241" t="str">
        <f t="shared" si="3"/>
        <v>Week 1</v>
      </c>
    </row>
    <row r="242" spans="1:21" x14ac:dyDescent="0.25">
      <c r="A242">
        <v>241</v>
      </c>
      <c r="B242" t="s">
        <v>511</v>
      </c>
      <c r="C242" s="1">
        <v>46084</v>
      </c>
      <c r="D242" t="s">
        <v>171</v>
      </c>
      <c r="E242" t="s">
        <v>100</v>
      </c>
      <c r="F242" t="s">
        <v>23</v>
      </c>
      <c r="G242" t="s">
        <v>24</v>
      </c>
      <c r="H242" s="2">
        <v>1</v>
      </c>
      <c r="I242" t="s">
        <v>512</v>
      </c>
      <c r="K242">
        <v>1575000</v>
      </c>
      <c r="L242">
        <v>0</v>
      </c>
      <c r="M242">
        <v>0</v>
      </c>
      <c r="N242">
        <v>173250</v>
      </c>
      <c r="O242">
        <v>0</v>
      </c>
      <c r="P242">
        <v>0</v>
      </c>
      <c r="Q242">
        <v>0</v>
      </c>
      <c r="R242">
        <v>1748250</v>
      </c>
      <c r="S242">
        <v>546000</v>
      </c>
      <c r="T242">
        <v>34.666666666666998</v>
      </c>
      <c r="U242" t="str">
        <f t="shared" si="3"/>
        <v>Week 1</v>
      </c>
    </row>
    <row r="243" spans="1:21" x14ac:dyDescent="0.25">
      <c r="A243">
        <v>242</v>
      </c>
      <c r="B243" t="s">
        <v>513</v>
      </c>
      <c r="C243" s="1">
        <v>46083</v>
      </c>
      <c r="D243" t="s">
        <v>21</v>
      </c>
      <c r="E243" t="s">
        <v>22</v>
      </c>
      <c r="F243" t="s">
        <v>23</v>
      </c>
      <c r="G243" t="s">
        <v>24</v>
      </c>
      <c r="H243" s="2">
        <v>1</v>
      </c>
      <c r="I243" t="s">
        <v>514</v>
      </c>
      <c r="J243" t="s">
        <v>26</v>
      </c>
      <c r="K243">
        <v>96814500</v>
      </c>
      <c r="L243">
        <v>0</v>
      </c>
      <c r="M243">
        <v>0</v>
      </c>
      <c r="N243">
        <v>10649595</v>
      </c>
      <c r="O243">
        <v>0</v>
      </c>
      <c r="P243">
        <v>0</v>
      </c>
      <c r="Q243">
        <v>0</v>
      </c>
      <c r="R243">
        <v>107464095</v>
      </c>
      <c r="S243">
        <v>31388058.729729999</v>
      </c>
      <c r="T243">
        <v>32.420824080825</v>
      </c>
      <c r="U243" t="str">
        <f t="shared" si="3"/>
        <v>Week 1</v>
      </c>
    </row>
    <row r="244" spans="1:21" x14ac:dyDescent="0.25">
      <c r="A244">
        <v>243</v>
      </c>
      <c r="B244" t="s">
        <v>515</v>
      </c>
      <c r="C244" s="1">
        <v>46083</v>
      </c>
      <c r="D244" t="s">
        <v>37</v>
      </c>
      <c r="E244" t="s">
        <v>38</v>
      </c>
      <c r="F244" t="s">
        <v>30</v>
      </c>
      <c r="G244" t="s">
        <v>24</v>
      </c>
      <c r="H244" s="2">
        <v>1</v>
      </c>
      <c r="I244" t="s">
        <v>516</v>
      </c>
      <c r="K244">
        <v>1198920</v>
      </c>
      <c r="L244">
        <v>0</v>
      </c>
      <c r="M244">
        <v>0</v>
      </c>
      <c r="N244">
        <v>131881.20000000001</v>
      </c>
      <c r="O244">
        <v>0</v>
      </c>
      <c r="P244">
        <v>0</v>
      </c>
      <c r="Q244">
        <v>0</v>
      </c>
      <c r="R244">
        <v>1330801.2</v>
      </c>
      <c r="S244">
        <v>732703.78378377995</v>
      </c>
      <c r="T244">
        <v>61.113650934489002</v>
      </c>
      <c r="U244" t="str">
        <f t="shared" si="3"/>
        <v>Week 1</v>
      </c>
    </row>
    <row r="245" spans="1:21" x14ac:dyDescent="0.25">
      <c r="A245">
        <v>244</v>
      </c>
      <c r="B245" t="s">
        <v>517</v>
      </c>
      <c r="C245" s="1">
        <v>46083</v>
      </c>
      <c r="D245" t="s">
        <v>21</v>
      </c>
      <c r="E245" t="s">
        <v>22</v>
      </c>
      <c r="F245" t="s">
        <v>30</v>
      </c>
      <c r="G245" t="s">
        <v>24</v>
      </c>
      <c r="H245" s="2">
        <v>1</v>
      </c>
      <c r="I245" t="s">
        <v>518</v>
      </c>
      <c r="J245" t="s">
        <v>26</v>
      </c>
      <c r="K245">
        <v>2074660</v>
      </c>
      <c r="L245">
        <v>0</v>
      </c>
      <c r="M245">
        <v>0</v>
      </c>
      <c r="N245">
        <v>228212.6</v>
      </c>
      <c r="O245">
        <v>0</v>
      </c>
      <c r="P245">
        <v>0</v>
      </c>
      <c r="Q245">
        <v>0</v>
      </c>
      <c r="R245">
        <v>2302872.6</v>
      </c>
      <c r="S245">
        <v>1067813.1499999999</v>
      </c>
      <c r="T245">
        <v>51.469308223997999</v>
      </c>
      <c r="U245" t="str">
        <f t="shared" si="3"/>
        <v>Week 1</v>
      </c>
    </row>
    <row r="246" spans="1:21" x14ac:dyDescent="0.25">
      <c r="A246">
        <v>245</v>
      </c>
      <c r="B246" t="s">
        <v>519</v>
      </c>
      <c r="C246" s="1">
        <v>46083</v>
      </c>
      <c r="D246" t="s">
        <v>520</v>
      </c>
      <c r="E246" t="s">
        <v>205</v>
      </c>
      <c r="F246" t="s">
        <v>39</v>
      </c>
      <c r="G246" t="s">
        <v>24</v>
      </c>
      <c r="H246" s="2">
        <v>1</v>
      </c>
      <c r="I246" t="s">
        <v>521</v>
      </c>
      <c r="J246" t="s">
        <v>26</v>
      </c>
      <c r="K246">
        <v>25625000</v>
      </c>
      <c r="L246">
        <v>0</v>
      </c>
      <c r="M246">
        <v>0</v>
      </c>
      <c r="N246">
        <v>2818750</v>
      </c>
      <c r="O246">
        <v>0</v>
      </c>
      <c r="P246">
        <v>0</v>
      </c>
      <c r="Q246">
        <v>0</v>
      </c>
      <c r="R246">
        <v>28443750</v>
      </c>
      <c r="S246">
        <v>5125000</v>
      </c>
      <c r="T246">
        <v>20</v>
      </c>
      <c r="U246" t="str">
        <f t="shared" si="3"/>
        <v>Week 1</v>
      </c>
    </row>
    <row r="247" spans="1:21" x14ac:dyDescent="0.25">
      <c r="A247">
        <v>246</v>
      </c>
      <c r="B247" t="s">
        <v>522</v>
      </c>
      <c r="C247" s="1">
        <v>46083</v>
      </c>
      <c r="D247" t="s">
        <v>255</v>
      </c>
      <c r="E247" t="s">
        <v>205</v>
      </c>
      <c r="F247" t="s">
        <v>23</v>
      </c>
      <c r="G247" t="s">
        <v>24</v>
      </c>
      <c r="H247" s="2">
        <v>1</v>
      </c>
      <c r="I247" t="s">
        <v>523</v>
      </c>
      <c r="J247" t="s">
        <v>26</v>
      </c>
      <c r="K247">
        <v>73086979.175676003</v>
      </c>
      <c r="L247">
        <v>0</v>
      </c>
      <c r="M247">
        <v>0</v>
      </c>
      <c r="N247">
        <v>8039567.7093243003</v>
      </c>
      <c r="O247">
        <v>0</v>
      </c>
      <c r="P247">
        <v>0</v>
      </c>
      <c r="Q247">
        <v>0</v>
      </c>
      <c r="R247">
        <v>81126546.885000005</v>
      </c>
      <c r="S247">
        <v>21135428.539639998</v>
      </c>
      <c r="T247">
        <v>28.918185945047</v>
      </c>
      <c r="U247" t="str">
        <f t="shared" si="3"/>
        <v>Week 1</v>
      </c>
    </row>
    <row r="248" spans="1:21" x14ac:dyDescent="0.25">
      <c r="A248">
        <v>247</v>
      </c>
      <c r="B248" t="s">
        <v>524</v>
      </c>
      <c r="C248" s="1">
        <v>46083</v>
      </c>
      <c r="D248" t="s">
        <v>37</v>
      </c>
      <c r="E248" t="s">
        <v>38</v>
      </c>
      <c r="F248" t="s">
        <v>23</v>
      </c>
      <c r="G248" t="s">
        <v>24</v>
      </c>
      <c r="H248" s="2">
        <v>1</v>
      </c>
      <c r="I248" t="s">
        <v>525</v>
      </c>
      <c r="J248" t="s">
        <v>26</v>
      </c>
      <c r="K248">
        <v>25409722</v>
      </c>
      <c r="L248">
        <v>0</v>
      </c>
      <c r="M248">
        <v>0</v>
      </c>
      <c r="N248">
        <v>2795069.42</v>
      </c>
      <c r="O248">
        <v>0</v>
      </c>
      <c r="P248">
        <v>0</v>
      </c>
      <c r="Q248">
        <v>0</v>
      </c>
      <c r="R248">
        <v>28204791.420000002</v>
      </c>
      <c r="S248">
        <v>6743772</v>
      </c>
      <c r="T248">
        <v>26.540125074961001</v>
      </c>
      <c r="U248" t="str">
        <f t="shared" si="3"/>
        <v>Week 1</v>
      </c>
    </row>
    <row r="249" spans="1:21" x14ac:dyDescent="0.25">
      <c r="A249">
        <v>248</v>
      </c>
      <c r="B249" t="s">
        <v>526</v>
      </c>
      <c r="C249" s="1">
        <v>46083</v>
      </c>
      <c r="D249" t="s">
        <v>252</v>
      </c>
      <c r="E249" t="s">
        <v>117</v>
      </c>
      <c r="F249" t="s">
        <v>30</v>
      </c>
      <c r="G249" t="s">
        <v>24</v>
      </c>
      <c r="H249" s="2">
        <v>1</v>
      </c>
      <c r="I249" t="s">
        <v>527</v>
      </c>
      <c r="J249" t="s">
        <v>26</v>
      </c>
      <c r="K249">
        <v>11319804</v>
      </c>
      <c r="L249">
        <v>0</v>
      </c>
      <c r="M249">
        <v>0</v>
      </c>
      <c r="N249">
        <v>1245178.44</v>
      </c>
      <c r="O249">
        <v>0</v>
      </c>
      <c r="P249">
        <v>0</v>
      </c>
      <c r="Q249">
        <v>0</v>
      </c>
      <c r="R249">
        <v>12564982.439999999</v>
      </c>
      <c r="S249">
        <v>836724</v>
      </c>
      <c r="T249">
        <v>7.3916827535175997</v>
      </c>
      <c r="U249" t="str">
        <f t="shared" si="3"/>
        <v>Week 1</v>
      </c>
    </row>
    <row r="250" spans="1:21" x14ac:dyDescent="0.25">
      <c r="A250">
        <v>249</v>
      </c>
      <c r="B250" t="s">
        <v>528</v>
      </c>
      <c r="C250" s="1">
        <v>46083</v>
      </c>
      <c r="D250" t="s">
        <v>204</v>
      </c>
      <c r="E250" t="s">
        <v>205</v>
      </c>
      <c r="F250" t="s">
        <v>23</v>
      </c>
      <c r="G250" t="s">
        <v>24</v>
      </c>
      <c r="H250" s="2">
        <v>1</v>
      </c>
      <c r="I250" t="s">
        <v>529</v>
      </c>
      <c r="J250" t="s">
        <v>26</v>
      </c>
      <c r="K250">
        <v>1590540.56</v>
      </c>
      <c r="L250">
        <v>0</v>
      </c>
      <c r="M250">
        <v>0</v>
      </c>
      <c r="N250">
        <v>174959.46160000001</v>
      </c>
      <c r="O250">
        <v>0</v>
      </c>
      <c r="P250">
        <v>0</v>
      </c>
      <c r="Q250">
        <v>0</v>
      </c>
      <c r="R250">
        <v>1765500.0216000001</v>
      </c>
      <c r="S250">
        <v>338608.04</v>
      </c>
      <c r="T250">
        <v>21.288865465964999</v>
      </c>
      <c r="U250" t="str">
        <f t="shared" si="3"/>
        <v>Week 1</v>
      </c>
    </row>
    <row r="251" spans="1:21" x14ac:dyDescent="0.25">
      <c r="A251">
        <v>250</v>
      </c>
      <c r="B251" t="s">
        <v>530</v>
      </c>
      <c r="C251" s="1">
        <v>46083</v>
      </c>
      <c r="D251" t="s">
        <v>33</v>
      </c>
      <c r="E251" t="s">
        <v>34</v>
      </c>
      <c r="F251" t="s">
        <v>30</v>
      </c>
      <c r="G251" t="s">
        <v>24</v>
      </c>
      <c r="H251" s="2">
        <v>1</v>
      </c>
      <c r="I251" t="s">
        <v>531</v>
      </c>
      <c r="K251">
        <v>7157695.2999999998</v>
      </c>
      <c r="L251">
        <v>0</v>
      </c>
      <c r="M251">
        <v>0</v>
      </c>
      <c r="N251">
        <v>787346.48300000001</v>
      </c>
      <c r="O251">
        <v>0</v>
      </c>
      <c r="P251">
        <v>0</v>
      </c>
      <c r="Q251">
        <v>0</v>
      </c>
      <c r="R251">
        <v>7945041.7829999998</v>
      </c>
      <c r="S251">
        <v>1819979.9846846999</v>
      </c>
      <c r="T251">
        <v>25.426899419491999</v>
      </c>
      <c r="U251" t="str">
        <f t="shared" si="3"/>
        <v>Week 1</v>
      </c>
    </row>
    <row r="252" spans="1:21" x14ac:dyDescent="0.25">
      <c r="A252">
        <v>251</v>
      </c>
      <c r="B252" t="s">
        <v>532</v>
      </c>
      <c r="C252" s="1">
        <v>46083</v>
      </c>
      <c r="D252" t="s">
        <v>312</v>
      </c>
      <c r="E252" t="s">
        <v>100</v>
      </c>
      <c r="F252" t="s">
        <v>23</v>
      </c>
      <c r="G252" t="s">
        <v>24</v>
      </c>
      <c r="H252" s="2">
        <v>1</v>
      </c>
      <c r="I252" t="s">
        <v>533</v>
      </c>
      <c r="K252">
        <v>14690000</v>
      </c>
      <c r="L252">
        <v>0</v>
      </c>
      <c r="M252">
        <v>0</v>
      </c>
      <c r="N252">
        <v>1615900</v>
      </c>
      <c r="O252">
        <v>0</v>
      </c>
      <c r="P252">
        <v>0</v>
      </c>
      <c r="Q252">
        <v>0</v>
      </c>
      <c r="R252">
        <v>16305900</v>
      </c>
      <c r="S252">
        <v>7934716.2300000004</v>
      </c>
      <c r="T252">
        <v>54.014405922396001</v>
      </c>
      <c r="U252" t="str">
        <f t="shared" si="3"/>
        <v>Week 1</v>
      </c>
    </row>
    <row r="253" spans="1:21" x14ac:dyDescent="0.25">
      <c r="A253">
        <v>252</v>
      </c>
      <c r="B253" t="s">
        <v>534</v>
      </c>
      <c r="C253" s="1">
        <v>46083</v>
      </c>
      <c r="D253" t="s">
        <v>21</v>
      </c>
      <c r="E253" t="s">
        <v>22</v>
      </c>
      <c r="F253" t="s">
        <v>30</v>
      </c>
      <c r="G253" t="s">
        <v>24</v>
      </c>
      <c r="H253" s="2">
        <v>1</v>
      </c>
      <c r="I253" t="s">
        <v>535</v>
      </c>
      <c r="J253" t="s">
        <v>26</v>
      </c>
      <c r="K253">
        <v>12771850</v>
      </c>
      <c r="L253">
        <v>0</v>
      </c>
      <c r="M253">
        <v>0</v>
      </c>
      <c r="N253">
        <v>1404903.5</v>
      </c>
      <c r="O253">
        <v>0</v>
      </c>
      <c r="P253">
        <v>0</v>
      </c>
      <c r="Q253">
        <v>0</v>
      </c>
      <c r="R253">
        <v>14176753.5</v>
      </c>
      <c r="S253">
        <v>3650230</v>
      </c>
      <c r="T253">
        <v>28.580276154198</v>
      </c>
      <c r="U253" t="str">
        <f t="shared" si="3"/>
        <v>Week 1</v>
      </c>
    </row>
    <row r="254" spans="1:21" x14ac:dyDescent="0.25">
      <c r="A254">
        <v>253</v>
      </c>
      <c r="B254" t="s">
        <v>536</v>
      </c>
      <c r="C254" s="1">
        <v>46082</v>
      </c>
      <c r="D254" t="s">
        <v>537</v>
      </c>
      <c r="E254" t="s">
        <v>22</v>
      </c>
      <c r="F254" t="s">
        <v>23</v>
      </c>
      <c r="G254" t="s">
        <v>24</v>
      </c>
      <c r="H254" s="2">
        <v>1</v>
      </c>
      <c r="I254" t="s">
        <v>538</v>
      </c>
      <c r="J254" t="s">
        <v>26</v>
      </c>
      <c r="K254">
        <v>10109606</v>
      </c>
      <c r="L254">
        <v>0</v>
      </c>
      <c r="M254">
        <v>0</v>
      </c>
      <c r="N254">
        <v>1112056.6599999999</v>
      </c>
      <c r="O254">
        <v>0</v>
      </c>
      <c r="P254">
        <v>0</v>
      </c>
      <c r="Q254">
        <v>0</v>
      </c>
      <c r="R254">
        <v>11221662.66</v>
      </c>
      <c r="S254">
        <v>6195162.7279283004</v>
      </c>
      <c r="T254">
        <v>61.279962126401003</v>
      </c>
      <c r="U254" t="str">
        <f t="shared" si="3"/>
        <v>Week 1</v>
      </c>
    </row>
    <row r="255" spans="1:21" x14ac:dyDescent="0.25">
      <c r="A255">
        <v>254</v>
      </c>
      <c r="B255" t="s">
        <v>539</v>
      </c>
      <c r="C255" s="1">
        <v>46081</v>
      </c>
      <c r="D255" t="s">
        <v>440</v>
      </c>
      <c r="E255" t="s">
        <v>117</v>
      </c>
      <c r="F255" t="s">
        <v>23</v>
      </c>
      <c r="G255" t="s">
        <v>24</v>
      </c>
      <c r="H255" s="2">
        <v>1</v>
      </c>
      <c r="I255" t="s">
        <v>540</v>
      </c>
      <c r="J255" t="s">
        <v>26</v>
      </c>
      <c r="K255">
        <v>143412018.75</v>
      </c>
      <c r="L255">
        <v>0</v>
      </c>
      <c r="M255">
        <v>0</v>
      </c>
      <c r="N255">
        <v>15775322.0625</v>
      </c>
      <c r="O255">
        <v>0</v>
      </c>
      <c r="P255">
        <v>0</v>
      </c>
      <c r="Q255">
        <v>0</v>
      </c>
      <c r="R255">
        <v>159187340.8125</v>
      </c>
      <c r="S255">
        <v>40437018.75</v>
      </c>
      <c r="T255">
        <v>28.196394627490001</v>
      </c>
      <c r="U255" t="str">
        <f t="shared" si="3"/>
        <v>Week 4</v>
      </c>
    </row>
    <row r="256" spans="1:21" x14ac:dyDescent="0.25">
      <c r="A256">
        <v>255</v>
      </c>
      <c r="B256" t="s">
        <v>541</v>
      </c>
      <c r="C256" s="1">
        <v>46081</v>
      </c>
      <c r="D256" t="s">
        <v>28</v>
      </c>
      <c r="E256" t="s">
        <v>29</v>
      </c>
      <c r="F256" t="s">
        <v>30</v>
      </c>
      <c r="G256" t="s">
        <v>24</v>
      </c>
      <c r="H256" s="2">
        <v>1</v>
      </c>
      <c r="I256" t="s">
        <v>542</v>
      </c>
      <c r="K256">
        <v>101688445</v>
      </c>
      <c r="L256">
        <v>0</v>
      </c>
      <c r="M256">
        <v>0</v>
      </c>
      <c r="N256">
        <v>11185728.949999999</v>
      </c>
      <c r="O256">
        <v>0</v>
      </c>
      <c r="P256">
        <v>0</v>
      </c>
      <c r="Q256">
        <v>0</v>
      </c>
      <c r="R256">
        <v>112874173.95</v>
      </c>
      <c r="S256">
        <v>-46511555</v>
      </c>
      <c r="T256">
        <v>-45.739272539765999</v>
      </c>
      <c r="U256" t="str">
        <f t="shared" si="3"/>
        <v>Week 4</v>
      </c>
    </row>
    <row r="257" spans="1:21" x14ac:dyDescent="0.25">
      <c r="A257">
        <v>256</v>
      </c>
      <c r="B257" t="s">
        <v>543</v>
      </c>
      <c r="C257" s="1">
        <v>46081</v>
      </c>
      <c r="D257" t="s">
        <v>28</v>
      </c>
      <c r="E257" t="s">
        <v>29</v>
      </c>
      <c r="F257" t="s">
        <v>30</v>
      </c>
      <c r="G257" t="s">
        <v>24</v>
      </c>
      <c r="H257" s="2">
        <v>1</v>
      </c>
      <c r="I257" t="s">
        <v>544</v>
      </c>
      <c r="K257">
        <v>265294750</v>
      </c>
      <c r="L257">
        <v>0</v>
      </c>
      <c r="M257">
        <v>0</v>
      </c>
      <c r="N257">
        <v>29182422.5</v>
      </c>
      <c r="O257">
        <v>0</v>
      </c>
      <c r="P257">
        <v>0</v>
      </c>
      <c r="Q257">
        <v>0</v>
      </c>
      <c r="R257">
        <v>294477172.5</v>
      </c>
      <c r="S257">
        <v>26237982.702702999</v>
      </c>
      <c r="T257">
        <v>9.8901251165742003</v>
      </c>
      <c r="U257" t="str">
        <f t="shared" si="3"/>
        <v>Week 4</v>
      </c>
    </row>
    <row r="258" spans="1:21" x14ac:dyDescent="0.25">
      <c r="A258">
        <v>257</v>
      </c>
      <c r="B258" t="s">
        <v>545</v>
      </c>
      <c r="C258" s="1">
        <v>46081</v>
      </c>
      <c r="D258" t="s">
        <v>356</v>
      </c>
      <c r="E258" t="s">
        <v>29</v>
      </c>
      <c r="F258" t="s">
        <v>30</v>
      </c>
      <c r="G258" t="s">
        <v>24</v>
      </c>
      <c r="H258" s="2">
        <v>1</v>
      </c>
      <c r="I258" t="s">
        <v>546</v>
      </c>
      <c r="K258">
        <v>57218400</v>
      </c>
      <c r="L258">
        <v>0</v>
      </c>
      <c r="M258">
        <v>0</v>
      </c>
      <c r="N258">
        <v>6294024</v>
      </c>
      <c r="O258">
        <v>0</v>
      </c>
      <c r="P258">
        <v>0</v>
      </c>
      <c r="Q258">
        <v>0</v>
      </c>
      <c r="R258">
        <v>63512424</v>
      </c>
      <c r="S258">
        <v>6780044</v>
      </c>
      <c r="T258">
        <v>11.849412077234</v>
      </c>
      <c r="U258" t="str">
        <f t="shared" si="3"/>
        <v>Week 4</v>
      </c>
    </row>
    <row r="259" spans="1:21" x14ac:dyDescent="0.25">
      <c r="A259">
        <v>258</v>
      </c>
      <c r="B259" t="s">
        <v>547</v>
      </c>
      <c r="C259" s="1">
        <v>46081</v>
      </c>
      <c r="D259" t="s">
        <v>28</v>
      </c>
      <c r="E259" t="s">
        <v>29</v>
      </c>
      <c r="F259" t="s">
        <v>39</v>
      </c>
      <c r="G259" t="s">
        <v>24</v>
      </c>
      <c r="H259" s="2">
        <v>1</v>
      </c>
      <c r="I259" t="s">
        <v>548</v>
      </c>
      <c r="K259">
        <v>10000</v>
      </c>
      <c r="L259">
        <v>0</v>
      </c>
      <c r="M259">
        <v>0</v>
      </c>
      <c r="N259">
        <v>1100</v>
      </c>
      <c r="O259">
        <v>0</v>
      </c>
      <c r="P259">
        <v>0</v>
      </c>
      <c r="Q259">
        <v>0</v>
      </c>
      <c r="R259">
        <v>11100</v>
      </c>
      <c r="S259">
        <v>5338</v>
      </c>
      <c r="T259">
        <v>53.38</v>
      </c>
      <c r="U259" t="str">
        <f t="shared" ref="U259:U322" si="4">"Week " &amp;IF(DAY(C259)&gt;=24,4,INT((DAY(C259)-1)/7)+1)</f>
        <v>Week 4</v>
      </c>
    </row>
    <row r="260" spans="1:21" x14ac:dyDescent="0.25">
      <c r="A260">
        <v>259</v>
      </c>
      <c r="B260" t="s">
        <v>549</v>
      </c>
      <c r="C260" s="1">
        <v>46081</v>
      </c>
      <c r="D260" t="s">
        <v>28</v>
      </c>
      <c r="E260" t="s">
        <v>29</v>
      </c>
      <c r="F260" t="s">
        <v>30</v>
      </c>
      <c r="G260" t="s">
        <v>24</v>
      </c>
      <c r="H260" s="2">
        <v>1</v>
      </c>
      <c r="I260" t="s">
        <v>550</v>
      </c>
      <c r="K260">
        <v>266811200</v>
      </c>
      <c r="L260">
        <v>0</v>
      </c>
      <c r="M260">
        <v>0</v>
      </c>
      <c r="N260">
        <v>29349232</v>
      </c>
      <c r="O260">
        <v>0</v>
      </c>
      <c r="P260">
        <v>0</v>
      </c>
      <c r="Q260">
        <v>0</v>
      </c>
      <c r="R260">
        <v>296160432</v>
      </c>
      <c r="S260">
        <v>241200</v>
      </c>
      <c r="T260">
        <v>9.0401002656559995E-2</v>
      </c>
      <c r="U260" t="str">
        <f t="shared" si="4"/>
        <v>Week 4</v>
      </c>
    </row>
    <row r="261" spans="1:21" x14ac:dyDescent="0.25">
      <c r="A261">
        <v>260</v>
      </c>
      <c r="B261" t="s">
        <v>551</v>
      </c>
      <c r="C261" s="1">
        <v>46081</v>
      </c>
      <c r="D261" t="s">
        <v>28</v>
      </c>
      <c r="E261" t="s">
        <v>29</v>
      </c>
      <c r="F261" t="s">
        <v>30</v>
      </c>
      <c r="G261" t="s">
        <v>24</v>
      </c>
      <c r="H261" s="2">
        <v>1</v>
      </c>
      <c r="I261" t="s">
        <v>552</v>
      </c>
      <c r="K261">
        <v>233604000</v>
      </c>
      <c r="L261">
        <v>0</v>
      </c>
      <c r="M261">
        <v>0</v>
      </c>
      <c r="N261">
        <v>25696440</v>
      </c>
      <c r="O261">
        <v>0</v>
      </c>
      <c r="P261">
        <v>0</v>
      </c>
      <c r="Q261">
        <v>0</v>
      </c>
      <c r="R261">
        <v>259300440</v>
      </c>
      <c r="S261">
        <v>19404000</v>
      </c>
      <c r="T261">
        <v>8.3063646170441992</v>
      </c>
      <c r="U261" t="str">
        <f t="shared" si="4"/>
        <v>Week 4</v>
      </c>
    </row>
    <row r="262" spans="1:21" x14ac:dyDescent="0.25">
      <c r="A262">
        <v>261</v>
      </c>
      <c r="B262" t="s">
        <v>553</v>
      </c>
      <c r="C262" s="1">
        <v>46081</v>
      </c>
      <c r="D262" t="s">
        <v>54</v>
      </c>
      <c r="E262" t="s">
        <v>55</v>
      </c>
      <c r="F262" t="s">
        <v>39</v>
      </c>
      <c r="G262" t="s">
        <v>24</v>
      </c>
      <c r="H262" s="2">
        <v>1</v>
      </c>
      <c r="I262" t="s">
        <v>554</v>
      </c>
      <c r="K262">
        <v>1</v>
      </c>
      <c r="L262">
        <v>0</v>
      </c>
      <c r="M262">
        <v>0</v>
      </c>
      <c r="N262">
        <v>0.11</v>
      </c>
      <c r="O262">
        <v>0</v>
      </c>
      <c r="P262">
        <v>0</v>
      </c>
      <c r="Q262">
        <v>0</v>
      </c>
      <c r="R262">
        <v>1.1100000000000001</v>
      </c>
      <c r="S262">
        <v>-10578499</v>
      </c>
      <c r="T262">
        <v>-1057849900</v>
      </c>
      <c r="U262" t="str">
        <f t="shared" si="4"/>
        <v>Week 4</v>
      </c>
    </row>
    <row r="263" spans="1:21" x14ac:dyDescent="0.25">
      <c r="A263">
        <v>262</v>
      </c>
      <c r="B263" t="s">
        <v>555</v>
      </c>
      <c r="C263" s="1">
        <v>46081</v>
      </c>
      <c r="D263" t="s">
        <v>204</v>
      </c>
      <c r="E263" t="s">
        <v>205</v>
      </c>
      <c r="F263" t="s">
        <v>23</v>
      </c>
      <c r="G263" t="s">
        <v>24</v>
      </c>
      <c r="H263" s="2">
        <v>1</v>
      </c>
      <c r="I263" t="s">
        <v>236</v>
      </c>
      <c r="J263" t="s">
        <v>26</v>
      </c>
      <c r="K263">
        <v>39348000</v>
      </c>
      <c r="L263">
        <v>0</v>
      </c>
      <c r="M263">
        <v>0</v>
      </c>
      <c r="N263">
        <v>4328280</v>
      </c>
      <c r="O263">
        <v>0</v>
      </c>
      <c r="P263">
        <v>0</v>
      </c>
      <c r="Q263">
        <v>0</v>
      </c>
      <c r="R263">
        <v>43676280</v>
      </c>
      <c r="S263">
        <v>15494342.342342</v>
      </c>
      <c r="T263">
        <v>39.377712570759002</v>
      </c>
      <c r="U263" t="str">
        <f t="shared" si="4"/>
        <v>Week 4</v>
      </c>
    </row>
    <row r="264" spans="1:21" x14ac:dyDescent="0.25">
      <c r="C264" s="1"/>
      <c r="H264" s="2"/>
    </row>
    <row r="265" spans="1:21" x14ac:dyDescent="0.25">
      <c r="A265">
        <v>264</v>
      </c>
      <c r="B265" t="s">
        <v>556</v>
      </c>
      <c r="C265" s="1">
        <v>46081</v>
      </c>
      <c r="D265" t="s">
        <v>33</v>
      </c>
      <c r="E265" t="s">
        <v>34</v>
      </c>
      <c r="F265" t="s">
        <v>30</v>
      </c>
      <c r="G265" t="s">
        <v>24</v>
      </c>
      <c r="H265" s="2">
        <v>1</v>
      </c>
      <c r="I265" t="s">
        <v>557</v>
      </c>
      <c r="J265" t="s">
        <v>57</v>
      </c>
      <c r="K265">
        <v>37500000</v>
      </c>
      <c r="L265">
        <v>0</v>
      </c>
      <c r="M265">
        <v>0</v>
      </c>
      <c r="N265">
        <v>4125000</v>
      </c>
      <c r="O265">
        <v>0</v>
      </c>
      <c r="P265">
        <v>0</v>
      </c>
      <c r="Q265">
        <v>0</v>
      </c>
      <c r="R265">
        <v>41625000</v>
      </c>
      <c r="S265">
        <v>4000000</v>
      </c>
      <c r="T265">
        <v>10.666666666667</v>
      </c>
      <c r="U265" t="str">
        <f t="shared" si="4"/>
        <v>Week 4</v>
      </c>
    </row>
    <row r="266" spans="1:21" x14ac:dyDescent="0.25">
      <c r="A266">
        <v>265</v>
      </c>
      <c r="B266" t="s">
        <v>558</v>
      </c>
      <c r="C266" s="1">
        <v>46081</v>
      </c>
      <c r="D266" t="s">
        <v>54</v>
      </c>
      <c r="E266" t="s">
        <v>55</v>
      </c>
      <c r="F266" t="s">
        <v>30</v>
      </c>
      <c r="G266" t="s">
        <v>24</v>
      </c>
      <c r="H266" s="2">
        <v>1</v>
      </c>
      <c r="I266" t="s">
        <v>559</v>
      </c>
      <c r="K266">
        <v>11730600</v>
      </c>
      <c r="L266">
        <v>0</v>
      </c>
      <c r="M266">
        <v>0</v>
      </c>
      <c r="N266">
        <v>1290366</v>
      </c>
      <c r="O266">
        <v>0</v>
      </c>
      <c r="P266">
        <v>0</v>
      </c>
      <c r="Q266">
        <v>0</v>
      </c>
      <c r="R266">
        <v>13020966</v>
      </c>
      <c r="S266">
        <v>4130600</v>
      </c>
      <c r="T266">
        <v>35.212180110139002</v>
      </c>
      <c r="U266" t="str">
        <f t="shared" si="4"/>
        <v>Week 4</v>
      </c>
    </row>
    <row r="267" spans="1:21" x14ac:dyDescent="0.25">
      <c r="A267">
        <v>266</v>
      </c>
      <c r="B267" t="s">
        <v>560</v>
      </c>
      <c r="C267" s="1">
        <v>46081</v>
      </c>
      <c r="D267" t="s">
        <v>21</v>
      </c>
      <c r="E267" t="s">
        <v>55</v>
      </c>
      <c r="F267" t="s">
        <v>30</v>
      </c>
      <c r="G267" t="s">
        <v>24</v>
      </c>
      <c r="H267" s="2">
        <v>1</v>
      </c>
      <c r="I267" t="s">
        <v>561</v>
      </c>
      <c r="K267">
        <v>11730600</v>
      </c>
      <c r="L267">
        <v>0</v>
      </c>
      <c r="M267">
        <v>0</v>
      </c>
      <c r="N267">
        <v>1290366</v>
      </c>
      <c r="O267">
        <v>0</v>
      </c>
      <c r="P267">
        <v>0</v>
      </c>
      <c r="Q267">
        <v>0</v>
      </c>
      <c r="R267">
        <v>13020966</v>
      </c>
      <c r="S267">
        <v>4130600</v>
      </c>
      <c r="T267">
        <v>35.212180110139002</v>
      </c>
      <c r="U267" t="str">
        <f t="shared" si="4"/>
        <v>Week 4</v>
      </c>
    </row>
    <row r="268" spans="1:21" x14ac:dyDescent="0.25">
      <c r="A268">
        <v>267</v>
      </c>
      <c r="B268" t="s">
        <v>562</v>
      </c>
      <c r="C268" s="1">
        <v>46081</v>
      </c>
      <c r="D268" t="s">
        <v>54</v>
      </c>
      <c r="E268" t="s">
        <v>55</v>
      </c>
      <c r="F268" t="s">
        <v>30</v>
      </c>
      <c r="G268" t="s">
        <v>24</v>
      </c>
      <c r="H268" s="2">
        <v>1</v>
      </c>
      <c r="I268" t="s">
        <v>563</v>
      </c>
      <c r="K268">
        <v>33720900</v>
      </c>
      <c r="L268">
        <v>0</v>
      </c>
      <c r="M268">
        <v>0</v>
      </c>
      <c r="N268">
        <v>3709299</v>
      </c>
      <c r="O268">
        <v>0</v>
      </c>
      <c r="P268">
        <v>0</v>
      </c>
      <c r="Q268">
        <v>0</v>
      </c>
      <c r="R268">
        <v>37430199</v>
      </c>
      <c r="S268">
        <v>18855900</v>
      </c>
      <c r="T268">
        <v>55.917546684697001</v>
      </c>
      <c r="U268" t="str">
        <f t="shared" si="4"/>
        <v>Week 4</v>
      </c>
    </row>
    <row r="269" spans="1:21" x14ac:dyDescent="0.25">
      <c r="A269">
        <v>268</v>
      </c>
      <c r="B269" t="s">
        <v>564</v>
      </c>
      <c r="C269" s="1">
        <v>46081</v>
      </c>
      <c r="D269" t="s">
        <v>204</v>
      </c>
      <c r="E269" t="s">
        <v>205</v>
      </c>
      <c r="F269" t="s">
        <v>23</v>
      </c>
      <c r="G269" t="s">
        <v>24</v>
      </c>
      <c r="H269" s="2">
        <v>1</v>
      </c>
      <c r="I269" t="s">
        <v>565</v>
      </c>
      <c r="J269" t="s">
        <v>26</v>
      </c>
      <c r="K269">
        <v>13125000</v>
      </c>
      <c r="L269">
        <v>0</v>
      </c>
      <c r="M269">
        <v>0</v>
      </c>
      <c r="N269">
        <v>1443750</v>
      </c>
      <c r="O269">
        <v>0</v>
      </c>
      <c r="P269">
        <v>0</v>
      </c>
      <c r="Q269">
        <v>0</v>
      </c>
      <c r="R269">
        <v>14568750</v>
      </c>
      <c r="S269">
        <v>2625000</v>
      </c>
      <c r="T269">
        <v>20</v>
      </c>
      <c r="U269" t="str">
        <f t="shared" si="4"/>
        <v>Week 4</v>
      </c>
    </row>
    <row r="270" spans="1:21" x14ac:dyDescent="0.25">
      <c r="A270">
        <v>269</v>
      </c>
      <c r="B270" t="s">
        <v>566</v>
      </c>
      <c r="C270" s="1">
        <v>46081</v>
      </c>
      <c r="D270" t="s">
        <v>33</v>
      </c>
      <c r="E270" t="s">
        <v>34</v>
      </c>
      <c r="F270" t="s">
        <v>23</v>
      </c>
      <c r="G270" t="s">
        <v>24</v>
      </c>
      <c r="H270" s="2">
        <v>1</v>
      </c>
      <c r="I270" t="s">
        <v>567</v>
      </c>
      <c r="K270">
        <v>35690000</v>
      </c>
      <c r="L270">
        <v>0</v>
      </c>
      <c r="M270">
        <v>0</v>
      </c>
      <c r="N270">
        <v>3925900</v>
      </c>
      <c r="O270">
        <v>0</v>
      </c>
      <c r="P270">
        <v>0</v>
      </c>
      <c r="Q270">
        <v>0</v>
      </c>
      <c r="R270">
        <v>39615900</v>
      </c>
      <c r="S270">
        <v>9979000</v>
      </c>
      <c r="T270">
        <v>27.960212944801999</v>
      </c>
      <c r="U270" t="str">
        <f t="shared" si="4"/>
        <v>Week 4</v>
      </c>
    </row>
    <row r="271" spans="1:21" x14ac:dyDescent="0.25">
      <c r="A271">
        <v>270</v>
      </c>
      <c r="B271" t="s">
        <v>568</v>
      </c>
      <c r="C271" s="1">
        <v>46080</v>
      </c>
      <c r="D271" t="s">
        <v>440</v>
      </c>
      <c r="E271" t="s">
        <v>117</v>
      </c>
      <c r="F271" t="s">
        <v>265</v>
      </c>
      <c r="G271" t="s">
        <v>24</v>
      </c>
      <c r="H271" s="2">
        <v>1</v>
      </c>
      <c r="I271" t="s">
        <v>569</v>
      </c>
      <c r="J271" t="s">
        <v>26</v>
      </c>
      <c r="K271">
        <v>30323700</v>
      </c>
      <c r="L271">
        <v>0</v>
      </c>
      <c r="M271">
        <v>0</v>
      </c>
      <c r="N271">
        <v>3335607</v>
      </c>
      <c r="O271">
        <v>0</v>
      </c>
      <c r="P271">
        <v>0</v>
      </c>
      <c r="Q271">
        <v>0</v>
      </c>
      <c r="R271">
        <v>33659307</v>
      </c>
      <c r="S271">
        <v>15729213.513561999</v>
      </c>
      <c r="T271">
        <v>51.871023369714003</v>
      </c>
      <c r="U271" t="str">
        <f t="shared" si="4"/>
        <v>Week 4</v>
      </c>
    </row>
    <row r="272" spans="1:21" x14ac:dyDescent="0.25">
      <c r="A272">
        <v>271</v>
      </c>
      <c r="B272" t="s">
        <v>570</v>
      </c>
      <c r="C272" s="1">
        <v>46080</v>
      </c>
      <c r="D272" t="s">
        <v>520</v>
      </c>
      <c r="E272" t="s">
        <v>205</v>
      </c>
      <c r="F272" t="s">
        <v>23</v>
      </c>
      <c r="G272" t="s">
        <v>24</v>
      </c>
      <c r="H272" s="2">
        <v>1</v>
      </c>
      <c r="I272" t="s">
        <v>571</v>
      </c>
      <c r="J272" t="s">
        <v>26</v>
      </c>
      <c r="K272">
        <v>16237785</v>
      </c>
      <c r="L272">
        <v>0</v>
      </c>
      <c r="M272">
        <v>0</v>
      </c>
      <c r="N272">
        <v>1786156.35</v>
      </c>
      <c r="O272">
        <v>0</v>
      </c>
      <c r="P272">
        <v>0</v>
      </c>
      <c r="Q272">
        <v>0</v>
      </c>
      <c r="R272">
        <v>18023941.350000001</v>
      </c>
      <c r="S272">
        <v>3461785</v>
      </c>
      <c r="T272">
        <v>21.319317874944002</v>
      </c>
      <c r="U272" t="str">
        <f t="shared" si="4"/>
        <v>Week 4</v>
      </c>
    </row>
    <row r="273" spans="1:21" x14ac:dyDescent="0.25">
      <c r="A273">
        <v>272</v>
      </c>
      <c r="B273" t="s">
        <v>572</v>
      </c>
      <c r="C273" s="1">
        <v>46080</v>
      </c>
      <c r="D273" t="s">
        <v>33</v>
      </c>
      <c r="E273" t="s">
        <v>34</v>
      </c>
      <c r="F273" t="s">
        <v>30</v>
      </c>
      <c r="G273" t="s">
        <v>24</v>
      </c>
      <c r="H273" s="2">
        <v>1</v>
      </c>
      <c r="I273" t="s">
        <v>573</v>
      </c>
      <c r="J273" t="s">
        <v>57</v>
      </c>
      <c r="K273">
        <v>255858400</v>
      </c>
      <c r="L273">
        <v>0</v>
      </c>
      <c r="M273">
        <v>0</v>
      </c>
      <c r="N273">
        <v>28144424</v>
      </c>
      <c r="O273">
        <v>0</v>
      </c>
      <c r="P273">
        <v>0</v>
      </c>
      <c r="Q273">
        <v>0</v>
      </c>
      <c r="R273">
        <v>284002824</v>
      </c>
      <c r="S273">
        <v>46994400</v>
      </c>
      <c r="T273">
        <v>18.367346938775999</v>
      </c>
      <c r="U273" t="str">
        <f t="shared" si="4"/>
        <v>Week 4</v>
      </c>
    </row>
    <row r="274" spans="1:21" x14ac:dyDescent="0.25">
      <c r="A274">
        <v>273</v>
      </c>
      <c r="B274" t="s">
        <v>574</v>
      </c>
      <c r="C274" s="1">
        <v>46080</v>
      </c>
      <c r="D274" t="s">
        <v>28</v>
      </c>
      <c r="E274" t="s">
        <v>29</v>
      </c>
      <c r="F274" t="s">
        <v>30</v>
      </c>
      <c r="G274" t="s">
        <v>24</v>
      </c>
      <c r="H274" s="2">
        <v>1</v>
      </c>
      <c r="I274" t="s">
        <v>575</v>
      </c>
      <c r="K274">
        <v>79271143.75</v>
      </c>
      <c r="L274">
        <v>0</v>
      </c>
      <c r="M274">
        <v>0</v>
      </c>
      <c r="N274">
        <v>8719825.8125</v>
      </c>
      <c r="O274">
        <v>0</v>
      </c>
      <c r="P274">
        <v>0</v>
      </c>
      <c r="Q274">
        <v>0</v>
      </c>
      <c r="R274">
        <v>87990969.5625</v>
      </c>
      <c r="S274">
        <v>8731793.75</v>
      </c>
      <c r="T274">
        <v>11.015097470445999</v>
      </c>
      <c r="U274" t="str">
        <f t="shared" si="4"/>
        <v>Week 4</v>
      </c>
    </row>
    <row r="275" spans="1:21" x14ac:dyDescent="0.25">
      <c r="A275">
        <v>274</v>
      </c>
      <c r="B275" t="s">
        <v>576</v>
      </c>
      <c r="C275" s="1">
        <v>46080</v>
      </c>
      <c r="D275" t="s">
        <v>186</v>
      </c>
      <c r="E275" t="s">
        <v>117</v>
      </c>
      <c r="F275" t="s">
        <v>30</v>
      </c>
      <c r="G275" t="s">
        <v>24</v>
      </c>
      <c r="H275" s="2">
        <v>1</v>
      </c>
      <c r="I275" t="s">
        <v>577</v>
      </c>
      <c r="J275" t="s">
        <v>26</v>
      </c>
      <c r="K275">
        <v>158105</v>
      </c>
      <c r="L275">
        <v>0</v>
      </c>
      <c r="M275">
        <v>0</v>
      </c>
      <c r="N275">
        <v>17391.55</v>
      </c>
      <c r="O275">
        <v>0</v>
      </c>
      <c r="P275">
        <v>0</v>
      </c>
      <c r="Q275">
        <v>0</v>
      </c>
      <c r="R275">
        <v>175496.55</v>
      </c>
      <c r="S275">
        <v>22294.189189190001</v>
      </c>
      <c r="T275">
        <v>14.100875487295999</v>
      </c>
      <c r="U275" t="str">
        <f t="shared" si="4"/>
        <v>Week 4</v>
      </c>
    </row>
    <row r="276" spans="1:21" x14ac:dyDescent="0.25">
      <c r="A276">
        <v>275</v>
      </c>
      <c r="B276" t="s">
        <v>578</v>
      </c>
      <c r="C276" s="1">
        <v>46080</v>
      </c>
      <c r="D276" t="s">
        <v>54</v>
      </c>
      <c r="E276" t="s">
        <v>55</v>
      </c>
      <c r="F276" t="s">
        <v>30</v>
      </c>
      <c r="G276" t="s">
        <v>24</v>
      </c>
      <c r="H276" s="2">
        <v>1</v>
      </c>
      <c r="I276" t="s">
        <v>579</v>
      </c>
      <c r="K276">
        <v>13764096</v>
      </c>
      <c r="L276">
        <v>0</v>
      </c>
      <c r="M276">
        <v>0</v>
      </c>
      <c r="N276">
        <v>1514050.5600000001</v>
      </c>
      <c r="O276">
        <v>0</v>
      </c>
      <c r="P276">
        <v>0</v>
      </c>
      <c r="Q276">
        <v>0</v>
      </c>
      <c r="R276">
        <v>15278146.560000001</v>
      </c>
      <c r="S276">
        <v>-155904</v>
      </c>
      <c r="T276">
        <v>-1.1326860841424</v>
      </c>
      <c r="U276" t="str">
        <f t="shared" si="4"/>
        <v>Week 4</v>
      </c>
    </row>
    <row r="277" spans="1:21" x14ac:dyDescent="0.25">
      <c r="A277">
        <v>276</v>
      </c>
      <c r="B277" t="s">
        <v>580</v>
      </c>
      <c r="C277" s="1">
        <v>46080</v>
      </c>
      <c r="D277" t="s">
        <v>186</v>
      </c>
      <c r="E277" t="s">
        <v>117</v>
      </c>
      <c r="F277" t="s">
        <v>30</v>
      </c>
      <c r="G277" t="s">
        <v>24</v>
      </c>
      <c r="H277" s="2">
        <v>1</v>
      </c>
      <c r="I277" t="s">
        <v>581</v>
      </c>
      <c r="J277" t="s">
        <v>26</v>
      </c>
      <c r="K277">
        <v>539000</v>
      </c>
      <c r="L277">
        <v>0</v>
      </c>
      <c r="M277">
        <v>0</v>
      </c>
      <c r="N277">
        <v>59290</v>
      </c>
      <c r="O277">
        <v>0</v>
      </c>
      <c r="P277">
        <v>0</v>
      </c>
      <c r="Q277">
        <v>0</v>
      </c>
      <c r="R277">
        <v>598290</v>
      </c>
      <c r="S277">
        <v>5500</v>
      </c>
      <c r="T277">
        <v>0</v>
      </c>
      <c r="U277" t="str">
        <f t="shared" si="4"/>
        <v>Week 4</v>
      </c>
    </row>
    <row r="278" spans="1:21" x14ac:dyDescent="0.25">
      <c r="A278">
        <v>277</v>
      </c>
      <c r="B278" t="s">
        <v>582</v>
      </c>
      <c r="C278" s="1">
        <v>46080</v>
      </c>
      <c r="D278" t="s">
        <v>252</v>
      </c>
      <c r="E278" t="s">
        <v>100</v>
      </c>
      <c r="F278" t="s">
        <v>23</v>
      </c>
      <c r="G278" t="s">
        <v>24</v>
      </c>
      <c r="H278" s="2">
        <v>1</v>
      </c>
      <c r="I278" t="s">
        <v>583</v>
      </c>
      <c r="K278">
        <v>47513000</v>
      </c>
      <c r="L278">
        <v>0</v>
      </c>
      <c r="M278">
        <v>0</v>
      </c>
      <c r="N278">
        <v>5226430</v>
      </c>
      <c r="O278">
        <v>0</v>
      </c>
      <c r="P278">
        <v>0</v>
      </c>
      <c r="Q278">
        <v>0</v>
      </c>
      <c r="R278">
        <v>52739430</v>
      </c>
      <c r="S278">
        <v>18650840</v>
      </c>
      <c r="T278">
        <v>39.254183065687002</v>
      </c>
      <c r="U278" t="str">
        <f t="shared" si="4"/>
        <v>Week 4</v>
      </c>
    </row>
    <row r="279" spans="1:21" x14ac:dyDescent="0.25">
      <c r="A279">
        <v>278</v>
      </c>
      <c r="B279" t="s">
        <v>584</v>
      </c>
      <c r="C279" s="1">
        <v>46080</v>
      </c>
      <c r="D279" t="s">
        <v>21</v>
      </c>
      <c r="E279" t="s">
        <v>22</v>
      </c>
      <c r="F279" t="s">
        <v>30</v>
      </c>
      <c r="G279" t="s">
        <v>24</v>
      </c>
      <c r="H279" s="2">
        <v>1</v>
      </c>
      <c r="I279" t="s">
        <v>585</v>
      </c>
      <c r="J279" t="s">
        <v>26</v>
      </c>
      <c r="K279">
        <v>2311183</v>
      </c>
      <c r="L279">
        <v>0</v>
      </c>
      <c r="M279">
        <v>0</v>
      </c>
      <c r="N279">
        <v>254230.13</v>
      </c>
      <c r="O279">
        <v>0</v>
      </c>
      <c r="P279">
        <v>0</v>
      </c>
      <c r="Q279">
        <v>0</v>
      </c>
      <c r="R279">
        <v>2565413.13</v>
      </c>
      <c r="S279">
        <v>793333.45</v>
      </c>
      <c r="T279">
        <v>34.325860392708002</v>
      </c>
      <c r="U279" t="str">
        <f t="shared" si="4"/>
        <v>Week 4</v>
      </c>
    </row>
    <row r="280" spans="1:21" x14ac:dyDescent="0.25">
      <c r="A280">
        <v>279</v>
      </c>
      <c r="B280" t="s">
        <v>586</v>
      </c>
      <c r="C280" s="1">
        <v>46080</v>
      </c>
      <c r="D280" t="s">
        <v>54</v>
      </c>
      <c r="E280" t="s">
        <v>55</v>
      </c>
      <c r="F280" t="s">
        <v>30</v>
      </c>
      <c r="G280" t="s">
        <v>24</v>
      </c>
      <c r="H280" s="2">
        <v>1</v>
      </c>
      <c r="I280" t="s">
        <v>587</v>
      </c>
      <c r="K280">
        <v>539000000</v>
      </c>
      <c r="L280">
        <v>0</v>
      </c>
      <c r="M280">
        <v>0</v>
      </c>
      <c r="N280">
        <v>59290000</v>
      </c>
      <c r="O280">
        <v>0</v>
      </c>
      <c r="P280">
        <v>0</v>
      </c>
      <c r="Q280">
        <v>0</v>
      </c>
      <c r="R280">
        <v>598290000</v>
      </c>
      <c r="S280">
        <v>254000000</v>
      </c>
      <c r="T280">
        <v>0</v>
      </c>
      <c r="U280" t="str">
        <f t="shared" si="4"/>
        <v>Week 4</v>
      </c>
    </row>
    <row r="281" spans="1:21" x14ac:dyDescent="0.25">
      <c r="A281">
        <v>280</v>
      </c>
      <c r="B281" t="s">
        <v>588</v>
      </c>
      <c r="C281" s="1">
        <v>46080</v>
      </c>
      <c r="D281" t="s">
        <v>37</v>
      </c>
      <c r="E281" t="s">
        <v>38</v>
      </c>
      <c r="F281" t="s">
        <v>30</v>
      </c>
      <c r="G281" t="s">
        <v>24</v>
      </c>
      <c r="H281" s="2">
        <v>1</v>
      </c>
      <c r="I281" t="s">
        <v>589</v>
      </c>
      <c r="K281">
        <v>6494150</v>
      </c>
      <c r="L281">
        <v>0</v>
      </c>
      <c r="M281">
        <v>0</v>
      </c>
      <c r="N281">
        <v>714356.5</v>
      </c>
      <c r="O281">
        <v>0</v>
      </c>
      <c r="P281">
        <v>0</v>
      </c>
      <c r="Q281">
        <v>0</v>
      </c>
      <c r="R281">
        <v>7208506.5</v>
      </c>
      <c r="S281">
        <v>187844</v>
      </c>
      <c r="T281">
        <v>2.8925109521646002</v>
      </c>
      <c r="U281" t="str">
        <f t="shared" si="4"/>
        <v>Week 4</v>
      </c>
    </row>
    <row r="282" spans="1:21" x14ac:dyDescent="0.25">
      <c r="A282">
        <v>281</v>
      </c>
      <c r="B282" t="s">
        <v>590</v>
      </c>
      <c r="C282" s="1">
        <v>46080</v>
      </c>
      <c r="D282" t="s">
        <v>204</v>
      </c>
      <c r="E282" t="s">
        <v>205</v>
      </c>
      <c r="F282" t="s">
        <v>23</v>
      </c>
      <c r="G282" t="s">
        <v>24</v>
      </c>
      <c r="H282" s="2">
        <v>1</v>
      </c>
      <c r="I282" t="s">
        <v>591</v>
      </c>
      <c r="J282" t="s">
        <v>26</v>
      </c>
      <c r="K282">
        <v>1930000</v>
      </c>
      <c r="L282">
        <v>0</v>
      </c>
      <c r="M282">
        <v>0</v>
      </c>
      <c r="N282">
        <v>212300</v>
      </c>
      <c r="O282">
        <v>0</v>
      </c>
      <c r="P282">
        <v>0</v>
      </c>
      <c r="Q282">
        <v>0</v>
      </c>
      <c r="R282">
        <v>2142300</v>
      </c>
      <c r="S282">
        <v>641713</v>
      </c>
      <c r="T282">
        <v>33.249378238341997</v>
      </c>
      <c r="U282" t="str">
        <f t="shared" si="4"/>
        <v>Week 4</v>
      </c>
    </row>
    <row r="283" spans="1:21" x14ac:dyDescent="0.25">
      <c r="A283">
        <v>282</v>
      </c>
      <c r="B283" t="s">
        <v>592</v>
      </c>
      <c r="C283" s="1">
        <v>46079</v>
      </c>
      <c r="D283" t="s">
        <v>99</v>
      </c>
      <c r="E283" t="s">
        <v>100</v>
      </c>
      <c r="F283" t="s">
        <v>39</v>
      </c>
      <c r="G283" t="s">
        <v>24</v>
      </c>
      <c r="H283" s="2">
        <v>1</v>
      </c>
      <c r="I283" t="s">
        <v>593</v>
      </c>
      <c r="K283">
        <v>2894500</v>
      </c>
      <c r="L283">
        <v>0</v>
      </c>
      <c r="M283">
        <v>0</v>
      </c>
      <c r="N283">
        <v>318395</v>
      </c>
      <c r="O283">
        <v>0</v>
      </c>
      <c r="P283">
        <v>0</v>
      </c>
      <c r="Q283">
        <v>0</v>
      </c>
      <c r="R283">
        <v>3212895</v>
      </c>
      <c r="S283">
        <v>599275</v>
      </c>
      <c r="T283">
        <v>20.703921229919001</v>
      </c>
      <c r="U283" t="str">
        <f t="shared" si="4"/>
        <v>Week 4</v>
      </c>
    </row>
    <row r="284" spans="1:21" x14ac:dyDescent="0.25">
      <c r="A284">
        <v>283</v>
      </c>
      <c r="B284" t="s">
        <v>594</v>
      </c>
      <c r="C284" s="1">
        <v>46079</v>
      </c>
      <c r="D284" t="s">
        <v>37</v>
      </c>
      <c r="E284" t="s">
        <v>38</v>
      </c>
      <c r="F284" t="s">
        <v>30</v>
      </c>
      <c r="G284" t="s">
        <v>24</v>
      </c>
      <c r="H284" s="2">
        <v>1</v>
      </c>
      <c r="I284" t="s">
        <v>281</v>
      </c>
      <c r="K284">
        <v>5332843.8</v>
      </c>
      <c r="L284">
        <v>0</v>
      </c>
      <c r="M284">
        <v>0</v>
      </c>
      <c r="N284">
        <v>586612.81799999997</v>
      </c>
      <c r="O284">
        <v>0</v>
      </c>
      <c r="P284">
        <v>0</v>
      </c>
      <c r="Q284">
        <v>0</v>
      </c>
      <c r="R284">
        <v>5919456.6179999998</v>
      </c>
      <c r="S284">
        <v>1264945.3135142999</v>
      </c>
      <c r="T284">
        <v>23.719901818882001</v>
      </c>
      <c r="U284" t="str">
        <f t="shared" si="4"/>
        <v>Week 4</v>
      </c>
    </row>
    <row r="285" spans="1:21" x14ac:dyDescent="0.25">
      <c r="C285" s="1"/>
      <c r="H285" s="2"/>
    </row>
    <row r="286" spans="1:21" x14ac:dyDescent="0.25">
      <c r="A286">
        <v>285</v>
      </c>
      <c r="B286" t="s">
        <v>595</v>
      </c>
      <c r="C286" s="1">
        <v>46079</v>
      </c>
      <c r="D286" t="s">
        <v>54</v>
      </c>
      <c r="E286" t="s">
        <v>55</v>
      </c>
      <c r="F286" t="s">
        <v>30</v>
      </c>
      <c r="G286" t="s">
        <v>24</v>
      </c>
      <c r="H286" s="2">
        <v>1</v>
      </c>
      <c r="I286" t="s">
        <v>596</v>
      </c>
      <c r="K286">
        <v>224025000</v>
      </c>
      <c r="L286">
        <v>0</v>
      </c>
      <c r="M286">
        <v>0</v>
      </c>
      <c r="N286">
        <v>24642750</v>
      </c>
      <c r="O286">
        <v>0</v>
      </c>
      <c r="P286">
        <v>0</v>
      </c>
      <c r="Q286">
        <v>0</v>
      </c>
      <c r="R286">
        <v>248667750</v>
      </c>
      <c r="S286">
        <v>19025000</v>
      </c>
      <c r="T286">
        <v>8.4923557638656</v>
      </c>
      <c r="U286" t="str">
        <f t="shared" si="4"/>
        <v>Week 4</v>
      </c>
    </row>
    <row r="287" spans="1:21" x14ac:dyDescent="0.25">
      <c r="A287">
        <v>286</v>
      </c>
      <c r="B287" t="s">
        <v>597</v>
      </c>
      <c r="C287" s="1">
        <v>46079</v>
      </c>
      <c r="D287" t="s">
        <v>21</v>
      </c>
      <c r="E287" t="s">
        <v>22</v>
      </c>
      <c r="F287" t="s">
        <v>30</v>
      </c>
      <c r="G287" t="s">
        <v>24</v>
      </c>
      <c r="H287" s="2">
        <v>1</v>
      </c>
      <c r="I287" t="s">
        <v>598</v>
      </c>
      <c r="J287" t="s">
        <v>373</v>
      </c>
      <c r="K287">
        <v>3457016512</v>
      </c>
      <c r="L287">
        <v>0</v>
      </c>
      <c r="M287">
        <v>0</v>
      </c>
      <c r="N287">
        <v>380271816.31999999</v>
      </c>
      <c r="O287">
        <v>0</v>
      </c>
      <c r="P287">
        <v>0</v>
      </c>
      <c r="Q287">
        <v>0</v>
      </c>
      <c r="R287">
        <v>3837288328.3200002</v>
      </c>
      <c r="S287">
        <v>100689412.7</v>
      </c>
      <c r="T287">
        <v>2.9126101177269001</v>
      </c>
      <c r="U287" t="str">
        <f t="shared" si="4"/>
        <v>Week 4</v>
      </c>
    </row>
    <row r="288" spans="1:21" x14ac:dyDescent="0.25">
      <c r="A288">
        <v>287</v>
      </c>
      <c r="B288" t="s">
        <v>599</v>
      </c>
      <c r="C288" s="1">
        <v>46079</v>
      </c>
      <c r="D288" t="s">
        <v>37</v>
      </c>
      <c r="E288" t="s">
        <v>38</v>
      </c>
      <c r="F288" t="s">
        <v>30</v>
      </c>
      <c r="G288" t="s">
        <v>24</v>
      </c>
      <c r="H288" s="2">
        <v>1</v>
      </c>
      <c r="I288" t="s">
        <v>600</v>
      </c>
      <c r="K288">
        <v>3234000</v>
      </c>
      <c r="L288">
        <v>0</v>
      </c>
      <c r="M288">
        <v>0</v>
      </c>
      <c r="N288">
        <v>355740</v>
      </c>
      <c r="O288">
        <v>0</v>
      </c>
      <c r="P288">
        <v>0</v>
      </c>
      <c r="Q288">
        <v>0</v>
      </c>
      <c r="R288">
        <v>3589740</v>
      </c>
      <c r="S288">
        <v>33000</v>
      </c>
      <c r="T288">
        <v>1.0204081632652999</v>
      </c>
      <c r="U288" t="str">
        <f t="shared" si="4"/>
        <v>Week 4</v>
      </c>
    </row>
    <row r="289" spans="1:21" x14ac:dyDescent="0.25">
      <c r="A289">
        <v>288</v>
      </c>
      <c r="B289" t="s">
        <v>601</v>
      </c>
      <c r="C289" s="1">
        <v>46079</v>
      </c>
      <c r="D289" t="s">
        <v>204</v>
      </c>
      <c r="E289" t="s">
        <v>205</v>
      </c>
      <c r="F289" t="s">
        <v>23</v>
      </c>
      <c r="G289" t="s">
        <v>24</v>
      </c>
      <c r="H289" s="2">
        <v>1</v>
      </c>
      <c r="I289" t="s">
        <v>602</v>
      </c>
      <c r="J289" t="s">
        <v>26</v>
      </c>
      <c r="K289">
        <v>10385996.08</v>
      </c>
      <c r="L289">
        <v>0</v>
      </c>
      <c r="M289">
        <v>0</v>
      </c>
      <c r="N289">
        <v>1142459.5688</v>
      </c>
      <c r="O289">
        <v>0</v>
      </c>
      <c r="P289">
        <v>0</v>
      </c>
      <c r="Q289">
        <v>0</v>
      </c>
      <c r="R289">
        <v>11528455.648800001</v>
      </c>
      <c r="S289">
        <v>4755496.08</v>
      </c>
      <c r="T289">
        <v>45.787578229087998</v>
      </c>
      <c r="U289" t="str">
        <f t="shared" si="4"/>
        <v>Week 4</v>
      </c>
    </row>
    <row r="290" spans="1:21" x14ac:dyDescent="0.25">
      <c r="A290">
        <v>289</v>
      </c>
      <c r="B290" t="s">
        <v>603</v>
      </c>
      <c r="C290" s="1">
        <v>46079</v>
      </c>
      <c r="D290" t="s">
        <v>33</v>
      </c>
      <c r="E290" t="s">
        <v>38</v>
      </c>
      <c r="F290" t="s">
        <v>30</v>
      </c>
      <c r="G290" t="s">
        <v>24</v>
      </c>
      <c r="H290" s="2">
        <v>1</v>
      </c>
      <c r="I290" t="s">
        <v>604</v>
      </c>
      <c r="K290">
        <v>33305742</v>
      </c>
      <c r="L290">
        <v>0</v>
      </c>
      <c r="M290">
        <v>0</v>
      </c>
      <c r="N290">
        <v>3663631.62</v>
      </c>
      <c r="O290">
        <v>0</v>
      </c>
      <c r="P290">
        <v>0</v>
      </c>
      <c r="Q290">
        <v>0</v>
      </c>
      <c r="R290">
        <v>36969373.619999997</v>
      </c>
      <c r="S290">
        <v>14837848</v>
      </c>
      <c r="T290">
        <v>44.550420164786999</v>
      </c>
      <c r="U290" t="str">
        <f t="shared" si="4"/>
        <v>Week 4</v>
      </c>
    </row>
    <row r="291" spans="1:21" x14ac:dyDescent="0.25">
      <c r="A291">
        <v>290</v>
      </c>
      <c r="B291" t="s">
        <v>605</v>
      </c>
      <c r="C291" s="1">
        <v>46079</v>
      </c>
      <c r="D291" t="s">
        <v>33</v>
      </c>
      <c r="E291" t="s">
        <v>34</v>
      </c>
      <c r="F291" t="s">
        <v>30</v>
      </c>
      <c r="G291" t="s">
        <v>24</v>
      </c>
      <c r="H291" s="2">
        <v>1</v>
      </c>
      <c r="I291" t="s">
        <v>606</v>
      </c>
      <c r="K291">
        <v>16066979</v>
      </c>
      <c r="L291">
        <v>0</v>
      </c>
      <c r="M291">
        <v>0</v>
      </c>
      <c r="N291">
        <v>1767367.69</v>
      </c>
      <c r="O291">
        <v>0</v>
      </c>
      <c r="P291">
        <v>0</v>
      </c>
      <c r="Q291">
        <v>0</v>
      </c>
      <c r="R291">
        <v>17834346.690000001</v>
      </c>
      <c r="S291">
        <v>-353021</v>
      </c>
      <c r="T291">
        <v>-2.1971834281976999</v>
      </c>
      <c r="U291" t="str">
        <f t="shared" si="4"/>
        <v>Week 4</v>
      </c>
    </row>
    <row r="292" spans="1:21" x14ac:dyDescent="0.25">
      <c r="A292">
        <v>291</v>
      </c>
      <c r="B292" t="s">
        <v>607</v>
      </c>
      <c r="C292" s="1">
        <v>46079</v>
      </c>
      <c r="D292" t="s">
        <v>54</v>
      </c>
      <c r="E292" t="s">
        <v>55</v>
      </c>
      <c r="F292" t="s">
        <v>30</v>
      </c>
      <c r="G292" t="s">
        <v>24</v>
      </c>
      <c r="H292" s="2">
        <v>1</v>
      </c>
      <c r="I292" t="s">
        <v>608</v>
      </c>
      <c r="K292">
        <v>10876800</v>
      </c>
      <c r="L292">
        <v>0</v>
      </c>
      <c r="M292">
        <v>0</v>
      </c>
      <c r="N292">
        <v>1196448</v>
      </c>
      <c r="O292">
        <v>0</v>
      </c>
      <c r="P292">
        <v>0</v>
      </c>
      <c r="Q292">
        <v>0</v>
      </c>
      <c r="R292">
        <v>12073248</v>
      </c>
      <c r="S292">
        <v>-986533.32</v>
      </c>
      <c r="T292">
        <v>-9.0700695057370009</v>
      </c>
      <c r="U292" t="str">
        <f t="shared" si="4"/>
        <v>Week 4</v>
      </c>
    </row>
    <row r="293" spans="1:21" x14ac:dyDescent="0.25">
      <c r="A293">
        <v>292</v>
      </c>
      <c r="B293" t="s">
        <v>609</v>
      </c>
      <c r="C293" s="1">
        <v>46079</v>
      </c>
      <c r="D293" t="s">
        <v>99</v>
      </c>
      <c r="E293" t="s">
        <v>100</v>
      </c>
      <c r="F293" t="s">
        <v>23</v>
      </c>
      <c r="G293" t="s">
        <v>24</v>
      </c>
      <c r="H293" s="2">
        <v>1</v>
      </c>
      <c r="I293" t="s">
        <v>610</v>
      </c>
      <c r="K293">
        <v>152464000</v>
      </c>
      <c r="L293">
        <v>0</v>
      </c>
      <c r="M293">
        <v>0</v>
      </c>
      <c r="N293">
        <v>16771040</v>
      </c>
      <c r="O293">
        <v>0</v>
      </c>
      <c r="P293">
        <v>0</v>
      </c>
      <c r="Q293">
        <v>0</v>
      </c>
      <c r="R293">
        <v>169235040</v>
      </c>
      <c r="S293">
        <v>34741600</v>
      </c>
      <c r="T293">
        <v>22.786756217861001</v>
      </c>
      <c r="U293" t="str">
        <f t="shared" si="4"/>
        <v>Week 4</v>
      </c>
    </row>
    <row r="294" spans="1:21" x14ac:dyDescent="0.25">
      <c r="A294">
        <v>293</v>
      </c>
      <c r="B294" t="s">
        <v>611</v>
      </c>
      <c r="C294" s="1">
        <v>46079</v>
      </c>
      <c r="D294" t="s">
        <v>21</v>
      </c>
      <c r="E294" t="s">
        <v>22</v>
      </c>
      <c r="F294" t="s">
        <v>30</v>
      </c>
      <c r="G294" t="s">
        <v>24</v>
      </c>
      <c r="H294" s="2">
        <v>1</v>
      </c>
      <c r="I294" t="s">
        <v>612</v>
      </c>
      <c r="J294" t="s">
        <v>26</v>
      </c>
      <c r="K294">
        <v>20580000</v>
      </c>
      <c r="L294">
        <v>0</v>
      </c>
      <c r="M294">
        <v>0</v>
      </c>
      <c r="N294">
        <v>2263800</v>
      </c>
      <c r="O294">
        <v>0</v>
      </c>
      <c r="P294">
        <v>0</v>
      </c>
      <c r="Q294">
        <v>0</v>
      </c>
      <c r="R294">
        <v>22843800</v>
      </c>
      <c r="S294">
        <v>2080000</v>
      </c>
      <c r="T294">
        <v>10.106899902818</v>
      </c>
      <c r="U294" t="str">
        <f t="shared" si="4"/>
        <v>Week 4</v>
      </c>
    </row>
    <row r="295" spans="1:21" x14ac:dyDescent="0.25">
      <c r="A295">
        <v>294</v>
      </c>
      <c r="B295" t="s">
        <v>613</v>
      </c>
      <c r="C295" s="1">
        <v>46079</v>
      </c>
      <c r="D295" t="s">
        <v>54</v>
      </c>
      <c r="E295" t="s">
        <v>55</v>
      </c>
      <c r="F295" t="s">
        <v>30</v>
      </c>
      <c r="G295" t="s">
        <v>24</v>
      </c>
      <c r="H295" s="2">
        <v>1</v>
      </c>
      <c r="I295" t="s">
        <v>614</v>
      </c>
      <c r="K295">
        <v>33990000</v>
      </c>
      <c r="L295">
        <v>0</v>
      </c>
      <c r="M295">
        <v>0</v>
      </c>
      <c r="N295">
        <v>3738900</v>
      </c>
      <c r="O295">
        <v>0</v>
      </c>
      <c r="P295">
        <v>0</v>
      </c>
      <c r="Q295">
        <v>0</v>
      </c>
      <c r="R295">
        <v>37728900</v>
      </c>
      <c r="S295">
        <v>5190000</v>
      </c>
      <c r="T295">
        <v>15.269196822594999</v>
      </c>
      <c r="U295" t="str">
        <f t="shared" si="4"/>
        <v>Week 4</v>
      </c>
    </row>
    <row r="296" spans="1:21" x14ac:dyDescent="0.25">
      <c r="A296">
        <v>295</v>
      </c>
      <c r="B296" t="s">
        <v>615</v>
      </c>
      <c r="C296" s="1">
        <v>46079</v>
      </c>
      <c r="D296" t="s">
        <v>33</v>
      </c>
      <c r="E296" t="s">
        <v>34</v>
      </c>
      <c r="F296" t="s">
        <v>30</v>
      </c>
      <c r="G296" t="s">
        <v>24</v>
      </c>
      <c r="H296" s="2">
        <v>1</v>
      </c>
      <c r="I296" t="s">
        <v>616</v>
      </c>
      <c r="K296">
        <v>18420381</v>
      </c>
      <c r="L296">
        <v>0</v>
      </c>
      <c r="M296">
        <v>0</v>
      </c>
      <c r="N296">
        <v>2026241.91</v>
      </c>
      <c r="O296">
        <v>0</v>
      </c>
      <c r="P296">
        <v>0</v>
      </c>
      <c r="Q296">
        <v>0</v>
      </c>
      <c r="R296">
        <v>20446622.91</v>
      </c>
      <c r="S296">
        <v>5324227.0464864997</v>
      </c>
      <c r="T296">
        <v>28.904000663647999</v>
      </c>
      <c r="U296" t="str">
        <f t="shared" si="4"/>
        <v>Week 4</v>
      </c>
    </row>
    <row r="297" spans="1:21" x14ac:dyDescent="0.25">
      <c r="A297">
        <v>296</v>
      </c>
      <c r="B297" t="s">
        <v>617</v>
      </c>
      <c r="C297" s="1">
        <v>46079</v>
      </c>
      <c r="D297" t="s">
        <v>113</v>
      </c>
      <c r="E297" t="s">
        <v>38</v>
      </c>
      <c r="F297" t="s">
        <v>30</v>
      </c>
      <c r="G297" t="s">
        <v>24</v>
      </c>
      <c r="H297" s="2">
        <v>1</v>
      </c>
      <c r="I297" t="s">
        <v>618</v>
      </c>
      <c r="K297">
        <v>11916800</v>
      </c>
      <c r="L297">
        <v>0</v>
      </c>
      <c r="M297">
        <v>0</v>
      </c>
      <c r="N297">
        <v>1310848</v>
      </c>
      <c r="O297">
        <v>0</v>
      </c>
      <c r="P297">
        <v>0</v>
      </c>
      <c r="Q297">
        <v>0</v>
      </c>
      <c r="R297">
        <v>13227648</v>
      </c>
      <c r="S297">
        <v>9692708</v>
      </c>
      <c r="T297">
        <v>81.336499731472003</v>
      </c>
      <c r="U297" t="str">
        <f t="shared" si="4"/>
        <v>Week 4</v>
      </c>
    </row>
    <row r="298" spans="1:21" x14ac:dyDescent="0.25">
      <c r="A298">
        <v>297</v>
      </c>
      <c r="B298" t="s">
        <v>619</v>
      </c>
      <c r="C298" s="1">
        <v>46079</v>
      </c>
      <c r="D298" t="s">
        <v>99</v>
      </c>
      <c r="E298" t="s">
        <v>100</v>
      </c>
      <c r="F298" t="s">
        <v>30</v>
      </c>
      <c r="G298" t="s">
        <v>24</v>
      </c>
      <c r="H298" s="2">
        <v>1</v>
      </c>
      <c r="I298" t="s">
        <v>620</v>
      </c>
      <c r="K298">
        <v>76053288</v>
      </c>
      <c r="L298">
        <v>0</v>
      </c>
      <c r="M298">
        <v>0</v>
      </c>
      <c r="N298">
        <v>8365861.6799999997</v>
      </c>
      <c r="O298">
        <v>0</v>
      </c>
      <c r="P298">
        <v>0</v>
      </c>
      <c r="Q298">
        <v>0</v>
      </c>
      <c r="R298">
        <v>84419149.680000007</v>
      </c>
      <c r="S298">
        <v>22996480.855877999</v>
      </c>
      <c r="T298">
        <v>30.237326301892001</v>
      </c>
      <c r="U298" t="str">
        <f t="shared" si="4"/>
        <v>Week 4</v>
      </c>
    </row>
    <row r="299" spans="1:21" x14ac:dyDescent="0.25">
      <c r="A299">
        <v>298</v>
      </c>
      <c r="B299" t="s">
        <v>621</v>
      </c>
      <c r="C299" s="1">
        <v>46079</v>
      </c>
      <c r="D299" t="s">
        <v>171</v>
      </c>
      <c r="E299" t="s">
        <v>100</v>
      </c>
      <c r="F299" t="s">
        <v>23</v>
      </c>
      <c r="G299" t="s">
        <v>24</v>
      </c>
      <c r="H299" s="2">
        <v>1</v>
      </c>
      <c r="I299" t="s">
        <v>622</v>
      </c>
      <c r="K299">
        <v>274336000</v>
      </c>
      <c r="L299">
        <v>0</v>
      </c>
      <c r="M299">
        <v>0</v>
      </c>
      <c r="N299">
        <v>30176960</v>
      </c>
      <c r="O299">
        <v>0</v>
      </c>
      <c r="P299">
        <v>0</v>
      </c>
      <c r="Q299">
        <v>0</v>
      </c>
      <c r="R299">
        <v>304512960</v>
      </c>
      <c r="S299">
        <v>58324000</v>
      </c>
      <c r="T299">
        <v>21.260060655545999</v>
      </c>
      <c r="U299" t="str">
        <f t="shared" si="4"/>
        <v>Week 4</v>
      </c>
    </row>
    <row r="300" spans="1:21" x14ac:dyDescent="0.25">
      <c r="A300">
        <v>299</v>
      </c>
      <c r="B300" t="s">
        <v>623</v>
      </c>
      <c r="C300" s="1">
        <v>46079</v>
      </c>
      <c r="D300" t="s">
        <v>54</v>
      </c>
      <c r="E300" t="s">
        <v>55</v>
      </c>
      <c r="F300" t="s">
        <v>30</v>
      </c>
      <c r="G300" t="s">
        <v>24</v>
      </c>
      <c r="H300" s="2">
        <v>1</v>
      </c>
      <c r="I300" t="s">
        <v>624</v>
      </c>
      <c r="K300">
        <v>1794200</v>
      </c>
      <c r="L300">
        <v>0</v>
      </c>
      <c r="M300">
        <v>0</v>
      </c>
      <c r="N300">
        <v>197362</v>
      </c>
      <c r="O300">
        <v>0</v>
      </c>
      <c r="P300">
        <v>0</v>
      </c>
      <c r="Q300">
        <v>0</v>
      </c>
      <c r="R300">
        <v>1991562</v>
      </c>
      <c r="S300">
        <v>237200</v>
      </c>
      <c r="T300">
        <v>13.220376769591001</v>
      </c>
      <c r="U300" t="str">
        <f t="shared" si="4"/>
        <v>Week 4</v>
      </c>
    </row>
    <row r="301" spans="1:21" x14ac:dyDescent="0.25">
      <c r="A301">
        <v>300</v>
      </c>
      <c r="B301" t="s">
        <v>625</v>
      </c>
      <c r="C301" s="1">
        <v>46079</v>
      </c>
      <c r="D301" t="s">
        <v>21</v>
      </c>
      <c r="E301" t="s">
        <v>22</v>
      </c>
      <c r="F301" t="s">
        <v>30</v>
      </c>
      <c r="G301" t="s">
        <v>24</v>
      </c>
      <c r="H301" s="2">
        <v>1</v>
      </c>
      <c r="I301" t="s">
        <v>626</v>
      </c>
      <c r="J301" t="s">
        <v>26</v>
      </c>
      <c r="K301">
        <v>9561060</v>
      </c>
      <c r="L301">
        <v>0</v>
      </c>
      <c r="M301">
        <v>0</v>
      </c>
      <c r="N301">
        <v>1051716.6000000001</v>
      </c>
      <c r="O301">
        <v>0</v>
      </c>
      <c r="P301">
        <v>0</v>
      </c>
      <c r="Q301">
        <v>0</v>
      </c>
      <c r="R301">
        <v>10612776.6</v>
      </c>
      <c r="S301">
        <v>531153</v>
      </c>
      <c r="T301">
        <v>5.5553777510025002</v>
      </c>
      <c r="U301" t="str">
        <f t="shared" si="4"/>
        <v>Week 4</v>
      </c>
    </row>
    <row r="302" spans="1:21" x14ac:dyDescent="0.25">
      <c r="A302">
        <v>301</v>
      </c>
      <c r="B302" t="s">
        <v>627</v>
      </c>
      <c r="C302" s="1">
        <v>46079</v>
      </c>
      <c r="D302" t="s">
        <v>21</v>
      </c>
      <c r="E302" t="s">
        <v>22</v>
      </c>
      <c r="F302" t="s">
        <v>30</v>
      </c>
      <c r="G302" t="s">
        <v>24</v>
      </c>
      <c r="H302" s="2">
        <v>1</v>
      </c>
      <c r="I302" t="s">
        <v>628</v>
      </c>
      <c r="J302" t="s">
        <v>26</v>
      </c>
      <c r="K302">
        <v>22579852</v>
      </c>
      <c r="L302">
        <v>0</v>
      </c>
      <c r="M302">
        <v>0</v>
      </c>
      <c r="N302">
        <v>2483783.7200000002</v>
      </c>
      <c r="O302">
        <v>0</v>
      </c>
      <c r="P302">
        <v>0</v>
      </c>
      <c r="Q302">
        <v>0</v>
      </c>
      <c r="R302">
        <v>25063635.719999999</v>
      </c>
      <c r="S302">
        <v>590899.38</v>
      </c>
      <c r="T302">
        <v>2.6169320330354999</v>
      </c>
      <c r="U302" t="str">
        <f t="shared" si="4"/>
        <v>Week 4</v>
      </c>
    </row>
    <row r="303" spans="1:21" x14ac:dyDescent="0.25">
      <c r="A303">
        <v>302</v>
      </c>
      <c r="B303" t="s">
        <v>629</v>
      </c>
      <c r="C303" s="1">
        <v>46079</v>
      </c>
      <c r="D303" t="s">
        <v>113</v>
      </c>
      <c r="E303" t="s">
        <v>38</v>
      </c>
      <c r="F303" t="s">
        <v>30</v>
      </c>
      <c r="G303" t="s">
        <v>24</v>
      </c>
      <c r="H303" s="2">
        <v>1</v>
      </c>
      <c r="I303" t="s">
        <v>423</v>
      </c>
      <c r="K303">
        <v>158105</v>
      </c>
      <c r="L303">
        <v>0</v>
      </c>
      <c r="M303">
        <v>0</v>
      </c>
      <c r="N303">
        <v>17391.55</v>
      </c>
      <c r="O303">
        <v>0</v>
      </c>
      <c r="P303">
        <v>0</v>
      </c>
      <c r="Q303">
        <v>0</v>
      </c>
      <c r="R303">
        <v>175496.55</v>
      </c>
      <c r="S303">
        <v>11736.85</v>
      </c>
      <c r="T303">
        <v>7.4234527687296001</v>
      </c>
      <c r="U303" t="str">
        <f t="shared" si="4"/>
        <v>Week 4</v>
      </c>
    </row>
    <row r="304" spans="1:21" x14ac:dyDescent="0.25">
      <c r="A304">
        <v>303</v>
      </c>
      <c r="B304" t="s">
        <v>630</v>
      </c>
      <c r="C304" s="1">
        <v>46079</v>
      </c>
      <c r="D304" t="s">
        <v>113</v>
      </c>
      <c r="E304" t="s">
        <v>38</v>
      </c>
      <c r="F304" t="s">
        <v>30</v>
      </c>
      <c r="G304" t="s">
        <v>24</v>
      </c>
      <c r="H304" s="2">
        <v>1</v>
      </c>
      <c r="I304" t="s">
        <v>631</v>
      </c>
      <c r="K304">
        <v>1568000</v>
      </c>
      <c r="L304">
        <v>0</v>
      </c>
      <c r="M304">
        <v>0</v>
      </c>
      <c r="N304">
        <v>172480</v>
      </c>
      <c r="O304">
        <v>0</v>
      </c>
      <c r="P304">
        <v>0</v>
      </c>
      <c r="Q304">
        <v>0</v>
      </c>
      <c r="R304">
        <v>1740480</v>
      </c>
      <c r="S304">
        <v>1074000</v>
      </c>
      <c r="T304">
        <v>68.494897959184001</v>
      </c>
      <c r="U304" t="str">
        <f t="shared" si="4"/>
        <v>Week 4</v>
      </c>
    </row>
    <row r="305" spans="1:21" x14ac:dyDescent="0.25">
      <c r="A305">
        <v>304</v>
      </c>
      <c r="B305" t="s">
        <v>632</v>
      </c>
      <c r="C305" s="1">
        <v>46079</v>
      </c>
      <c r="D305" t="s">
        <v>356</v>
      </c>
      <c r="E305" t="s">
        <v>29</v>
      </c>
      <c r="F305" t="s">
        <v>30</v>
      </c>
      <c r="G305" t="s">
        <v>24</v>
      </c>
      <c r="H305" s="2">
        <v>1</v>
      </c>
      <c r="I305" t="s">
        <v>200</v>
      </c>
      <c r="K305">
        <v>1225000</v>
      </c>
      <c r="L305">
        <v>0</v>
      </c>
      <c r="M305">
        <v>0</v>
      </c>
      <c r="N305">
        <v>134750</v>
      </c>
      <c r="O305">
        <v>0</v>
      </c>
      <c r="P305">
        <v>0</v>
      </c>
      <c r="Q305">
        <v>0</v>
      </c>
      <c r="R305">
        <v>1359750</v>
      </c>
      <c r="S305">
        <v>1225000</v>
      </c>
      <c r="T305">
        <v>0</v>
      </c>
      <c r="U305" t="str">
        <f t="shared" si="4"/>
        <v>Week 4</v>
      </c>
    </row>
    <row r="306" spans="1:21" x14ac:dyDescent="0.25">
      <c r="A306">
        <v>305</v>
      </c>
      <c r="B306" t="s">
        <v>633</v>
      </c>
      <c r="C306" s="1">
        <v>46079</v>
      </c>
      <c r="D306" t="s">
        <v>54</v>
      </c>
      <c r="E306" t="s">
        <v>55</v>
      </c>
      <c r="F306" t="s">
        <v>30</v>
      </c>
      <c r="G306" t="s">
        <v>24</v>
      </c>
      <c r="H306" s="2">
        <v>1</v>
      </c>
      <c r="I306" t="s">
        <v>634</v>
      </c>
      <c r="K306">
        <v>43015875</v>
      </c>
      <c r="L306">
        <v>0</v>
      </c>
      <c r="M306">
        <v>0</v>
      </c>
      <c r="N306">
        <v>4731746.25</v>
      </c>
      <c r="O306">
        <v>0</v>
      </c>
      <c r="P306">
        <v>0</v>
      </c>
      <c r="Q306">
        <v>0</v>
      </c>
      <c r="R306">
        <v>47747621.25</v>
      </c>
      <c r="S306">
        <v>10981953.678679001</v>
      </c>
      <c r="T306">
        <v>25.530001839271002</v>
      </c>
      <c r="U306" t="str">
        <f t="shared" si="4"/>
        <v>Week 4</v>
      </c>
    </row>
    <row r="307" spans="1:21" x14ac:dyDescent="0.25">
      <c r="A307">
        <v>306</v>
      </c>
      <c r="B307" t="s">
        <v>635</v>
      </c>
      <c r="C307" s="1">
        <v>46079</v>
      </c>
      <c r="D307" t="s">
        <v>33</v>
      </c>
      <c r="E307" t="s">
        <v>34</v>
      </c>
      <c r="F307" t="s">
        <v>23</v>
      </c>
      <c r="G307" t="s">
        <v>24</v>
      </c>
      <c r="H307" s="2">
        <v>1</v>
      </c>
      <c r="I307" t="s">
        <v>636</v>
      </c>
      <c r="K307">
        <v>283678813.25</v>
      </c>
      <c r="L307">
        <v>0</v>
      </c>
      <c r="M307">
        <v>0</v>
      </c>
      <c r="N307">
        <v>31204669.4575</v>
      </c>
      <c r="O307">
        <v>0</v>
      </c>
      <c r="P307">
        <v>0</v>
      </c>
      <c r="Q307">
        <v>0</v>
      </c>
      <c r="R307">
        <v>314883482.70749998</v>
      </c>
      <c r="S307">
        <v>83192759.195945993</v>
      </c>
      <c r="T307">
        <v>29.326391436441</v>
      </c>
      <c r="U307" t="str">
        <f t="shared" si="4"/>
        <v>Week 4</v>
      </c>
    </row>
    <row r="308" spans="1:21" x14ac:dyDescent="0.25">
      <c r="A308">
        <v>307</v>
      </c>
      <c r="B308" t="s">
        <v>637</v>
      </c>
      <c r="C308" s="1">
        <v>46079</v>
      </c>
      <c r="D308" t="s">
        <v>37</v>
      </c>
      <c r="E308" t="s">
        <v>38</v>
      </c>
      <c r="F308" t="s">
        <v>23</v>
      </c>
      <c r="G308" t="s">
        <v>24</v>
      </c>
      <c r="H308" s="2">
        <v>1</v>
      </c>
      <c r="I308" t="s">
        <v>638</v>
      </c>
      <c r="J308" t="s">
        <v>26</v>
      </c>
      <c r="K308">
        <v>4990000</v>
      </c>
      <c r="L308">
        <v>0</v>
      </c>
      <c r="M308">
        <v>0</v>
      </c>
      <c r="N308">
        <v>548900</v>
      </c>
      <c r="O308">
        <v>0</v>
      </c>
      <c r="P308">
        <v>0</v>
      </c>
      <c r="Q308">
        <v>0</v>
      </c>
      <c r="R308">
        <v>5538900</v>
      </c>
      <c r="S308">
        <v>952432.4</v>
      </c>
      <c r="T308">
        <v>19.086821643286999</v>
      </c>
      <c r="U308" t="str">
        <f t="shared" si="4"/>
        <v>Week 4</v>
      </c>
    </row>
    <row r="309" spans="1:21" x14ac:dyDescent="0.25">
      <c r="A309">
        <v>308</v>
      </c>
      <c r="B309" t="s">
        <v>639</v>
      </c>
      <c r="C309" s="1">
        <v>46079</v>
      </c>
      <c r="D309" t="s">
        <v>204</v>
      </c>
      <c r="E309" t="s">
        <v>205</v>
      </c>
      <c r="F309" t="s">
        <v>23</v>
      </c>
      <c r="G309" t="s">
        <v>24</v>
      </c>
      <c r="H309" s="2">
        <v>1</v>
      </c>
      <c r="I309" t="s">
        <v>488</v>
      </c>
      <c r="J309" t="s">
        <v>26</v>
      </c>
      <c r="K309">
        <v>5175000</v>
      </c>
      <c r="L309">
        <v>0</v>
      </c>
      <c r="M309">
        <v>0</v>
      </c>
      <c r="N309">
        <v>569250</v>
      </c>
      <c r="O309">
        <v>0</v>
      </c>
      <c r="P309">
        <v>0</v>
      </c>
      <c r="Q309">
        <v>0</v>
      </c>
      <c r="R309">
        <v>5744250</v>
      </c>
      <c r="S309">
        <v>1035000</v>
      </c>
      <c r="T309">
        <v>20</v>
      </c>
      <c r="U309" t="str">
        <f t="shared" si="4"/>
        <v>Week 4</v>
      </c>
    </row>
    <row r="310" spans="1:21" x14ac:dyDescent="0.25">
      <c r="A310">
        <v>309</v>
      </c>
      <c r="B310" t="s">
        <v>640</v>
      </c>
      <c r="C310" s="1">
        <v>46079</v>
      </c>
      <c r="D310" t="s">
        <v>54</v>
      </c>
      <c r="E310" t="s">
        <v>55</v>
      </c>
      <c r="F310" t="s">
        <v>30</v>
      </c>
      <c r="G310" t="s">
        <v>24</v>
      </c>
      <c r="H310" s="2">
        <v>1</v>
      </c>
      <c r="I310" t="s">
        <v>641</v>
      </c>
      <c r="K310">
        <v>6139700</v>
      </c>
      <c r="L310">
        <v>0</v>
      </c>
      <c r="M310">
        <v>0</v>
      </c>
      <c r="N310">
        <v>675367</v>
      </c>
      <c r="O310">
        <v>0</v>
      </c>
      <c r="P310">
        <v>0</v>
      </c>
      <c r="Q310">
        <v>0</v>
      </c>
      <c r="R310">
        <v>6815067</v>
      </c>
      <c r="S310">
        <v>970374.32432431995</v>
      </c>
      <c r="T310">
        <v>15.804914317056999</v>
      </c>
      <c r="U310" t="str">
        <f t="shared" si="4"/>
        <v>Week 4</v>
      </c>
    </row>
    <row r="311" spans="1:21" x14ac:dyDescent="0.25">
      <c r="A311">
        <v>310</v>
      </c>
      <c r="B311" t="s">
        <v>642</v>
      </c>
      <c r="C311" s="1">
        <v>46079</v>
      </c>
      <c r="D311" t="s">
        <v>54</v>
      </c>
      <c r="E311" t="s">
        <v>55</v>
      </c>
      <c r="F311" t="s">
        <v>30</v>
      </c>
      <c r="G311" t="s">
        <v>24</v>
      </c>
      <c r="H311" s="2">
        <v>1</v>
      </c>
      <c r="I311" t="s">
        <v>643</v>
      </c>
      <c r="K311">
        <v>49440000</v>
      </c>
      <c r="L311">
        <v>0</v>
      </c>
      <c r="M311">
        <v>0</v>
      </c>
      <c r="N311">
        <v>5438400</v>
      </c>
      <c r="O311">
        <v>0</v>
      </c>
      <c r="P311">
        <v>0</v>
      </c>
      <c r="Q311">
        <v>0</v>
      </c>
      <c r="R311">
        <v>54878400</v>
      </c>
      <c r="S311">
        <v>9660400</v>
      </c>
      <c r="T311">
        <v>19.539644012945001</v>
      </c>
      <c r="U311" t="str">
        <f t="shared" si="4"/>
        <v>Week 4</v>
      </c>
    </row>
    <row r="312" spans="1:21" x14ac:dyDescent="0.25">
      <c r="C312" s="1"/>
      <c r="H312" s="2"/>
    </row>
    <row r="313" spans="1:21" x14ac:dyDescent="0.25">
      <c r="A313">
        <v>312</v>
      </c>
      <c r="B313" t="s">
        <v>644</v>
      </c>
      <c r="C313" s="1">
        <v>46078</v>
      </c>
      <c r="D313" t="s">
        <v>54</v>
      </c>
      <c r="E313" t="s">
        <v>55</v>
      </c>
      <c r="F313" t="s">
        <v>39</v>
      </c>
      <c r="G313" t="s">
        <v>24</v>
      </c>
      <c r="H313" s="2">
        <v>1</v>
      </c>
      <c r="I313" t="s">
        <v>308</v>
      </c>
      <c r="K313">
        <v>6966750</v>
      </c>
      <c r="L313">
        <v>0</v>
      </c>
      <c r="M313">
        <v>0</v>
      </c>
      <c r="N313">
        <v>766342.5</v>
      </c>
      <c r="O313">
        <v>0</v>
      </c>
      <c r="P313">
        <v>0</v>
      </c>
      <c r="Q313">
        <v>0</v>
      </c>
      <c r="R313">
        <v>7733092.5</v>
      </c>
      <c r="S313">
        <v>2387470.7229729998</v>
      </c>
      <c r="T313">
        <v>34.269504761516998</v>
      </c>
      <c r="U313" t="str">
        <f t="shared" si="4"/>
        <v>Week 4</v>
      </c>
    </row>
    <row r="314" spans="1:21" x14ac:dyDescent="0.25">
      <c r="A314">
        <v>313</v>
      </c>
      <c r="B314" t="s">
        <v>645</v>
      </c>
      <c r="C314" s="1">
        <v>46078</v>
      </c>
      <c r="D314" t="s">
        <v>312</v>
      </c>
      <c r="E314" t="s">
        <v>100</v>
      </c>
      <c r="F314" t="s">
        <v>30</v>
      </c>
      <c r="G314" t="s">
        <v>24</v>
      </c>
      <c r="H314" s="2">
        <v>1</v>
      </c>
      <c r="I314" t="s">
        <v>646</v>
      </c>
      <c r="J314" t="s">
        <v>26</v>
      </c>
      <c r="K314">
        <v>882000</v>
      </c>
      <c r="L314">
        <v>0</v>
      </c>
      <c r="M314">
        <v>0</v>
      </c>
      <c r="N314">
        <v>97020</v>
      </c>
      <c r="O314">
        <v>0</v>
      </c>
      <c r="P314">
        <v>0</v>
      </c>
      <c r="Q314">
        <v>0</v>
      </c>
      <c r="R314">
        <v>979020</v>
      </c>
      <c r="S314">
        <v>467270.25</v>
      </c>
      <c r="T314">
        <v>52.978486394557997</v>
      </c>
      <c r="U314" t="str">
        <f t="shared" si="4"/>
        <v>Week 4</v>
      </c>
    </row>
    <row r="315" spans="1:21" x14ac:dyDescent="0.25">
      <c r="A315">
        <v>314</v>
      </c>
      <c r="B315" t="s">
        <v>647</v>
      </c>
      <c r="C315" s="1">
        <v>46078</v>
      </c>
      <c r="D315" t="s">
        <v>54</v>
      </c>
      <c r="E315" t="s">
        <v>55</v>
      </c>
      <c r="F315" t="s">
        <v>23</v>
      </c>
      <c r="G315" t="s">
        <v>24</v>
      </c>
      <c r="H315" s="2">
        <v>1</v>
      </c>
      <c r="I315" t="s">
        <v>308</v>
      </c>
      <c r="K315">
        <v>3750000</v>
      </c>
      <c r="L315">
        <v>0</v>
      </c>
      <c r="M315">
        <v>0</v>
      </c>
      <c r="N315">
        <v>412500</v>
      </c>
      <c r="O315">
        <v>0</v>
      </c>
      <c r="P315">
        <v>0</v>
      </c>
      <c r="Q315">
        <v>0</v>
      </c>
      <c r="R315">
        <v>4162500</v>
      </c>
      <c r="S315">
        <v>3750000</v>
      </c>
      <c r="T315">
        <v>100</v>
      </c>
      <c r="U315" t="str">
        <f t="shared" si="4"/>
        <v>Week 4</v>
      </c>
    </row>
    <row r="316" spans="1:21" x14ac:dyDescent="0.25">
      <c r="A316">
        <v>315</v>
      </c>
      <c r="B316" t="s">
        <v>648</v>
      </c>
      <c r="C316" s="1">
        <v>46078</v>
      </c>
      <c r="D316" t="s">
        <v>33</v>
      </c>
      <c r="E316" t="s">
        <v>34</v>
      </c>
      <c r="F316" t="s">
        <v>30</v>
      </c>
      <c r="G316" t="s">
        <v>24</v>
      </c>
      <c r="H316" s="2">
        <v>1</v>
      </c>
      <c r="I316" t="s">
        <v>649</v>
      </c>
      <c r="K316">
        <v>1885324</v>
      </c>
      <c r="L316">
        <v>0</v>
      </c>
      <c r="M316">
        <v>0</v>
      </c>
      <c r="N316">
        <v>207385.64</v>
      </c>
      <c r="O316">
        <v>0</v>
      </c>
      <c r="P316">
        <v>0</v>
      </c>
      <c r="Q316">
        <v>0</v>
      </c>
      <c r="R316">
        <v>2092709.64</v>
      </c>
      <c r="S316">
        <v>482588</v>
      </c>
      <c r="T316">
        <v>25.597085699857999</v>
      </c>
      <c r="U316" t="str">
        <f t="shared" si="4"/>
        <v>Week 4</v>
      </c>
    </row>
    <row r="317" spans="1:21" x14ac:dyDescent="0.25">
      <c r="A317">
        <v>316</v>
      </c>
      <c r="B317" t="s">
        <v>650</v>
      </c>
      <c r="C317" s="1">
        <v>46078</v>
      </c>
      <c r="D317" t="s">
        <v>204</v>
      </c>
      <c r="E317" t="s">
        <v>205</v>
      </c>
      <c r="F317" t="s">
        <v>265</v>
      </c>
      <c r="G317" t="s">
        <v>24</v>
      </c>
      <c r="H317" s="2">
        <v>1</v>
      </c>
      <c r="I317" t="s">
        <v>651</v>
      </c>
      <c r="J317" t="s">
        <v>26</v>
      </c>
      <c r="K317">
        <v>882280</v>
      </c>
      <c r="L317">
        <v>0</v>
      </c>
      <c r="M317">
        <v>0</v>
      </c>
      <c r="N317">
        <v>97050.8</v>
      </c>
      <c r="O317">
        <v>0</v>
      </c>
      <c r="P317">
        <v>0</v>
      </c>
      <c r="Q317">
        <v>0</v>
      </c>
      <c r="R317">
        <v>979330.8</v>
      </c>
      <c r="S317">
        <v>127280</v>
      </c>
      <c r="T317">
        <v>14.426259237429999</v>
      </c>
      <c r="U317" t="str">
        <f t="shared" si="4"/>
        <v>Week 4</v>
      </c>
    </row>
    <row r="318" spans="1:21" x14ac:dyDescent="0.25">
      <c r="A318">
        <v>317</v>
      </c>
      <c r="B318" t="s">
        <v>652</v>
      </c>
      <c r="C318" s="1">
        <v>46078</v>
      </c>
      <c r="D318" t="s">
        <v>33</v>
      </c>
      <c r="E318" t="s">
        <v>34</v>
      </c>
      <c r="F318" t="s">
        <v>30</v>
      </c>
      <c r="G318" t="s">
        <v>24</v>
      </c>
      <c r="H318" s="2">
        <v>1</v>
      </c>
      <c r="I318" t="s">
        <v>653</v>
      </c>
      <c r="K318">
        <v>156800</v>
      </c>
      <c r="L318">
        <v>0</v>
      </c>
      <c r="M318">
        <v>0</v>
      </c>
      <c r="N318">
        <v>17248</v>
      </c>
      <c r="O318">
        <v>0</v>
      </c>
      <c r="P318">
        <v>0</v>
      </c>
      <c r="Q318">
        <v>0</v>
      </c>
      <c r="R318">
        <v>174048</v>
      </c>
      <c r="S318">
        <v>78380</v>
      </c>
      <c r="T318">
        <v>49.987244897959002</v>
      </c>
      <c r="U318" t="str">
        <f t="shared" si="4"/>
        <v>Week 4</v>
      </c>
    </row>
    <row r="319" spans="1:21" x14ac:dyDescent="0.25">
      <c r="A319">
        <v>318</v>
      </c>
      <c r="B319" t="s">
        <v>654</v>
      </c>
      <c r="C319" s="1">
        <v>46078</v>
      </c>
      <c r="D319" t="s">
        <v>33</v>
      </c>
      <c r="E319" t="s">
        <v>34</v>
      </c>
      <c r="F319" t="s">
        <v>30</v>
      </c>
      <c r="G319" t="s">
        <v>24</v>
      </c>
      <c r="H319" s="2">
        <v>1</v>
      </c>
      <c r="I319" t="s">
        <v>655</v>
      </c>
      <c r="K319">
        <v>529200</v>
      </c>
      <c r="L319">
        <v>0</v>
      </c>
      <c r="M319">
        <v>0</v>
      </c>
      <c r="N319">
        <v>58212</v>
      </c>
      <c r="O319">
        <v>0</v>
      </c>
      <c r="P319">
        <v>0</v>
      </c>
      <c r="Q319">
        <v>0</v>
      </c>
      <c r="R319">
        <v>587412</v>
      </c>
      <c r="S319">
        <v>430300.90090091003</v>
      </c>
      <c r="T319">
        <v>81.311583692537994</v>
      </c>
      <c r="U319" t="str">
        <f t="shared" si="4"/>
        <v>Week 4</v>
      </c>
    </row>
    <row r="320" spans="1:21" x14ac:dyDescent="0.25">
      <c r="A320">
        <v>319</v>
      </c>
      <c r="B320" t="s">
        <v>656</v>
      </c>
      <c r="C320" s="1">
        <v>46078</v>
      </c>
      <c r="D320" t="s">
        <v>21</v>
      </c>
      <c r="E320" t="s">
        <v>22</v>
      </c>
      <c r="F320" t="s">
        <v>30</v>
      </c>
      <c r="G320" t="s">
        <v>24</v>
      </c>
      <c r="H320" s="2">
        <v>1</v>
      </c>
      <c r="I320" t="s">
        <v>657</v>
      </c>
      <c r="J320" t="s">
        <v>26</v>
      </c>
      <c r="K320">
        <v>20580000</v>
      </c>
      <c r="L320">
        <v>0</v>
      </c>
      <c r="M320">
        <v>0</v>
      </c>
      <c r="N320">
        <v>2263800</v>
      </c>
      <c r="O320">
        <v>0</v>
      </c>
      <c r="P320">
        <v>0</v>
      </c>
      <c r="Q320">
        <v>0</v>
      </c>
      <c r="R320">
        <v>22843800</v>
      </c>
      <c r="S320">
        <v>2080000</v>
      </c>
      <c r="T320">
        <v>10.106899902818</v>
      </c>
      <c r="U320" t="str">
        <f t="shared" si="4"/>
        <v>Week 4</v>
      </c>
    </row>
    <row r="321" spans="1:21" x14ac:dyDescent="0.25">
      <c r="A321">
        <v>320</v>
      </c>
      <c r="B321" t="s">
        <v>658</v>
      </c>
      <c r="C321" s="1">
        <v>46078</v>
      </c>
      <c r="D321" t="s">
        <v>54</v>
      </c>
      <c r="E321" t="s">
        <v>55</v>
      </c>
      <c r="F321" t="s">
        <v>23</v>
      </c>
      <c r="G321" t="s">
        <v>24</v>
      </c>
      <c r="H321" s="2">
        <v>1</v>
      </c>
      <c r="I321" t="s">
        <v>308</v>
      </c>
      <c r="K321">
        <v>7549800</v>
      </c>
      <c r="L321">
        <v>0</v>
      </c>
      <c r="M321">
        <v>0</v>
      </c>
      <c r="N321">
        <v>830478</v>
      </c>
      <c r="O321">
        <v>0</v>
      </c>
      <c r="P321">
        <v>0</v>
      </c>
      <c r="Q321">
        <v>0</v>
      </c>
      <c r="R321">
        <v>8380278</v>
      </c>
      <c r="S321">
        <v>3489776.94</v>
      </c>
      <c r="T321">
        <v>46.223435587697999</v>
      </c>
      <c r="U321" t="str">
        <f t="shared" si="4"/>
        <v>Week 4</v>
      </c>
    </row>
    <row r="322" spans="1:21" x14ac:dyDescent="0.25">
      <c r="A322">
        <v>321</v>
      </c>
      <c r="B322" t="s">
        <v>659</v>
      </c>
      <c r="C322" s="1">
        <v>46078</v>
      </c>
      <c r="D322" t="s">
        <v>33</v>
      </c>
      <c r="E322" t="s">
        <v>34</v>
      </c>
      <c r="F322" t="s">
        <v>30</v>
      </c>
      <c r="G322" t="s">
        <v>24</v>
      </c>
      <c r="H322" s="2">
        <v>1</v>
      </c>
      <c r="I322" t="s">
        <v>660</v>
      </c>
      <c r="K322">
        <v>1734600</v>
      </c>
      <c r="L322">
        <v>0</v>
      </c>
      <c r="M322">
        <v>0</v>
      </c>
      <c r="N322">
        <v>190806</v>
      </c>
      <c r="O322">
        <v>0</v>
      </c>
      <c r="P322">
        <v>0</v>
      </c>
      <c r="Q322">
        <v>0</v>
      </c>
      <c r="R322">
        <v>1925406</v>
      </c>
      <c r="S322">
        <v>649600</v>
      </c>
      <c r="T322">
        <v>37.449556093623997</v>
      </c>
      <c r="U322" t="str">
        <f t="shared" si="4"/>
        <v>Week 4</v>
      </c>
    </row>
    <row r="323" spans="1:21" x14ac:dyDescent="0.25">
      <c r="A323">
        <v>322</v>
      </c>
      <c r="B323" t="s">
        <v>661</v>
      </c>
      <c r="C323" s="1">
        <v>46078</v>
      </c>
      <c r="D323" t="s">
        <v>21</v>
      </c>
      <c r="E323" t="s">
        <v>22</v>
      </c>
      <c r="F323" t="s">
        <v>30</v>
      </c>
      <c r="G323" t="s">
        <v>24</v>
      </c>
      <c r="H323" s="2">
        <v>1</v>
      </c>
      <c r="I323" t="s">
        <v>662</v>
      </c>
      <c r="J323" t="s">
        <v>26</v>
      </c>
      <c r="K323">
        <v>322823.76</v>
      </c>
      <c r="L323">
        <v>0</v>
      </c>
      <c r="M323">
        <v>0</v>
      </c>
      <c r="N323">
        <v>35510.613599999997</v>
      </c>
      <c r="O323">
        <v>0</v>
      </c>
      <c r="P323">
        <v>0</v>
      </c>
      <c r="Q323">
        <v>0</v>
      </c>
      <c r="R323">
        <v>358334.37359999999</v>
      </c>
      <c r="S323">
        <v>52553.489729729998</v>
      </c>
      <c r="T323">
        <v>16.279312814438001</v>
      </c>
      <c r="U323" t="str">
        <f t="shared" ref="U323:U386" si="5">"Week " &amp;IF(DAY(C323)&gt;=24,4,INT((DAY(C323)-1)/7)+1)</f>
        <v>Week 4</v>
      </c>
    </row>
    <row r="324" spans="1:21" x14ac:dyDescent="0.25">
      <c r="A324">
        <v>323</v>
      </c>
      <c r="B324" t="s">
        <v>663</v>
      </c>
      <c r="C324" s="1">
        <v>46078</v>
      </c>
      <c r="D324" t="s">
        <v>21</v>
      </c>
      <c r="E324" t="s">
        <v>22</v>
      </c>
      <c r="F324" t="s">
        <v>23</v>
      </c>
      <c r="G324" t="s">
        <v>24</v>
      </c>
      <c r="H324" s="2">
        <v>1</v>
      </c>
      <c r="I324" t="s">
        <v>664</v>
      </c>
      <c r="J324" t="s">
        <v>57</v>
      </c>
      <c r="K324">
        <v>103500000</v>
      </c>
      <c r="L324">
        <v>0</v>
      </c>
      <c r="M324">
        <v>0</v>
      </c>
      <c r="N324">
        <v>11385000</v>
      </c>
      <c r="O324">
        <v>0</v>
      </c>
      <c r="P324">
        <v>0</v>
      </c>
      <c r="Q324">
        <v>0</v>
      </c>
      <c r="R324">
        <v>114885000</v>
      </c>
      <c r="S324">
        <v>23400000</v>
      </c>
      <c r="T324">
        <v>22.608695652173999</v>
      </c>
      <c r="U324" t="str">
        <f t="shared" si="5"/>
        <v>Week 4</v>
      </c>
    </row>
    <row r="325" spans="1:21" x14ac:dyDescent="0.25">
      <c r="C325" s="1"/>
      <c r="H325" s="2"/>
    </row>
    <row r="326" spans="1:21" x14ac:dyDescent="0.25">
      <c r="A326">
        <v>325</v>
      </c>
      <c r="B326" t="s">
        <v>665</v>
      </c>
      <c r="C326" s="1">
        <v>46078</v>
      </c>
      <c r="D326" t="s">
        <v>21</v>
      </c>
      <c r="E326" t="s">
        <v>22</v>
      </c>
      <c r="F326" t="s">
        <v>23</v>
      </c>
      <c r="G326" t="s">
        <v>24</v>
      </c>
      <c r="H326" s="2">
        <v>1</v>
      </c>
      <c r="I326" t="s">
        <v>666</v>
      </c>
      <c r="J326" t="s">
        <v>26</v>
      </c>
      <c r="K326">
        <v>6115000</v>
      </c>
      <c r="L326">
        <v>0</v>
      </c>
      <c r="M326">
        <v>0</v>
      </c>
      <c r="N326">
        <v>672650</v>
      </c>
      <c r="O326">
        <v>0</v>
      </c>
      <c r="P326">
        <v>0</v>
      </c>
      <c r="Q326">
        <v>0</v>
      </c>
      <c r="R326">
        <v>6787650</v>
      </c>
      <c r="S326">
        <v>2640000</v>
      </c>
      <c r="T326">
        <v>43.172526573997999</v>
      </c>
      <c r="U326" t="str">
        <f t="shared" si="5"/>
        <v>Week 4</v>
      </c>
    </row>
    <row r="327" spans="1:21" x14ac:dyDescent="0.25">
      <c r="A327">
        <v>326</v>
      </c>
      <c r="B327" t="s">
        <v>667</v>
      </c>
      <c r="C327" s="1">
        <v>46078</v>
      </c>
      <c r="D327" t="s">
        <v>21</v>
      </c>
      <c r="E327" t="s">
        <v>22</v>
      </c>
      <c r="F327" t="s">
        <v>30</v>
      </c>
      <c r="G327" t="s">
        <v>24</v>
      </c>
      <c r="H327" s="2">
        <v>1</v>
      </c>
      <c r="I327" t="s">
        <v>668</v>
      </c>
      <c r="J327" t="s">
        <v>26</v>
      </c>
      <c r="K327">
        <v>27994680</v>
      </c>
      <c r="L327">
        <v>0</v>
      </c>
      <c r="M327">
        <v>0</v>
      </c>
      <c r="N327">
        <v>3079414.8</v>
      </c>
      <c r="O327">
        <v>0</v>
      </c>
      <c r="P327">
        <v>0</v>
      </c>
      <c r="Q327">
        <v>0</v>
      </c>
      <c r="R327">
        <v>31074094.800000001</v>
      </c>
      <c r="S327">
        <v>13490175.495495999</v>
      </c>
      <c r="T327">
        <v>48.188353985455002</v>
      </c>
      <c r="U327" t="str">
        <f t="shared" si="5"/>
        <v>Week 4</v>
      </c>
    </row>
    <row r="328" spans="1:21" x14ac:dyDescent="0.25">
      <c r="A328">
        <v>327</v>
      </c>
      <c r="B328" t="s">
        <v>669</v>
      </c>
      <c r="C328" s="1">
        <v>46078</v>
      </c>
      <c r="D328" t="s">
        <v>204</v>
      </c>
      <c r="E328" t="s">
        <v>205</v>
      </c>
      <c r="F328" t="s">
        <v>265</v>
      </c>
      <c r="G328" t="s">
        <v>24</v>
      </c>
      <c r="H328" s="2">
        <v>1</v>
      </c>
      <c r="I328" t="s">
        <v>670</v>
      </c>
      <c r="J328" t="s">
        <v>26</v>
      </c>
      <c r="K328">
        <v>3804590</v>
      </c>
      <c r="L328">
        <v>0</v>
      </c>
      <c r="M328">
        <v>0</v>
      </c>
      <c r="N328">
        <v>418504.9</v>
      </c>
      <c r="O328">
        <v>0</v>
      </c>
      <c r="P328">
        <v>0</v>
      </c>
      <c r="Q328">
        <v>0</v>
      </c>
      <c r="R328">
        <v>4223094.9000000004</v>
      </c>
      <c r="S328">
        <v>1411590</v>
      </c>
      <c r="T328">
        <v>37.102289602821998</v>
      </c>
      <c r="U328" t="str">
        <f t="shared" si="5"/>
        <v>Week 4</v>
      </c>
    </row>
    <row r="329" spans="1:21" x14ac:dyDescent="0.25">
      <c r="A329">
        <v>328</v>
      </c>
      <c r="B329" t="s">
        <v>671</v>
      </c>
      <c r="C329" s="1">
        <v>46078</v>
      </c>
      <c r="D329" t="s">
        <v>33</v>
      </c>
      <c r="E329" t="s">
        <v>34</v>
      </c>
      <c r="F329" t="s">
        <v>23</v>
      </c>
      <c r="G329" t="s">
        <v>24</v>
      </c>
      <c r="H329" s="2">
        <v>1</v>
      </c>
      <c r="I329" t="s">
        <v>672</v>
      </c>
      <c r="K329">
        <v>710000</v>
      </c>
      <c r="L329">
        <v>0</v>
      </c>
      <c r="M329">
        <v>0</v>
      </c>
      <c r="N329">
        <v>78100</v>
      </c>
      <c r="O329">
        <v>0</v>
      </c>
      <c r="P329">
        <v>0</v>
      </c>
      <c r="Q329">
        <v>0</v>
      </c>
      <c r="R329">
        <v>788100</v>
      </c>
      <c r="S329">
        <v>166756.75675676001</v>
      </c>
      <c r="T329">
        <v>23.486867148839</v>
      </c>
      <c r="U329" t="str">
        <f t="shared" si="5"/>
        <v>Week 4</v>
      </c>
    </row>
    <row r="330" spans="1:21" x14ac:dyDescent="0.25">
      <c r="A330">
        <v>329</v>
      </c>
      <c r="B330" t="s">
        <v>673</v>
      </c>
      <c r="C330" s="1">
        <v>46078</v>
      </c>
      <c r="D330" t="s">
        <v>21</v>
      </c>
      <c r="E330" t="s">
        <v>22</v>
      </c>
      <c r="F330" t="s">
        <v>39</v>
      </c>
      <c r="G330" t="s">
        <v>24</v>
      </c>
      <c r="H330" s="2">
        <v>1</v>
      </c>
      <c r="I330" t="s">
        <v>674</v>
      </c>
      <c r="J330" t="s">
        <v>26</v>
      </c>
      <c r="K330">
        <v>4014456.32</v>
      </c>
      <c r="L330">
        <v>0</v>
      </c>
      <c r="M330">
        <v>0</v>
      </c>
      <c r="N330">
        <v>441590.19520000002</v>
      </c>
      <c r="O330">
        <v>0</v>
      </c>
      <c r="P330">
        <v>0</v>
      </c>
      <c r="Q330">
        <v>0</v>
      </c>
      <c r="R330">
        <v>4456046.5152000003</v>
      </c>
      <c r="S330">
        <v>1614456.32</v>
      </c>
      <c r="T330">
        <v>40.216063927679997</v>
      </c>
      <c r="U330" t="str">
        <f t="shared" si="5"/>
        <v>Week 4</v>
      </c>
    </row>
    <row r="331" spans="1:21" x14ac:dyDescent="0.25">
      <c r="A331">
        <v>330</v>
      </c>
      <c r="B331" t="s">
        <v>675</v>
      </c>
      <c r="C331" s="1">
        <v>46078</v>
      </c>
      <c r="D331" t="s">
        <v>54</v>
      </c>
      <c r="E331" t="s">
        <v>55</v>
      </c>
      <c r="F331" t="s">
        <v>23</v>
      </c>
      <c r="G331" t="s">
        <v>24</v>
      </c>
      <c r="H331" s="2">
        <v>1</v>
      </c>
      <c r="I331" t="s">
        <v>308</v>
      </c>
      <c r="J331" t="s">
        <v>26</v>
      </c>
      <c r="K331">
        <v>2829592</v>
      </c>
      <c r="L331">
        <v>0</v>
      </c>
      <c r="M331">
        <v>0</v>
      </c>
      <c r="N331">
        <v>311255.12</v>
      </c>
      <c r="O331">
        <v>0</v>
      </c>
      <c r="P331">
        <v>0</v>
      </c>
      <c r="Q331">
        <v>0</v>
      </c>
      <c r="R331">
        <v>3140847.12</v>
      </c>
      <c r="S331">
        <v>908380.05891892</v>
      </c>
      <c r="T331">
        <v>32.102863554849002</v>
      </c>
      <c r="U331" t="str">
        <f t="shared" si="5"/>
        <v>Week 4</v>
      </c>
    </row>
    <row r="332" spans="1:21" x14ac:dyDescent="0.25">
      <c r="A332">
        <v>331</v>
      </c>
      <c r="B332" t="s">
        <v>676</v>
      </c>
      <c r="C332" s="1">
        <v>46078</v>
      </c>
      <c r="D332" t="s">
        <v>33</v>
      </c>
      <c r="E332" t="s">
        <v>34</v>
      </c>
      <c r="F332" t="s">
        <v>23</v>
      </c>
      <c r="G332" t="s">
        <v>24</v>
      </c>
      <c r="H332" s="2">
        <v>1</v>
      </c>
      <c r="I332" t="s">
        <v>677</v>
      </c>
      <c r="K332">
        <v>32716392.969999999</v>
      </c>
      <c r="L332">
        <v>0</v>
      </c>
      <c r="M332">
        <v>0</v>
      </c>
      <c r="N332">
        <v>3598803.2267</v>
      </c>
      <c r="O332">
        <v>0</v>
      </c>
      <c r="P332">
        <v>0</v>
      </c>
      <c r="Q332">
        <v>0</v>
      </c>
      <c r="R332">
        <v>36315196.196699999</v>
      </c>
      <c r="S332">
        <v>19149000.564594999</v>
      </c>
      <c r="T332">
        <v>58.530292695021998</v>
      </c>
      <c r="U332" t="str">
        <f t="shared" si="5"/>
        <v>Week 4</v>
      </c>
    </row>
    <row r="333" spans="1:21" x14ac:dyDescent="0.25">
      <c r="A333">
        <v>332</v>
      </c>
      <c r="B333" t="s">
        <v>678</v>
      </c>
      <c r="C333" s="1">
        <v>46078</v>
      </c>
      <c r="D333" t="s">
        <v>37</v>
      </c>
      <c r="E333" t="s">
        <v>38</v>
      </c>
      <c r="F333" t="s">
        <v>30</v>
      </c>
      <c r="G333" t="s">
        <v>24</v>
      </c>
      <c r="H333" s="2">
        <v>1</v>
      </c>
      <c r="I333" t="s">
        <v>679</v>
      </c>
      <c r="K333">
        <v>153860</v>
      </c>
      <c r="L333">
        <v>0</v>
      </c>
      <c r="M333">
        <v>0</v>
      </c>
      <c r="N333">
        <v>16924.599999999999</v>
      </c>
      <c r="O333">
        <v>0</v>
      </c>
      <c r="P333">
        <v>0</v>
      </c>
      <c r="Q333">
        <v>0</v>
      </c>
      <c r="R333">
        <v>170784.6</v>
      </c>
      <c r="S333">
        <v>3860</v>
      </c>
      <c r="T333">
        <v>2.5087742103210999</v>
      </c>
      <c r="U333" t="str">
        <f t="shared" si="5"/>
        <v>Week 4</v>
      </c>
    </row>
    <row r="334" spans="1:21" x14ac:dyDescent="0.25">
      <c r="A334">
        <v>333</v>
      </c>
      <c r="B334" t="s">
        <v>680</v>
      </c>
      <c r="C334" s="1">
        <v>46078</v>
      </c>
      <c r="D334" t="s">
        <v>33</v>
      </c>
      <c r="E334" t="s">
        <v>34</v>
      </c>
      <c r="F334" t="s">
        <v>30</v>
      </c>
      <c r="G334" t="s">
        <v>24</v>
      </c>
      <c r="H334" s="2">
        <v>1</v>
      </c>
      <c r="I334" t="s">
        <v>681</v>
      </c>
      <c r="K334">
        <v>2748900</v>
      </c>
      <c r="L334">
        <v>0</v>
      </c>
      <c r="M334">
        <v>0</v>
      </c>
      <c r="N334">
        <v>302379</v>
      </c>
      <c r="O334">
        <v>0</v>
      </c>
      <c r="P334">
        <v>0</v>
      </c>
      <c r="Q334">
        <v>0</v>
      </c>
      <c r="R334">
        <v>3051279</v>
      </c>
      <c r="S334">
        <v>-221100</v>
      </c>
      <c r="T334">
        <v>-8.0432172869147998</v>
      </c>
      <c r="U334" t="str">
        <f t="shared" si="5"/>
        <v>Week 4</v>
      </c>
    </row>
    <row r="335" spans="1:21" x14ac:dyDescent="0.25">
      <c r="A335">
        <v>334</v>
      </c>
      <c r="B335" t="s">
        <v>682</v>
      </c>
      <c r="C335" s="1">
        <v>46078</v>
      </c>
      <c r="D335" t="s">
        <v>33</v>
      </c>
      <c r="E335" t="s">
        <v>34</v>
      </c>
      <c r="F335" t="s">
        <v>23</v>
      </c>
      <c r="G335" t="s">
        <v>24</v>
      </c>
      <c r="H335" s="2">
        <v>1</v>
      </c>
      <c r="I335" t="s">
        <v>683</v>
      </c>
      <c r="K335">
        <v>86226650</v>
      </c>
      <c r="L335">
        <v>0</v>
      </c>
      <c r="M335">
        <v>0</v>
      </c>
      <c r="N335">
        <v>9484931.5</v>
      </c>
      <c r="O335">
        <v>0</v>
      </c>
      <c r="P335">
        <v>0</v>
      </c>
      <c r="Q335">
        <v>0</v>
      </c>
      <c r="R335">
        <v>95711581.5</v>
      </c>
      <c r="S335">
        <v>17964114</v>
      </c>
      <c r="T335">
        <v>20.833598429256</v>
      </c>
      <c r="U335" t="str">
        <f t="shared" si="5"/>
        <v>Week 4</v>
      </c>
    </row>
    <row r="336" spans="1:21" x14ac:dyDescent="0.25">
      <c r="A336">
        <v>335</v>
      </c>
      <c r="B336" t="s">
        <v>684</v>
      </c>
      <c r="C336" s="1">
        <v>46077</v>
      </c>
      <c r="D336" t="s">
        <v>37</v>
      </c>
      <c r="E336" t="s">
        <v>38</v>
      </c>
      <c r="F336" t="s">
        <v>23</v>
      </c>
      <c r="G336" t="s">
        <v>24</v>
      </c>
      <c r="H336" s="2">
        <v>1</v>
      </c>
      <c r="I336" t="s">
        <v>137</v>
      </c>
      <c r="J336" t="s">
        <v>26</v>
      </c>
      <c r="K336">
        <v>62061088.725199997</v>
      </c>
      <c r="L336">
        <v>0</v>
      </c>
      <c r="M336">
        <v>0</v>
      </c>
      <c r="N336">
        <v>6826719.7597719999</v>
      </c>
      <c r="O336">
        <v>0</v>
      </c>
      <c r="P336">
        <v>0</v>
      </c>
      <c r="Q336">
        <v>0</v>
      </c>
      <c r="R336">
        <v>68887808.484972</v>
      </c>
      <c r="S336">
        <v>21237167.251867</v>
      </c>
      <c r="T336">
        <v>34.219778750422002</v>
      </c>
      <c r="U336" t="str">
        <f t="shared" si="5"/>
        <v>Week 4</v>
      </c>
    </row>
    <row r="337" spans="1:21" x14ac:dyDescent="0.25">
      <c r="A337">
        <v>336</v>
      </c>
      <c r="B337" t="s">
        <v>685</v>
      </c>
      <c r="C337" s="1">
        <v>46077</v>
      </c>
      <c r="D337" t="s">
        <v>204</v>
      </c>
      <c r="E337" t="s">
        <v>205</v>
      </c>
      <c r="F337" t="s">
        <v>23</v>
      </c>
      <c r="G337" t="s">
        <v>24</v>
      </c>
      <c r="H337" s="2">
        <v>1</v>
      </c>
      <c r="I337" t="s">
        <v>686</v>
      </c>
      <c r="J337" t="s">
        <v>26</v>
      </c>
      <c r="K337">
        <v>917280</v>
      </c>
      <c r="L337">
        <v>0</v>
      </c>
      <c r="M337">
        <v>0</v>
      </c>
      <c r="N337">
        <v>100900.8</v>
      </c>
      <c r="O337">
        <v>0</v>
      </c>
      <c r="P337">
        <v>0</v>
      </c>
      <c r="Q337">
        <v>0</v>
      </c>
      <c r="R337">
        <v>1018180.8</v>
      </c>
      <c r="S337">
        <v>127280</v>
      </c>
      <c r="T337">
        <v>13.87580673295</v>
      </c>
      <c r="U337" t="str">
        <f t="shared" si="5"/>
        <v>Week 4</v>
      </c>
    </row>
    <row r="338" spans="1:21" x14ac:dyDescent="0.25">
      <c r="A338">
        <v>337</v>
      </c>
      <c r="B338" t="s">
        <v>687</v>
      </c>
      <c r="C338" s="1">
        <v>46077</v>
      </c>
      <c r="D338" t="s">
        <v>520</v>
      </c>
      <c r="E338" t="s">
        <v>205</v>
      </c>
      <c r="F338" t="s">
        <v>30</v>
      </c>
      <c r="G338" t="s">
        <v>24</v>
      </c>
      <c r="H338" s="2">
        <v>1</v>
      </c>
      <c r="I338" t="s">
        <v>688</v>
      </c>
      <c r="J338" t="s">
        <v>26</v>
      </c>
      <c r="K338">
        <v>4297000</v>
      </c>
      <c r="L338">
        <v>0</v>
      </c>
      <c r="M338">
        <v>0</v>
      </c>
      <c r="N338">
        <v>472670</v>
      </c>
      <c r="O338">
        <v>0</v>
      </c>
      <c r="P338">
        <v>0</v>
      </c>
      <c r="Q338">
        <v>0</v>
      </c>
      <c r="R338">
        <v>4769670</v>
      </c>
      <c r="S338">
        <v>199180</v>
      </c>
      <c r="T338">
        <v>4.6353269723063004</v>
      </c>
      <c r="U338" t="str">
        <f t="shared" si="5"/>
        <v>Week 4</v>
      </c>
    </row>
    <row r="339" spans="1:21" x14ac:dyDescent="0.25">
      <c r="A339">
        <v>338</v>
      </c>
      <c r="B339" t="s">
        <v>689</v>
      </c>
      <c r="C339" s="1">
        <v>46077</v>
      </c>
      <c r="D339" t="s">
        <v>54</v>
      </c>
      <c r="E339" t="s">
        <v>55</v>
      </c>
      <c r="F339" t="s">
        <v>30</v>
      </c>
      <c r="G339" t="s">
        <v>24</v>
      </c>
      <c r="H339" s="2">
        <v>1</v>
      </c>
      <c r="I339" t="s">
        <v>690</v>
      </c>
      <c r="K339">
        <v>4071900</v>
      </c>
      <c r="L339">
        <v>0</v>
      </c>
      <c r="M339">
        <v>0</v>
      </c>
      <c r="N339">
        <v>447909</v>
      </c>
      <c r="O339">
        <v>0</v>
      </c>
      <c r="P339">
        <v>0</v>
      </c>
      <c r="Q339">
        <v>0</v>
      </c>
      <c r="R339">
        <v>4519809</v>
      </c>
      <c r="S339">
        <v>961039.63963963999</v>
      </c>
      <c r="T339">
        <v>23.601749542956</v>
      </c>
      <c r="U339" t="str">
        <f t="shared" si="5"/>
        <v>Week 4</v>
      </c>
    </row>
    <row r="340" spans="1:21" x14ac:dyDescent="0.25">
      <c r="A340">
        <v>339</v>
      </c>
      <c r="B340" t="s">
        <v>691</v>
      </c>
      <c r="C340" s="1">
        <v>46077</v>
      </c>
      <c r="D340" t="s">
        <v>21</v>
      </c>
      <c r="E340" t="s">
        <v>22</v>
      </c>
      <c r="F340" t="s">
        <v>30</v>
      </c>
      <c r="G340" t="s">
        <v>24</v>
      </c>
      <c r="H340" s="2">
        <v>1</v>
      </c>
      <c r="I340" t="s">
        <v>692</v>
      </c>
      <c r="J340" t="s">
        <v>26</v>
      </c>
      <c r="K340">
        <v>940800</v>
      </c>
      <c r="L340">
        <v>0</v>
      </c>
      <c r="M340">
        <v>0</v>
      </c>
      <c r="N340">
        <v>103488</v>
      </c>
      <c r="O340">
        <v>0</v>
      </c>
      <c r="P340">
        <v>0</v>
      </c>
      <c r="Q340">
        <v>0</v>
      </c>
      <c r="R340">
        <v>1044288</v>
      </c>
      <c r="S340">
        <v>231800</v>
      </c>
      <c r="T340">
        <v>24.638605442176999</v>
      </c>
      <c r="U340" t="str">
        <f t="shared" si="5"/>
        <v>Week 4</v>
      </c>
    </row>
    <row r="341" spans="1:21" x14ac:dyDescent="0.25">
      <c r="A341">
        <v>340</v>
      </c>
      <c r="B341" t="s">
        <v>693</v>
      </c>
      <c r="C341" s="1">
        <v>46077</v>
      </c>
      <c r="D341" t="s">
        <v>21</v>
      </c>
      <c r="E341" t="s">
        <v>22</v>
      </c>
      <c r="F341" t="s">
        <v>30</v>
      </c>
      <c r="G341" t="s">
        <v>24</v>
      </c>
      <c r="H341" s="2">
        <v>1</v>
      </c>
      <c r="I341" t="s">
        <v>694</v>
      </c>
      <c r="J341" t="s">
        <v>26</v>
      </c>
      <c r="K341">
        <v>87369853.760000005</v>
      </c>
      <c r="L341">
        <v>0</v>
      </c>
      <c r="M341">
        <v>0</v>
      </c>
      <c r="N341">
        <v>9610683.9135999996</v>
      </c>
      <c r="O341">
        <v>0</v>
      </c>
      <c r="P341">
        <v>0</v>
      </c>
      <c r="Q341">
        <v>0</v>
      </c>
      <c r="R341">
        <v>96980537.673600003</v>
      </c>
      <c r="S341">
        <v>18230134.835999999</v>
      </c>
      <c r="T341">
        <v>20.865474819355001</v>
      </c>
      <c r="U341" t="str">
        <f t="shared" si="5"/>
        <v>Week 4</v>
      </c>
    </row>
    <row r="342" spans="1:21" x14ac:dyDescent="0.25">
      <c r="A342">
        <v>341</v>
      </c>
      <c r="B342" t="s">
        <v>695</v>
      </c>
      <c r="C342" s="1">
        <v>46077</v>
      </c>
      <c r="D342" t="s">
        <v>186</v>
      </c>
      <c r="E342" t="s">
        <v>117</v>
      </c>
      <c r="F342" t="s">
        <v>23</v>
      </c>
      <c r="G342" t="s">
        <v>24</v>
      </c>
      <c r="H342" s="2">
        <v>1</v>
      </c>
      <c r="I342" t="s">
        <v>696</v>
      </c>
      <c r="J342" t="s">
        <v>26</v>
      </c>
      <c r="K342">
        <v>4331250</v>
      </c>
      <c r="L342">
        <v>0</v>
      </c>
      <c r="M342">
        <v>0</v>
      </c>
      <c r="N342">
        <v>476437.5</v>
      </c>
      <c r="O342">
        <v>0</v>
      </c>
      <c r="P342">
        <v>0</v>
      </c>
      <c r="Q342">
        <v>0</v>
      </c>
      <c r="R342">
        <v>4807687.5</v>
      </c>
      <c r="S342">
        <v>831250</v>
      </c>
      <c r="T342">
        <v>19.191919191918998</v>
      </c>
      <c r="U342" t="str">
        <f t="shared" si="5"/>
        <v>Week 4</v>
      </c>
    </row>
    <row r="343" spans="1:21" x14ac:dyDescent="0.25">
      <c r="A343">
        <v>342</v>
      </c>
      <c r="B343" t="s">
        <v>697</v>
      </c>
      <c r="C343" s="1">
        <v>46077</v>
      </c>
      <c r="D343" t="s">
        <v>54</v>
      </c>
      <c r="E343" t="s">
        <v>55</v>
      </c>
      <c r="F343" t="s">
        <v>30</v>
      </c>
      <c r="G343" t="s">
        <v>24</v>
      </c>
      <c r="H343" s="2">
        <v>1</v>
      </c>
      <c r="I343" t="s">
        <v>698</v>
      </c>
      <c r="K343">
        <v>13386800</v>
      </c>
      <c r="L343">
        <v>0</v>
      </c>
      <c r="M343">
        <v>0</v>
      </c>
      <c r="N343">
        <v>1472548</v>
      </c>
      <c r="O343">
        <v>0</v>
      </c>
      <c r="P343">
        <v>0</v>
      </c>
      <c r="Q343">
        <v>0</v>
      </c>
      <c r="R343">
        <v>14859348</v>
      </c>
      <c r="S343">
        <v>5786800</v>
      </c>
      <c r="T343">
        <v>43.227657095048997</v>
      </c>
      <c r="U343" t="str">
        <f t="shared" si="5"/>
        <v>Week 4</v>
      </c>
    </row>
    <row r="344" spans="1:21" x14ac:dyDescent="0.25">
      <c r="A344">
        <v>343</v>
      </c>
      <c r="B344" t="s">
        <v>699</v>
      </c>
      <c r="C344" s="1">
        <v>46076</v>
      </c>
      <c r="D344" t="s">
        <v>21</v>
      </c>
      <c r="E344" t="s">
        <v>22</v>
      </c>
      <c r="F344" t="s">
        <v>30</v>
      </c>
      <c r="G344" t="s">
        <v>24</v>
      </c>
      <c r="H344" s="2">
        <v>1</v>
      </c>
      <c r="I344" t="s">
        <v>700</v>
      </c>
      <c r="J344" t="s">
        <v>26</v>
      </c>
      <c r="K344">
        <v>3217656.54</v>
      </c>
      <c r="L344">
        <v>0</v>
      </c>
      <c r="M344">
        <v>0</v>
      </c>
      <c r="N344">
        <v>353942.2194</v>
      </c>
      <c r="O344">
        <v>0</v>
      </c>
      <c r="P344">
        <v>0</v>
      </c>
      <c r="Q344">
        <v>0</v>
      </c>
      <c r="R344">
        <v>3571598.7593999999</v>
      </c>
      <c r="S344">
        <v>249351.02972973001</v>
      </c>
      <c r="T344">
        <v>7.7494607218000002</v>
      </c>
      <c r="U344" t="str">
        <f t="shared" si="5"/>
        <v>Week 4</v>
      </c>
    </row>
    <row r="345" spans="1:21" x14ac:dyDescent="0.25">
      <c r="A345">
        <v>344</v>
      </c>
      <c r="B345" t="s">
        <v>701</v>
      </c>
      <c r="C345" s="1">
        <v>46076</v>
      </c>
      <c r="D345" t="s">
        <v>312</v>
      </c>
      <c r="E345" t="s">
        <v>100</v>
      </c>
      <c r="F345" t="s">
        <v>23</v>
      </c>
      <c r="G345" t="s">
        <v>24</v>
      </c>
      <c r="H345" s="2">
        <v>1</v>
      </c>
      <c r="I345" t="s">
        <v>702</v>
      </c>
      <c r="K345">
        <v>12865000</v>
      </c>
      <c r="L345">
        <v>0</v>
      </c>
      <c r="M345">
        <v>0</v>
      </c>
      <c r="N345">
        <v>1415150</v>
      </c>
      <c r="O345">
        <v>0</v>
      </c>
      <c r="P345">
        <v>0</v>
      </c>
      <c r="Q345">
        <v>0</v>
      </c>
      <c r="R345">
        <v>14280150</v>
      </c>
      <c r="S345">
        <v>3275000</v>
      </c>
      <c r="T345">
        <v>25.456665371162</v>
      </c>
      <c r="U345" t="str">
        <f t="shared" si="5"/>
        <v>Week 4</v>
      </c>
    </row>
    <row r="346" spans="1:21" x14ac:dyDescent="0.25">
      <c r="A346">
        <v>345</v>
      </c>
      <c r="B346" t="s">
        <v>703</v>
      </c>
      <c r="C346" s="1">
        <v>46076</v>
      </c>
      <c r="D346" t="s">
        <v>21</v>
      </c>
      <c r="E346" t="s">
        <v>22</v>
      </c>
      <c r="F346" t="s">
        <v>30</v>
      </c>
      <c r="G346" t="s">
        <v>24</v>
      </c>
      <c r="H346" s="2">
        <v>1</v>
      </c>
      <c r="I346" t="s">
        <v>704</v>
      </c>
      <c r="J346" t="s">
        <v>26</v>
      </c>
      <c r="K346">
        <v>64956618.719999999</v>
      </c>
      <c r="L346">
        <v>0</v>
      </c>
      <c r="M346">
        <v>0</v>
      </c>
      <c r="N346">
        <v>7145228.0592</v>
      </c>
      <c r="O346">
        <v>0</v>
      </c>
      <c r="P346">
        <v>0</v>
      </c>
      <c r="Q346">
        <v>0</v>
      </c>
      <c r="R346">
        <v>72101846.779200003</v>
      </c>
      <c r="S346">
        <v>17854636.246576998</v>
      </c>
      <c r="T346">
        <v>27.487016101531999</v>
      </c>
      <c r="U346" t="str">
        <f t="shared" si="5"/>
        <v>Week 4</v>
      </c>
    </row>
    <row r="347" spans="1:21" x14ac:dyDescent="0.25">
      <c r="A347">
        <v>346</v>
      </c>
      <c r="B347" t="s">
        <v>705</v>
      </c>
      <c r="C347" s="1">
        <v>46076</v>
      </c>
      <c r="D347" t="s">
        <v>54</v>
      </c>
      <c r="E347" t="s">
        <v>55</v>
      </c>
      <c r="F347" t="s">
        <v>30</v>
      </c>
      <c r="G347" t="s">
        <v>24</v>
      </c>
      <c r="H347" s="2">
        <v>1</v>
      </c>
      <c r="I347" t="s">
        <v>706</v>
      </c>
      <c r="K347">
        <v>1558200</v>
      </c>
      <c r="L347">
        <v>0</v>
      </c>
      <c r="M347">
        <v>0</v>
      </c>
      <c r="N347">
        <v>171402</v>
      </c>
      <c r="O347">
        <v>0</v>
      </c>
      <c r="P347">
        <v>0</v>
      </c>
      <c r="Q347">
        <v>0</v>
      </c>
      <c r="R347">
        <v>1729602</v>
      </c>
      <c r="S347">
        <v>-229800</v>
      </c>
      <c r="T347">
        <v>-14.747785906816</v>
      </c>
      <c r="U347" t="str">
        <f t="shared" si="5"/>
        <v>Week 4</v>
      </c>
    </row>
    <row r="348" spans="1:21" x14ac:dyDescent="0.25">
      <c r="A348">
        <v>347</v>
      </c>
      <c r="B348" t="s">
        <v>707</v>
      </c>
      <c r="C348" s="1">
        <v>46076</v>
      </c>
      <c r="D348" t="s">
        <v>54</v>
      </c>
      <c r="E348" t="s">
        <v>55</v>
      </c>
      <c r="F348" t="s">
        <v>30</v>
      </c>
      <c r="G348" t="s">
        <v>24</v>
      </c>
      <c r="H348" s="2">
        <v>1</v>
      </c>
      <c r="I348" t="s">
        <v>708</v>
      </c>
      <c r="K348">
        <v>10486000</v>
      </c>
      <c r="L348">
        <v>0</v>
      </c>
      <c r="M348">
        <v>0</v>
      </c>
      <c r="N348">
        <v>1153460</v>
      </c>
      <c r="O348">
        <v>0</v>
      </c>
      <c r="P348">
        <v>0</v>
      </c>
      <c r="Q348">
        <v>0</v>
      </c>
      <c r="R348">
        <v>11639460</v>
      </c>
      <c r="S348">
        <v>-648000</v>
      </c>
      <c r="T348">
        <v>-6.1796681289338</v>
      </c>
      <c r="U348" t="str">
        <f t="shared" si="5"/>
        <v>Week 4</v>
      </c>
    </row>
    <row r="349" spans="1:21" x14ac:dyDescent="0.25">
      <c r="A349">
        <v>348</v>
      </c>
      <c r="B349" t="s">
        <v>709</v>
      </c>
      <c r="C349" s="1">
        <v>46076</v>
      </c>
      <c r="D349" t="s">
        <v>54</v>
      </c>
      <c r="E349" t="s">
        <v>55</v>
      </c>
      <c r="F349" t="s">
        <v>30</v>
      </c>
      <c r="G349" t="s">
        <v>24</v>
      </c>
      <c r="H349" s="2">
        <v>1</v>
      </c>
      <c r="I349" t="s">
        <v>710</v>
      </c>
      <c r="K349">
        <v>6288975</v>
      </c>
      <c r="L349">
        <v>0</v>
      </c>
      <c r="M349">
        <v>0</v>
      </c>
      <c r="N349">
        <v>691787.25</v>
      </c>
      <c r="O349">
        <v>0</v>
      </c>
      <c r="P349">
        <v>0</v>
      </c>
      <c r="Q349">
        <v>0</v>
      </c>
      <c r="R349">
        <v>6980762.25</v>
      </c>
      <c r="S349">
        <v>1104390</v>
      </c>
      <c r="T349">
        <v>17.560731279740001</v>
      </c>
      <c r="U349" t="str">
        <f t="shared" si="5"/>
        <v>Week 4</v>
      </c>
    </row>
    <row r="350" spans="1:21" x14ac:dyDescent="0.25">
      <c r="A350">
        <v>349</v>
      </c>
      <c r="B350" t="s">
        <v>711</v>
      </c>
      <c r="C350" s="1">
        <v>46076</v>
      </c>
      <c r="D350" t="s">
        <v>54</v>
      </c>
      <c r="E350" t="s">
        <v>55</v>
      </c>
      <c r="F350" t="s">
        <v>30</v>
      </c>
      <c r="G350" t="s">
        <v>24</v>
      </c>
      <c r="H350" s="2">
        <v>1</v>
      </c>
      <c r="I350" t="s">
        <v>712</v>
      </c>
      <c r="K350">
        <v>178530328</v>
      </c>
      <c r="L350">
        <v>0</v>
      </c>
      <c r="M350">
        <v>0</v>
      </c>
      <c r="N350">
        <v>19638336.079999998</v>
      </c>
      <c r="O350">
        <v>0</v>
      </c>
      <c r="P350">
        <v>0</v>
      </c>
      <c r="Q350">
        <v>0</v>
      </c>
      <c r="R350">
        <v>198168664.08000001</v>
      </c>
      <c r="S350">
        <v>14784078.1</v>
      </c>
      <c r="T350">
        <v>8.2809897150919998</v>
      </c>
      <c r="U350" t="str">
        <f t="shared" si="5"/>
        <v>Week 4</v>
      </c>
    </row>
    <row r="351" spans="1:21" x14ac:dyDescent="0.25">
      <c r="A351">
        <v>350</v>
      </c>
      <c r="B351" t="s">
        <v>713</v>
      </c>
      <c r="C351" s="1">
        <v>46076</v>
      </c>
      <c r="D351" t="s">
        <v>21</v>
      </c>
      <c r="E351" t="s">
        <v>22</v>
      </c>
      <c r="F351" t="s">
        <v>30</v>
      </c>
      <c r="G351" t="s">
        <v>24</v>
      </c>
      <c r="H351" s="2">
        <v>1</v>
      </c>
      <c r="I351" t="s">
        <v>714</v>
      </c>
      <c r="J351" t="s">
        <v>26</v>
      </c>
      <c r="K351">
        <v>26957350</v>
      </c>
      <c r="L351">
        <v>0</v>
      </c>
      <c r="M351">
        <v>0</v>
      </c>
      <c r="N351">
        <v>2965308.5</v>
      </c>
      <c r="O351">
        <v>0</v>
      </c>
      <c r="P351">
        <v>0</v>
      </c>
      <c r="Q351">
        <v>0</v>
      </c>
      <c r="R351">
        <v>29922658.5</v>
      </c>
      <c r="S351">
        <v>7499331</v>
      </c>
      <c r="T351">
        <v>27.819244102258001</v>
      </c>
      <c r="U351" t="str">
        <f t="shared" si="5"/>
        <v>Week 4</v>
      </c>
    </row>
    <row r="352" spans="1:21" x14ac:dyDescent="0.25">
      <c r="A352">
        <v>351</v>
      </c>
      <c r="B352" t="s">
        <v>715</v>
      </c>
      <c r="C352" s="1">
        <v>46076</v>
      </c>
      <c r="D352" t="s">
        <v>21</v>
      </c>
      <c r="E352" t="s">
        <v>22</v>
      </c>
      <c r="F352" t="s">
        <v>30</v>
      </c>
      <c r="G352" t="s">
        <v>24</v>
      </c>
      <c r="H352" s="2">
        <v>1</v>
      </c>
      <c r="I352" t="s">
        <v>716</v>
      </c>
      <c r="J352" t="s">
        <v>26</v>
      </c>
      <c r="K352">
        <v>2294180</v>
      </c>
      <c r="L352">
        <v>0</v>
      </c>
      <c r="M352">
        <v>0</v>
      </c>
      <c r="N352">
        <v>252359.8</v>
      </c>
      <c r="O352">
        <v>0</v>
      </c>
      <c r="P352">
        <v>0</v>
      </c>
      <c r="Q352">
        <v>0</v>
      </c>
      <c r="R352">
        <v>2546539.7999999998</v>
      </c>
      <c r="S352">
        <v>985180</v>
      </c>
      <c r="T352">
        <v>42.942576432537997</v>
      </c>
      <c r="U352" t="str">
        <f t="shared" si="5"/>
        <v>Week 4</v>
      </c>
    </row>
    <row r="353" spans="1:21" x14ac:dyDescent="0.25">
      <c r="A353">
        <v>352</v>
      </c>
      <c r="B353" t="s">
        <v>717</v>
      </c>
      <c r="C353" s="1">
        <v>46076</v>
      </c>
      <c r="D353" t="s">
        <v>21</v>
      </c>
      <c r="E353" t="s">
        <v>22</v>
      </c>
      <c r="F353" t="s">
        <v>30</v>
      </c>
      <c r="G353" t="s">
        <v>24</v>
      </c>
      <c r="H353" s="2">
        <v>1</v>
      </c>
      <c r="I353" t="s">
        <v>718</v>
      </c>
      <c r="J353" t="s">
        <v>26</v>
      </c>
      <c r="K353">
        <v>1299480</v>
      </c>
      <c r="L353">
        <v>0</v>
      </c>
      <c r="M353">
        <v>0</v>
      </c>
      <c r="N353">
        <v>142942.79999999999</v>
      </c>
      <c r="O353">
        <v>0</v>
      </c>
      <c r="P353">
        <v>0</v>
      </c>
      <c r="Q353">
        <v>0</v>
      </c>
      <c r="R353">
        <v>1442422.8</v>
      </c>
      <c r="S353">
        <v>921102</v>
      </c>
      <c r="T353">
        <v>70.882352941175995</v>
      </c>
      <c r="U353" t="str">
        <f t="shared" si="5"/>
        <v>Week 4</v>
      </c>
    </row>
    <row r="354" spans="1:21" x14ac:dyDescent="0.25">
      <c r="A354">
        <v>353</v>
      </c>
      <c r="B354" t="s">
        <v>719</v>
      </c>
      <c r="C354" s="1">
        <v>46076</v>
      </c>
      <c r="D354" t="s">
        <v>28</v>
      </c>
      <c r="E354" t="s">
        <v>29</v>
      </c>
      <c r="F354" t="s">
        <v>30</v>
      </c>
      <c r="G354" t="s">
        <v>24</v>
      </c>
      <c r="H354" s="2">
        <v>1</v>
      </c>
      <c r="I354" t="s">
        <v>720</v>
      </c>
      <c r="K354">
        <v>51718460</v>
      </c>
      <c r="L354">
        <v>0</v>
      </c>
      <c r="M354">
        <v>0</v>
      </c>
      <c r="N354">
        <v>5689030.5999999996</v>
      </c>
      <c r="O354">
        <v>0</v>
      </c>
      <c r="P354">
        <v>0</v>
      </c>
      <c r="Q354">
        <v>0</v>
      </c>
      <c r="R354">
        <v>57407490.600000001</v>
      </c>
      <c r="S354">
        <v>-19188540</v>
      </c>
      <c r="T354">
        <v>-37.101916801080002</v>
      </c>
      <c r="U354" t="str">
        <f t="shared" si="5"/>
        <v>Week 4</v>
      </c>
    </row>
    <row r="355" spans="1:21" x14ac:dyDescent="0.25">
      <c r="A355">
        <v>354</v>
      </c>
      <c r="B355" t="s">
        <v>721</v>
      </c>
      <c r="C355" s="1">
        <v>46076</v>
      </c>
      <c r="D355" t="s">
        <v>204</v>
      </c>
      <c r="E355" t="s">
        <v>205</v>
      </c>
      <c r="F355" t="s">
        <v>23</v>
      </c>
      <c r="G355" t="s">
        <v>24</v>
      </c>
      <c r="H355" s="2">
        <v>1</v>
      </c>
      <c r="I355" t="s">
        <v>722</v>
      </c>
      <c r="J355" t="s">
        <v>57</v>
      </c>
      <c r="K355">
        <v>135074409</v>
      </c>
      <c r="L355">
        <v>0</v>
      </c>
      <c r="M355">
        <v>0</v>
      </c>
      <c r="N355">
        <v>14858184.99</v>
      </c>
      <c r="O355">
        <v>0</v>
      </c>
      <c r="P355">
        <v>0</v>
      </c>
      <c r="Q355">
        <v>0</v>
      </c>
      <c r="R355">
        <v>149932593.99000001</v>
      </c>
      <c r="S355">
        <v>28936320.48</v>
      </c>
      <c r="T355">
        <v>21.422503858595</v>
      </c>
      <c r="U355" t="str">
        <f t="shared" si="5"/>
        <v>Week 4</v>
      </c>
    </row>
    <row r="356" spans="1:21" x14ac:dyDescent="0.25">
      <c r="A356">
        <v>355</v>
      </c>
      <c r="B356" t="s">
        <v>723</v>
      </c>
      <c r="C356" s="1">
        <v>46076</v>
      </c>
      <c r="D356" t="s">
        <v>37</v>
      </c>
      <c r="E356" t="s">
        <v>38</v>
      </c>
      <c r="F356" t="s">
        <v>30</v>
      </c>
      <c r="G356" t="s">
        <v>24</v>
      </c>
      <c r="H356" s="2">
        <v>1</v>
      </c>
      <c r="I356" t="s">
        <v>724</v>
      </c>
      <c r="K356">
        <v>1478387.82</v>
      </c>
      <c r="L356">
        <v>0</v>
      </c>
      <c r="M356">
        <v>0</v>
      </c>
      <c r="N356">
        <v>162622.66020000001</v>
      </c>
      <c r="O356">
        <v>0</v>
      </c>
      <c r="P356">
        <v>0</v>
      </c>
      <c r="Q356">
        <v>0</v>
      </c>
      <c r="R356">
        <v>1641010.4802000001</v>
      </c>
      <c r="S356">
        <v>517103.82</v>
      </c>
      <c r="T356">
        <v>34.977548719253001</v>
      </c>
      <c r="U356" t="str">
        <f t="shared" si="5"/>
        <v>Week 4</v>
      </c>
    </row>
    <row r="357" spans="1:21" x14ac:dyDescent="0.25">
      <c r="A357">
        <v>356</v>
      </c>
      <c r="B357" t="s">
        <v>725</v>
      </c>
      <c r="C357" s="1">
        <v>46076</v>
      </c>
      <c r="D357" t="s">
        <v>37</v>
      </c>
      <c r="E357" t="s">
        <v>38</v>
      </c>
      <c r="F357" t="s">
        <v>30</v>
      </c>
      <c r="G357" t="s">
        <v>24</v>
      </c>
      <c r="H357" s="2">
        <v>1</v>
      </c>
      <c r="I357" t="s">
        <v>726</v>
      </c>
      <c r="K357">
        <v>13676923.119999999</v>
      </c>
      <c r="L357">
        <v>0</v>
      </c>
      <c r="M357">
        <v>0</v>
      </c>
      <c r="N357">
        <v>1504461.5432</v>
      </c>
      <c r="O357">
        <v>0</v>
      </c>
      <c r="P357">
        <v>0</v>
      </c>
      <c r="Q357">
        <v>0</v>
      </c>
      <c r="R357">
        <v>15181384.6632</v>
      </c>
      <c r="S357">
        <v>4271575.12</v>
      </c>
      <c r="T357">
        <v>31.231988967997999</v>
      </c>
      <c r="U357" t="str">
        <f t="shared" si="5"/>
        <v>Week 4</v>
      </c>
    </row>
    <row r="358" spans="1:21" x14ac:dyDescent="0.25">
      <c r="A358">
        <v>357</v>
      </c>
      <c r="B358" t="s">
        <v>727</v>
      </c>
      <c r="C358" s="1">
        <v>46076</v>
      </c>
      <c r="D358" t="s">
        <v>54</v>
      </c>
      <c r="E358" t="s">
        <v>55</v>
      </c>
      <c r="F358" t="s">
        <v>23</v>
      </c>
      <c r="G358" t="s">
        <v>24</v>
      </c>
      <c r="H358" s="2">
        <v>1</v>
      </c>
      <c r="I358" t="s">
        <v>308</v>
      </c>
      <c r="K358">
        <v>186013853</v>
      </c>
      <c r="L358">
        <v>0</v>
      </c>
      <c r="M358">
        <v>0</v>
      </c>
      <c r="N358">
        <v>20461523.829999998</v>
      </c>
      <c r="O358">
        <v>0</v>
      </c>
      <c r="P358">
        <v>0</v>
      </c>
      <c r="Q358">
        <v>0</v>
      </c>
      <c r="R358">
        <v>206475376.83000001</v>
      </c>
      <c r="S358">
        <v>37807953</v>
      </c>
      <c r="T358">
        <v>20.325342650690001</v>
      </c>
      <c r="U358" t="str">
        <f t="shared" si="5"/>
        <v>Week 4</v>
      </c>
    </row>
    <row r="359" spans="1:21" x14ac:dyDescent="0.25">
      <c r="A359">
        <v>358</v>
      </c>
      <c r="B359" t="s">
        <v>728</v>
      </c>
      <c r="C359" s="1">
        <v>46074</v>
      </c>
      <c r="D359" t="s">
        <v>99</v>
      </c>
      <c r="E359" t="s">
        <v>100</v>
      </c>
      <c r="F359" t="s">
        <v>30</v>
      </c>
      <c r="G359" t="s">
        <v>24</v>
      </c>
      <c r="H359" s="2">
        <v>1</v>
      </c>
      <c r="I359" t="s">
        <v>729</v>
      </c>
      <c r="K359">
        <v>117245013</v>
      </c>
      <c r="L359">
        <v>0</v>
      </c>
      <c r="M359">
        <v>0</v>
      </c>
      <c r="N359">
        <v>12896951.43</v>
      </c>
      <c r="O359">
        <v>0</v>
      </c>
      <c r="P359">
        <v>0</v>
      </c>
      <c r="Q359">
        <v>0</v>
      </c>
      <c r="R359">
        <v>130141964.43000001</v>
      </c>
      <c r="S359">
        <v>9338513</v>
      </c>
      <c r="T359">
        <v>7.9649554049689</v>
      </c>
      <c r="U359" t="str">
        <f t="shared" si="5"/>
        <v>Week 3</v>
      </c>
    </row>
    <row r="360" spans="1:21" x14ac:dyDescent="0.25">
      <c r="A360">
        <v>359</v>
      </c>
      <c r="B360" t="s">
        <v>730</v>
      </c>
      <c r="C360" s="1">
        <v>46074</v>
      </c>
      <c r="D360" t="s">
        <v>37</v>
      </c>
      <c r="E360" t="s">
        <v>38</v>
      </c>
      <c r="F360" t="s">
        <v>23</v>
      </c>
      <c r="G360" t="s">
        <v>24</v>
      </c>
      <c r="H360" s="2">
        <v>1</v>
      </c>
      <c r="I360" t="s">
        <v>731</v>
      </c>
      <c r="K360">
        <v>1372235</v>
      </c>
      <c r="L360">
        <v>0</v>
      </c>
      <c r="M360">
        <v>0</v>
      </c>
      <c r="N360">
        <v>150945.85</v>
      </c>
      <c r="O360">
        <v>0</v>
      </c>
      <c r="P360">
        <v>0</v>
      </c>
      <c r="Q360">
        <v>0</v>
      </c>
      <c r="R360">
        <v>1523180.85</v>
      </c>
      <c r="S360">
        <v>1192054.8</v>
      </c>
      <c r="T360">
        <v>86.869581376368004</v>
      </c>
      <c r="U360" t="str">
        <f t="shared" si="5"/>
        <v>Week 3</v>
      </c>
    </row>
    <row r="361" spans="1:21" x14ac:dyDescent="0.25">
      <c r="A361">
        <v>360</v>
      </c>
      <c r="B361" t="s">
        <v>732</v>
      </c>
      <c r="C361" s="1">
        <v>46074</v>
      </c>
      <c r="D361" t="s">
        <v>37</v>
      </c>
      <c r="E361" t="s">
        <v>38</v>
      </c>
      <c r="F361" t="s">
        <v>23</v>
      </c>
      <c r="G361" t="s">
        <v>24</v>
      </c>
      <c r="H361" s="2">
        <v>1</v>
      </c>
      <c r="I361" t="s">
        <v>733</v>
      </c>
      <c r="J361" t="s">
        <v>26</v>
      </c>
      <c r="K361">
        <v>11481090</v>
      </c>
      <c r="L361">
        <v>0</v>
      </c>
      <c r="M361">
        <v>0</v>
      </c>
      <c r="N361">
        <v>1262919.8999999999</v>
      </c>
      <c r="O361">
        <v>0</v>
      </c>
      <c r="P361">
        <v>0</v>
      </c>
      <c r="Q361">
        <v>0</v>
      </c>
      <c r="R361">
        <v>12744009.9</v>
      </c>
      <c r="S361">
        <v>1890297</v>
      </c>
      <c r="T361">
        <v>16.464438481015002</v>
      </c>
      <c r="U361" t="str">
        <f t="shared" si="5"/>
        <v>Week 3</v>
      </c>
    </row>
    <row r="362" spans="1:21" x14ac:dyDescent="0.25">
      <c r="A362">
        <v>361</v>
      </c>
      <c r="B362" t="s">
        <v>734</v>
      </c>
      <c r="C362" s="1">
        <v>46074</v>
      </c>
      <c r="D362" t="s">
        <v>99</v>
      </c>
      <c r="E362" t="s">
        <v>100</v>
      </c>
      <c r="F362" t="s">
        <v>23</v>
      </c>
      <c r="G362" t="s">
        <v>24</v>
      </c>
      <c r="H362" s="2">
        <v>1</v>
      </c>
      <c r="I362" t="s">
        <v>735</v>
      </c>
      <c r="K362">
        <v>18685000</v>
      </c>
      <c r="L362">
        <v>0</v>
      </c>
      <c r="M362">
        <v>0</v>
      </c>
      <c r="N362">
        <v>2055350</v>
      </c>
      <c r="O362">
        <v>0</v>
      </c>
      <c r="P362">
        <v>0</v>
      </c>
      <c r="Q362">
        <v>0</v>
      </c>
      <c r="R362">
        <v>20740350</v>
      </c>
      <c r="S362">
        <v>14164000</v>
      </c>
      <c r="T362">
        <v>75.804120952635998</v>
      </c>
      <c r="U362" t="str">
        <f t="shared" si="5"/>
        <v>Week 3</v>
      </c>
    </row>
    <row r="363" spans="1:21" x14ac:dyDescent="0.25">
      <c r="A363">
        <v>362</v>
      </c>
      <c r="B363" t="s">
        <v>736</v>
      </c>
      <c r="C363" s="1">
        <v>46074</v>
      </c>
      <c r="D363" t="s">
        <v>204</v>
      </c>
      <c r="E363" t="s">
        <v>205</v>
      </c>
      <c r="F363" t="s">
        <v>23</v>
      </c>
      <c r="G363" t="s">
        <v>24</v>
      </c>
      <c r="H363" s="2">
        <v>1</v>
      </c>
      <c r="I363" t="s">
        <v>737</v>
      </c>
      <c r="J363" t="s">
        <v>26</v>
      </c>
      <c r="K363">
        <v>20190000</v>
      </c>
      <c r="L363">
        <v>0</v>
      </c>
      <c r="M363">
        <v>0</v>
      </c>
      <c r="N363">
        <v>2220900</v>
      </c>
      <c r="O363">
        <v>0</v>
      </c>
      <c r="P363">
        <v>0</v>
      </c>
      <c r="Q363">
        <v>0</v>
      </c>
      <c r="R363">
        <v>22410900</v>
      </c>
      <c r="S363">
        <v>5306131.5315314997</v>
      </c>
      <c r="T363">
        <v>26.280988269101002</v>
      </c>
      <c r="U363" t="str">
        <f t="shared" si="5"/>
        <v>Week 3</v>
      </c>
    </row>
    <row r="364" spans="1:21" x14ac:dyDescent="0.25">
      <c r="A364">
        <v>363</v>
      </c>
      <c r="B364" t="s">
        <v>738</v>
      </c>
      <c r="C364" s="1">
        <v>46074</v>
      </c>
      <c r="D364" t="s">
        <v>21</v>
      </c>
      <c r="E364" t="s">
        <v>22</v>
      </c>
      <c r="F364" t="s">
        <v>23</v>
      </c>
      <c r="G364" t="s">
        <v>24</v>
      </c>
      <c r="H364" s="2">
        <v>1</v>
      </c>
      <c r="I364" t="s">
        <v>739</v>
      </c>
      <c r="J364" t="s">
        <v>26</v>
      </c>
      <c r="K364">
        <v>16135483.5</v>
      </c>
      <c r="L364">
        <v>0</v>
      </c>
      <c r="M364">
        <v>0</v>
      </c>
      <c r="N364">
        <v>1774903.1850000001</v>
      </c>
      <c r="O364">
        <v>0</v>
      </c>
      <c r="P364">
        <v>0</v>
      </c>
      <c r="Q364">
        <v>0</v>
      </c>
      <c r="R364">
        <v>17910386.684999999</v>
      </c>
      <c r="S364">
        <v>6131158.1571185002</v>
      </c>
      <c r="T364">
        <v>37.997982255186002</v>
      </c>
      <c r="U364" t="str">
        <f t="shared" si="5"/>
        <v>Week 3</v>
      </c>
    </row>
    <row r="365" spans="1:21" x14ac:dyDescent="0.25">
      <c r="A365">
        <v>364</v>
      </c>
      <c r="B365" t="s">
        <v>740</v>
      </c>
      <c r="C365" s="1">
        <v>46074</v>
      </c>
      <c r="D365" t="s">
        <v>99</v>
      </c>
      <c r="E365" t="s">
        <v>100</v>
      </c>
      <c r="F365" t="s">
        <v>23</v>
      </c>
      <c r="G365" t="s">
        <v>24</v>
      </c>
      <c r="H365" s="2">
        <v>1</v>
      </c>
      <c r="I365" t="s">
        <v>741</v>
      </c>
      <c r="K365">
        <v>333570000</v>
      </c>
      <c r="L365">
        <v>0</v>
      </c>
      <c r="M365">
        <v>0</v>
      </c>
      <c r="N365">
        <v>36692700</v>
      </c>
      <c r="O365">
        <v>0</v>
      </c>
      <c r="P365">
        <v>0</v>
      </c>
      <c r="Q365">
        <v>0</v>
      </c>
      <c r="R365">
        <v>370262700</v>
      </c>
      <c r="S365">
        <v>120209000</v>
      </c>
      <c r="T365">
        <v>36.037113649308999</v>
      </c>
      <c r="U365" t="str">
        <f t="shared" si="5"/>
        <v>Week 3</v>
      </c>
    </row>
    <row r="366" spans="1:21" x14ac:dyDescent="0.25">
      <c r="A366">
        <v>365</v>
      </c>
      <c r="B366" t="s">
        <v>742</v>
      </c>
      <c r="C366" s="1">
        <v>46074</v>
      </c>
      <c r="D366" t="s">
        <v>99</v>
      </c>
      <c r="E366" t="s">
        <v>100</v>
      </c>
      <c r="F366" t="s">
        <v>23</v>
      </c>
      <c r="G366" t="s">
        <v>24</v>
      </c>
      <c r="H366" s="2">
        <v>1</v>
      </c>
      <c r="I366" t="s">
        <v>593</v>
      </c>
      <c r="K366">
        <v>780584</v>
      </c>
      <c r="L366">
        <v>0</v>
      </c>
      <c r="M366">
        <v>0</v>
      </c>
      <c r="N366">
        <v>85864.24</v>
      </c>
      <c r="O366">
        <v>0</v>
      </c>
      <c r="P366">
        <v>0</v>
      </c>
      <c r="Q366">
        <v>0</v>
      </c>
      <c r="R366">
        <v>866448.24</v>
      </c>
      <c r="S366">
        <v>385998.41</v>
      </c>
      <c r="T366">
        <v>49.449951574718</v>
      </c>
      <c r="U366" t="str">
        <f t="shared" si="5"/>
        <v>Week 3</v>
      </c>
    </row>
    <row r="367" spans="1:21" x14ac:dyDescent="0.25">
      <c r="A367">
        <v>366</v>
      </c>
      <c r="B367" t="s">
        <v>743</v>
      </c>
      <c r="C367" s="1">
        <v>46074</v>
      </c>
      <c r="D367" t="s">
        <v>21</v>
      </c>
      <c r="E367" t="s">
        <v>22</v>
      </c>
      <c r="F367" t="s">
        <v>30</v>
      </c>
      <c r="G367" t="s">
        <v>24</v>
      </c>
      <c r="H367" s="2">
        <v>1</v>
      </c>
      <c r="I367" t="s">
        <v>744</v>
      </c>
      <c r="J367" t="s">
        <v>26</v>
      </c>
      <c r="K367">
        <v>7967400</v>
      </c>
      <c r="L367">
        <v>0</v>
      </c>
      <c r="M367">
        <v>0</v>
      </c>
      <c r="N367">
        <v>876414</v>
      </c>
      <c r="O367">
        <v>0</v>
      </c>
      <c r="P367">
        <v>0</v>
      </c>
      <c r="Q367">
        <v>0</v>
      </c>
      <c r="R367">
        <v>8843814</v>
      </c>
      <c r="S367">
        <v>381400</v>
      </c>
      <c r="T367">
        <v>4.7870070537440004</v>
      </c>
      <c r="U367" t="str">
        <f t="shared" si="5"/>
        <v>Week 3</v>
      </c>
    </row>
    <row r="368" spans="1:21" x14ac:dyDescent="0.25">
      <c r="A368">
        <v>367</v>
      </c>
      <c r="B368" t="s">
        <v>745</v>
      </c>
      <c r="C368" s="1">
        <v>46073</v>
      </c>
      <c r="D368" t="s">
        <v>54</v>
      </c>
      <c r="E368" t="s">
        <v>55</v>
      </c>
      <c r="F368" t="s">
        <v>23</v>
      </c>
      <c r="G368" t="s">
        <v>24</v>
      </c>
      <c r="H368" s="2">
        <v>1</v>
      </c>
      <c r="I368" t="s">
        <v>308</v>
      </c>
      <c r="K368">
        <v>799999</v>
      </c>
      <c r="L368">
        <v>0</v>
      </c>
      <c r="M368">
        <v>0</v>
      </c>
      <c r="N368">
        <v>87999.89</v>
      </c>
      <c r="O368">
        <v>0</v>
      </c>
      <c r="P368">
        <v>0</v>
      </c>
      <c r="Q368">
        <v>0</v>
      </c>
      <c r="R368">
        <v>887998.89</v>
      </c>
      <c r="S368">
        <v>133332.34</v>
      </c>
      <c r="T368">
        <v>16.666563333204</v>
      </c>
      <c r="U368" t="str">
        <f t="shared" si="5"/>
        <v>Week 3</v>
      </c>
    </row>
    <row r="369" spans="1:21" x14ac:dyDescent="0.25">
      <c r="A369">
        <v>368</v>
      </c>
      <c r="B369" t="s">
        <v>746</v>
      </c>
      <c r="C369" s="1">
        <v>46073</v>
      </c>
      <c r="D369" t="s">
        <v>204</v>
      </c>
      <c r="E369" t="s">
        <v>205</v>
      </c>
      <c r="F369" t="s">
        <v>23</v>
      </c>
      <c r="G369" t="s">
        <v>24</v>
      </c>
      <c r="H369" s="2">
        <v>1</v>
      </c>
      <c r="I369" t="s">
        <v>747</v>
      </c>
      <c r="J369" t="s">
        <v>26</v>
      </c>
      <c r="K369">
        <v>133966727</v>
      </c>
      <c r="L369">
        <v>0</v>
      </c>
      <c r="M369">
        <v>0</v>
      </c>
      <c r="N369">
        <v>14736339.970000001</v>
      </c>
      <c r="O369">
        <v>0</v>
      </c>
      <c r="P369">
        <v>0</v>
      </c>
      <c r="Q369">
        <v>0</v>
      </c>
      <c r="R369">
        <v>148703066.97</v>
      </c>
      <c r="S369">
        <v>33483927</v>
      </c>
      <c r="T369">
        <v>24.994211435798999</v>
      </c>
      <c r="U369" t="str">
        <f t="shared" si="5"/>
        <v>Week 3</v>
      </c>
    </row>
    <row r="370" spans="1:21" x14ac:dyDescent="0.25">
      <c r="A370">
        <v>369</v>
      </c>
      <c r="B370" t="s">
        <v>748</v>
      </c>
      <c r="C370" s="1">
        <v>46073</v>
      </c>
      <c r="D370" t="s">
        <v>21</v>
      </c>
      <c r="E370" t="s">
        <v>22</v>
      </c>
      <c r="F370" t="s">
        <v>30</v>
      </c>
      <c r="G370" t="s">
        <v>24</v>
      </c>
      <c r="H370" s="2">
        <v>1</v>
      </c>
      <c r="I370" t="s">
        <v>749</v>
      </c>
      <c r="J370" t="s">
        <v>26</v>
      </c>
      <c r="K370">
        <v>102900000</v>
      </c>
      <c r="L370">
        <v>0</v>
      </c>
      <c r="M370">
        <v>0</v>
      </c>
      <c r="N370">
        <v>11319000</v>
      </c>
      <c r="O370">
        <v>0</v>
      </c>
      <c r="P370">
        <v>0</v>
      </c>
      <c r="Q370">
        <v>0</v>
      </c>
      <c r="R370">
        <v>114219000</v>
      </c>
      <c r="S370">
        <v>31650000</v>
      </c>
      <c r="T370">
        <v>30.758017492711001</v>
      </c>
      <c r="U370" t="str">
        <f t="shared" si="5"/>
        <v>Week 3</v>
      </c>
    </row>
    <row r="371" spans="1:21" x14ac:dyDescent="0.25">
      <c r="A371">
        <v>370</v>
      </c>
      <c r="B371" t="s">
        <v>750</v>
      </c>
      <c r="C371" s="1">
        <v>46073</v>
      </c>
      <c r="D371" t="s">
        <v>33</v>
      </c>
      <c r="E371" t="s">
        <v>38</v>
      </c>
      <c r="F371" t="s">
        <v>23</v>
      </c>
      <c r="G371" t="s">
        <v>24</v>
      </c>
      <c r="H371" s="2">
        <v>1</v>
      </c>
      <c r="I371" t="s">
        <v>751</v>
      </c>
      <c r="J371" t="s">
        <v>752</v>
      </c>
      <c r="K371">
        <v>8332050</v>
      </c>
      <c r="L371">
        <v>0</v>
      </c>
      <c r="M371">
        <v>0</v>
      </c>
      <c r="N371">
        <v>916525.5</v>
      </c>
      <c r="O371">
        <v>0</v>
      </c>
      <c r="P371">
        <v>0</v>
      </c>
      <c r="Q371">
        <v>0</v>
      </c>
      <c r="R371">
        <v>9248575.5</v>
      </c>
      <c r="S371">
        <v>2370050</v>
      </c>
      <c r="T371">
        <v>28.444980527001</v>
      </c>
      <c r="U371" t="str">
        <f t="shared" si="5"/>
        <v>Week 3</v>
      </c>
    </row>
    <row r="372" spans="1:21" x14ac:dyDescent="0.25">
      <c r="A372">
        <v>371</v>
      </c>
      <c r="B372" t="s">
        <v>753</v>
      </c>
      <c r="C372" s="1">
        <v>46073</v>
      </c>
      <c r="D372" t="s">
        <v>312</v>
      </c>
      <c r="E372" t="s">
        <v>100</v>
      </c>
      <c r="F372" t="s">
        <v>23</v>
      </c>
      <c r="G372" t="s">
        <v>24</v>
      </c>
      <c r="H372" s="2">
        <v>1</v>
      </c>
      <c r="I372" t="s">
        <v>702</v>
      </c>
      <c r="K372">
        <v>4275500</v>
      </c>
      <c r="L372">
        <v>0</v>
      </c>
      <c r="M372">
        <v>0</v>
      </c>
      <c r="N372">
        <v>470305</v>
      </c>
      <c r="O372">
        <v>0</v>
      </c>
      <c r="P372">
        <v>0</v>
      </c>
      <c r="Q372">
        <v>0</v>
      </c>
      <c r="R372">
        <v>4745805</v>
      </c>
      <c r="S372">
        <v>1050500</v>
      </c>
      <c r="T372">
        <v>24.570225704596002</v>
      </c>
      <c r="U372" t="str">
        <f t="shared" si="5"/>
        <v>Week 3</v>
      </c>
    </row>
    <row r="373" spans="1:21" x14ac:dyDescent="0.25">
      <c r="A373">
        <v>372</v>
      </c>
      <c r="B373" t="s">
        <v>754</v>
      </c>
      <c r="C373" s="1">
        <v>46073</v>
      </c>
      <c r="D373" t="s">
        <v>33</v>
      </c>
      <c r="E373" t="s">
        <v>38</v>
      </c>
      <c r="F373" t="s">
        <v>23</v>
      </c>
      <c r="G373" t="s">
        <v>24</v>
      </c>
      <c r="H373" s="2">
        <v>1</v>
      </c>
      <c r="I373" t="s">
        <v>755</v>
      </c>
      <c r="K373">
        <v>25352600</v>
      </c>
      <c r="L373">
        <v>0</v>
      </c>
      <c r="M373">
        <v>0</v>
      </c>
      <c r="N373">
        <v>2788786</v>
      </c>
      <c r="O373">
        <v>0</v>
      </c>
      <c r="P373">
        <v>0</v>
      </c>
      <c r="Q373">
        <v>0</v>
      </c>
      <c r="R373">
        <v>28141386</v>
      </c>
      <c r="S373">
        <v>4735300</v>
      </c>
      <c r="T373">
        <v>18.677768749556002</v>
      </c>
      <c r="U373" t="str">
        <f t="shared" si="5"/>
        <v>Week 3</v>
      </c>
    </row>
    <row r="374" spans="1:21" x14ac:dyDescent="0.25">
      <c r="A374">
        <v>373</v>
      </c>
      <c r="B374" t="s">
        <v>756</v>
      </c>
      <c r="C374" s="1">
        <v>46073</v>
      </c>
      <c r="D374" t="s">
        <v>54</v>
      </c>
      <c r="E374" t="s">
        <v>55</v>
      </c>
      <c r="F374" t="s">
        <v>23</v>
      </c>
      <c r="G374" t="s">
        <v>24</v>
      </c>
      <c r="H374" s="2">
        <v>1</v>
      </c>
      <c r="I374" t="s">
        <v>308</v>
      </c>
      <c r="K374">
        <v>4225400</v>
      </c>
      <c r="L374">
        <v>0</v>
      </c>
      <c r="M374">
        <v>0</v>
      </c>
      <c r="N374">
        <v>464794</v>
      </c>
      <c r="O374">
        <v>0</v>
      </c>
      <c r="P374">
        <v>0</v>
      </c>
      <c r="Q374">
        <v>0</v>
      </c>
      <c r="R374">
        <v>4690194</v>
      </c>
      <c r="S374">
        <v>940900</v>
      </c>
      <c r="T374">
        <v>22.267714299238001</v>
      </c>
      <c r="U374" t="str">
        <f t="shared" si="5"/>
        <v>Week 3</v>
      </c>
    </row>
    <row r="375" spans="1:21" x14ac:dyDescent="0.25">
      <c r="A375">
        <v>374</v>
      </c>
      <c r="B375" t="s">
        <v>757</v>
      </c>
      <c r="C375" s="1">
        <v>46073</v>
      </c>
      <c r="D375" t="s">
        <v>186</v>
      </c>
      <c r="E375" t="s">
        <v>117</v>
      </c>
      <c r="F375" t="s">
        <v>30</v>
      </c>
      <c r="G375" t="s">
        <v>24</v>
      </c>
      <c r="H375" s="2">
        <v>1</v>
      </c>
      <c r="I375" t="s">
        <v>581</v>
      </c>
      <c r="J375" t="s">
        <v>26</v>
      </c>
      <c r="K375">
        <v>664440</v>
      </c>
      <c r="L375">
        <v>0</v>
      </c>
      <c r="M375">
        <v>0</v>
      </c>
      <c r="N375">
        <v>73088.399999999994</v>
      </c>
      <c r="O375">
        <v>0</v>
      </c>
      <c r="P375">
        <v>0</v>
      </c>
      <c r="Q375">
        <v>0</v>
      </c>
      <c r="R375">
        <v>737528.4</v>
      </c>
      <c r="S375">
        <v>160440</v>
      </c>
      <c r="T375">
        <v>24.146649810366998</v>
      </c>
      <c r="U375" t="str">
        <f t="shared" si="5"/>
        <v>Week 3</v>
      </c>
    </row>
    <row r="376" spans="1:21" x14ac:dyDescent="0.25">
      <c r="A376">
        <v>375</v>
      </c>
      <c r="B376" t="s">
        <v>758</v>
      </c>
      <c r="C376" s="1">
        <v>46073</v>
      </c>
      <c r="D376" t="s">
        <v>54</v>
      </c>
      <c r="E376" t="s">
        <v>55</v>
      </c>
      <c r="F376" t="s">
        <v>30</v>
      </c>
      <c r="G376" t="s">
        <v>24</v>
      </c>
      <c r="H376" s="2">
        <v>1</v>
      </c>
      <c r="I376" t="s">
        <v>759</v>
      </c>
      <c r="K376">
        <v>79954218</v>
      </c>
      <c r="L376">
        <v>0</v>
      </c>
      <c r="M376">
        <v>0</v>
      </c>
      <c r="N376">
        <v>8794963.9800000004</v>
      </c>
      <c r="O376">
        <v>0</v>
      </c>
      <c r="P376">
        <v>0</v>
      </c>
      <c r="Q376">
        <v>0</v>
      </c>
      <c r="R376">
        <v>88749181.980000004</v>
      </c>
      <c r="S376">
        <v>1608174</v>
      </c>
      <c r="T376">
        <v>2.0113685559404</v>
      </c>
      <c r="U376" t="str">
        <f t="shared" si="5"/>
        <v>Week 3</v>
      </c>
    </row>
    <row r="377" spans="1:21" x14ac:dyDescent="0.25">
      <c r="A377">
        <v>376</v>
      </c>
      <c r="B377" t="s">
        <v>760</v>
      </c>
      <c r="C377" s="1">
        <v>46073</v>
      </c>
      <c r="D377" t="s">
        <v>37</v>
      </c>
      <c r="E377" t="s">
        <v>38</v>
      </c>
      <c r="F377" t="s">
        <v>23</v>
      </c>
      <c r="G377" t="s">
        <v>24</v>
      </c>
      <c r="H377" s="2">
        <v>1</v>
      </c>
      <c r="I377" t="s">
        <v>761</v>
      </c>
      <c r="J377" t="s">
        <v>26</v>
      </c>
      <c r="K377">
        <v>815000</v>
      </c>
      <c r="L377">
        <v>0</v>
      </c>
      <c r="M377">
        <v>0</v>
      </c>
      <c r="N377">
        <v>89650</v>
      </c>
      <c r="O377">
        <v>0</v>
      </c>
      <c r="P377">
        <v>0</v>
      </c>
      <c r="Q377">
        <v>0</v>
      </c>
      <c r="R377">
        <v>904650</v>
      </c>
      <c r="S377">
        <v>165000</v>
      </c>
      <c r="T377">
        <v>20.245398773005999</v>
      </c>
      <c r="U377" t="str">
        <f t="shared" si="5"/>
        <v>Week 3</v>
      </c>
    </row>
    <row r="378" spans="1:21" x14ac:dyDescent="0.25">
      <c r="A378">
        <v>377</v>
      </c>
      <c r="B378" t="s">
        <v>762</v>
      </c>
      <c r="C378" s="1">
        <v>46073</v>
      </c>
      <c r="D378" t="s">
        <v>204</v>
      </c>
      <c r="E378" t="s">
        <v>205</v>
      </c>
      <c r="F378" t="s">
        <v>39</v>
      </c>
      <c r="G378" t="s">
        <v>24</v>
      </c>
      <c r="H378" s="2">
        <v>1</v>
      </c>
      <c r="I378" t="s">
        <v>200</v>
      </c>
      <c r="K378">
        <v>18485348</v>
      </c>
      <c r="L378">
        <v>0</v>
      </c>
      <c r="M378">
        <v>0</v>
      </c>
      <c r="N378">
        <v>2033388.28</v>
      </c>
      <c r="O378">
        <v>0</v>
      </c>
      <c r="P378">
        <v>0</v>
      </c>
      <c r="Q378">
        <v>0</v>
      </c>
      <c r="R378">
        <v>20518736.280000001</v>
      </c>
      <c r="S378">
        <v>3847875.9279279001</v>
      </c>
      <c r="T378">
        <v>20.815815466</v>
      </c>
      <c r="U378" t="str">
        <f t="shared" si="5"/>
        <v>Week 3</v>
      </c>
    </row>
    <row r="379" spans="1:21" x14ac:dyDescent="0.25">
      <c r="A379">
        <v>378</v>
      </c>
      <c r="B379" t="s">
        <v>763</v>
      </c>
      <c r="C379" s="1">
        <v>46073</v>
      </c>
      <c r="D379" t="s">
        <v>21</v>
      </c>
      <c r="E379" t="s">
        <v>22</v>
      </c>
      <c r="F379" t="s">
        <v>23</v>
      </c>
      <c r="G379" t="s">
        <v>24</v>
      </c>
      <c r="H379" s="2">
        <v>1</v>
      </c>
      <c r="I379" t="s">
        <v>149</v>
      </c>
      <c r="J379" t="s">
        <v>26</v>
      </c>
      <c r="K379">
        <v>470000</v>
      </c>
      <c r="L379">
        <v>0</v>
      </c>
      <c r="M379">
        <v>0</v>
      </c>
      <c r="N379">
        <v>51700</v>
      </c>
      <c r="O379">
        <v>0</v>
      </c>
      <c r="P379">
        <v>0</v>
      </c>
      <c r="Q379">
        <v>0</v>
      </c>
      <c r="R379">
        <v>521700</v>
      </c>
      <c r="S379">
        <v>110000</v>
      </c>
      <c r="T379">
        <v>23.404255319149001</v>
      </c>
      <c r="U379" t="str">
        <f t="shared" si="5"/>
        <v>Week 3</v>
      </c>
    </row>
    <row r="380" spans="1:21" x14ac:dyDescent="0.25">
      <c r="A380">
        <v>379</v>
      </c>
      <c r="B380" t="s">
        <v>764</v>
      </c>
      <c r="C380" s="1">
        <v>46072</v>
      </c>
      <c r="D380" t="s">
        <v>204</v>
      </c>
      <c r="E380" t="s">
        <v>205</v>
      </c>
      <c r="F380" t="s">
        <v>23</v>
      </c>
      <c r="G380" t="s">
        <v>24</v>
      </c>
      <c r="H380" s="2">
        <v>1</v>
      </c>
      <c r="I380" t="s">
        <v>765</v>
      </c>
      <c r="J380" t="s">
        <v>26</v>
      </c>
      <c r="K380">
        <v>19309067.423500001</v>
      </c>
      <c r="L380">
        <v>0</v>
      </c>
      <c r="M380">
        <v>0</v>
      </c>
      <c r="N380">
        <v>2123997.4165850002</v>
      </c>
      <c r="O380">
        <v>0</v>
      </c>
      <c r="P380">
        <v>0</v>
      </c>
      <c r="Q380">
        <v>0</v>
      </c>
      <c r="R380">
        <v>21433064.840085</v>
      </c>
      <c r="S380">
        <v>3917464.7195361</v>
      </c>
      <c r="T380">
        <v>20.288212960344001</v>
      </c>
      <c r="U380" t="str">
        <f t="shared" si="5"/>
        <v>Week 3</v>
      </c>
    </row>
    <row r="381" spans="1:21" x14ac:dyDescent="0.25">
      <c r="A381">
        <v>380</v>
      </c>
      <c r="B381" t="s">
        <v>766</v>
      </c>
      <c r="C381" s="1">
        <v>46072</v>
      </c>
      <c r="D381" t="s">
        <v>54</v>
      </c>
      <c r="E381" t="s">
        <v>55</v>
      </c>
      <c r="F381" t="s">
        <v>30</v>
      </c>
      <c r="G381" t="s">
        <v>24</v>
      </c>
      <c r="H381" s="2">
        <v>1</v>
      </c>
      <c r="I381" t="s">
        <v>767</v>
      </c>
      <c r="K381">
        <v>2869096.23</v>
      </c>
      <c r="L381">
        <v>0</v>
      </c>
      <c r="M381">
        <v>0</v>
      </c>
      <c r="N381">
        <v>315600.58529999998</v>
      </c>
      <c r="O381">
        <v>0</v>
      </c>
      <c r="P381">
        <v>0</v>
      </c>
      <c r="Q381">
        <v>0</v>
      </c>
      <c r="R381">
        <v>3184696.8152999999</v>
      </c>
      <c r="S381">
        <v>1369096.23</v>
      </c>
      <c r="T381">
        <v>47.718728137606</v>
      </c>
      <c r="U381" t="str">
        <f t="shared" si="5"/>
        <v>Week 3</v>
      </c>
    </row>
    <row r="382" spans="1:21" x14ac:dyDescent="0.25">
      <c r="A382">
        <v>381</v>
      </c>
      <c r="B382" t="s">
        <v>768</v>
      </c>
      <c r="C382" s="1">
        <v>46072</v>
      </c>
      <c r="D382" t="s">
        <v>33</v>
      </c>
      <c r="E382" t="s">
        <v>34</v>
      </c>
      <c r="F382" t="s">
        <v>23</v>
      </c>
      <c r="G382" t="s">
        <v>24</v>
      </c>
      <c r="H382" s="2">
        <v>1</v>
      </c>
      <c r="I382" t="s">
        <v>769</v>
      </c>
      <c r="K382">
        <v>27858000</v>
      </c>
      <c r="L382">
        <v>0</v>
      </c>
      <c r="M382">
        <v>0</v>
      </c>
      <c r="N382">
        <v>3064380</v>
      </c>
      <c r="O382">
        <v>0</v>
      </c>
      <c r="P382">
        <v>0</v>
      </c>
      <c r="Q382">
        <v>0</v>
      </c>
      <c r="R382">
        <v>30922380</v>
      </c>
      <c r="S382">
        <v>7087050</v>
      </c>
      <c r="T382">
        <v>25.439909541245001</v>
      </c>
      <c r="U382" t="str">
        <f t="shared" si="5"/>
        <v>Week 3</v>
      </c>
    </row>
    <row r="383" spans="1:21" x14ac:dyDescent="0.25">
      <c r="A383">
        <v>382</v>
      </c>
      <c r="B383" t="s">
        <v>770</v>
      </c>
      <c r="C383" s="1">
        <v>46072</v>
      </c>
      <c r="D383" t="s">
        <v>54</v>
      </c>
      <c r="E383" t="s">
        <v>55</v>
      </c>
      <c r="F383" t="s">
        <v>23</v>
      </c>
      <c r="G383" t="s">
        <v>24</v>
      </c>
      <c r="H383" s="2">
        <v>1</v>
      </c>
      <c r="I383" t="s">
        <v>308</v>
      </c>
      <c r="K383">
        <v>210000</v>
      </c>
      <c r="L383">
        <v>0</v>
      </c>
      <c r="M383">
        <v>0</v>
      </c>
      <c r="N383">
        <v>23100</v>
      </c>
      <c r="O383">
        <v>0</v>
      </c>
      <c r="P383">
        <v>0</v>
      </c>
      <c r="Q383">
        <v>0</v>
      </c>
      <c r="R383">
        <v>233100</v>
      </c>
      <c r="S383">
        <v>40000</v>
      </c>
      <c r="T383">
        <v>19.047619047619001</v>
      </c>
      <c r="U383" t="str">
        <f t="shared" si="5"/>
        <v>Week 3</v>
      </c>
    </row>
    <row r="384" spans="1:21" x14ac:dyDescent="0.25">
      <c r="A384">
        <v>383</v>
      </c>
      <c r="B384" t="s">
        <v>771</v>
      </c>
      <c r="C384" s="1">
        <v>46072</v>
      </c>
      <c r="D384" t="s">
        <v>54</v>
      </c>
      <c r="E384" t="s">
        <v>55</v>
      </c>
      <c r="F384" t="s">
        <v>23</v>
      </c>
      <c r="G384" t="s">
        <v>24</v>
      </c>
      <c r="H384" s="2">
        <v>1</v>
      </c>
      <c r="I384" t="s">
        <v>772</v>
      </c>
      <c r="K384">
        <v>93434060</v>
      </c>
      <c r="L384">
        <v>0</v>
      </c>
      <c r="M384">
        <v>0</v>
      </c>
      <c r="N384">
        <v>10277746.6</v>
      </c>
      <c r="O384">
        <v>0</v>
      </c>
      <c r="P384">
        <v>0</v>
      </c>
      <c r="Q384">
        <v>0</v>
      </c>
      <c r="R384">
        <v>103711806.59999999</v>
      </c>
      <c r="S384">
        <v>23670409.547658</v>
      </c>
      <c r="T384">
        <v>25.333812474441999</v>
      </c>
      <c r="U384" t="str">
        <f t="shared" si="5"/>
        <v>Week 3</v>
      </c>
    </row>
    <row r="385" spans="1:21" x14ac:dyDescent="0.25">
      <c r="A385">
        <v>384</v>
      </c>
      <c r="B385" t="s">
        <v>773</v>
      </c>
      <c r="C385" s="1">
        <v>46072</v>
      </c>
      <c r="D385" t="s">
        <v>328</v>
      </c>
      <c r="E385" t="s">
        <v>194</v>
      </c>
      <c r="F385" t="s">
        <v>30</v>
      </c>
      <c r="G385" t="s">
        <v>24</v>
      </c>
      <c r="H385" s="2">
        <v>1</v>
      </c>
      <c r="I385" t="s">
        <v>329</v>
      </c>
      <c r="J385" t="s">
        <v>57</v>
      </c>
      <c r="K385">
        <v>400000</v>
      </c>
      <c r="L385">
        <v>0</v>
      </c>
      <c r="M385">
        <v>0</v>
      </c>
      <c r="N385">
        <v>44000</v>
      </c>
      <c r="O385">
        <v>0</v>
      </c>
      <c r="P385">
        <v>0</v>
      </c>
      <c r="Q385">
        <v>0</v>
      </c>
      <c r="R385">
        <v>444000</v>
      </c>
      <c r="S385">
        <v>128864.86</v>
      </c>
      <c r="T385">
        <v>32.216214999999998</v>
      </c>
      <c r="U385" t="str">
        <f t="shared" si="5"/>
        <v>Week 3</v>
      </c>
    </row>
    <row r="386" spans="1:21" x14ac:dyDescent="0.25">
      <c r="A386">
        <v>385</v>
      </c>
      <c r="B386" t="s">
        <v>774</v>
      </c>
      <c r="C386" s="1">
        <v>46072</v>
      </c>
      <c r="D386" t="s">
        <v>37</v>
      </c>
      <c r="E386" t="s">
        <v>38</v>
      </c>
      <c r="F386" t="s">
        <v>30</v>
      </c>
      <c r="G386" t="s">
        <v>24</v>
      </c>
      <c r="H386" s="2">
        <v>1</v>
      </c>
      <c r="I386" t="s">
        <v>775</v>
      </c>
      <c r="K386">
        <v>1266900</v>
      </c>
      <c r="L386">
        <v>0</v>
      </c>
      <c r="M386">
        <v>0</v>
      </c>
      <c r="N386">
        <v>139359</v>
      </c>
      <c r="O386">
        <v>0</v>
      </c>
      <c r="P386">
        <v>0</v>
      </c>
      <c r="Q386">
        <v>0</v>
      </c>
      <c r="R386">
        <v>1406259</v>
      </c>
      <c r="S386">
        <v>746900</v>
      </c>
      <c r="T386">
        <v>58.954929355118999</v>
      </c>
      <c r="U386" t="str">
        <f t="shared" si="5"/>
        <v>Week 3</v>
      </c>
    </row>
    <row r="387" spans="1:21" x14ac:dyDescent="0.25">
      <c r="A387">
        <v>386</v>
      </c>
      <c r="B387" t="s">
        <v>776</v>
      </c>
      <c r="C387" s="1">
        <v>46072</v>
      </c>
      <c r="D387" t="s">
        <v>21</v>
      </c>
      <c r="E387" t="s">
        <v>22</v>
      </c>
      <c r="F387" t="s">
        <v>30</v>
      </c>
      <c r="G387" t="s">
        <v>24</v>
      </c>
      <c r="H387" s="2">
        <v>1</v>
      </c>
      <c r="I387" t="s">
        <v>777</v>
      </c>
      <c r="J387" t="s">
        <v>57</v>
      </c>
      <c r="K387">
        <v>182176200</v>
      </c>
      <c r="L387">
        <v>0</v>
      </c>
      <c r="M387">
        <v>0</v>
      </c>
      <c r="N387">
        <v>20039382</v>
      </c>
      <c r="O387">
        <v>0</v>
      </c>
      <c r="P387">
        <v>0</v>
      </c>
      <c r="Q387">
        <v>0</v>
      </c>
      <c r="R387">
        <v>202215582</v>
      </c>
      <c r="S387">
        <v>42465389.189189002</v>
      </c>
      <c r="T387">
        <v>23.310064206625</v>
      </c>
      <c r="U387" t="str">
        <f t="shared" ref="U387:U450" si="6">"Week " &amp;IF(DAY(C387)&gt;=24,4,INT((DAY(C387)-1)/7)+1)</f>
        <v>Week 3</v>
      </c>
    </row>
    <row r="388" spans="1:21" x14ac:dyDescent="0.25">
      <c r="A388">
        <v>387</v>
      </c>
      <c r="B388" t="s">
        <v>778</v>
      </c>
      <c r="C388" s="1">
        <v>46072</v>
      </c>
      <c r="D388" t="s">
        <v>28</v>
      </c>
      <c r="E388" t="s">
        <v>29</v>
      </c>
      <c r="F388" t="s">
        <v>23</v>
      </c>
      <c r="G388" t="s">
        <v>24</v>
      </c>
      <c r="H388" s="2">
        <v>1</v>
      </c>
      <c r="I388" t="s">
        <v>200</v>
      </c>
      <c r="K388">
        <v>8663687</v>
      </c>
      <c r="L388">
        <v>0</v>
      </c>
      <c r="M388">
        <v>0</v>
      </c>
      <c r="N388">
        <v>953005.57</v>
      </c>
      <c r="O388">
        <v>0</v>
      </c>
      <c r="P388">
        <v>0</v>
      </c>
      <c r="Q388">
        <v>0</v>
      </c>
      <c r="R388">
        <v>9616692.5700000003</v>
      </c>
      <c r="S388">
        <v>5896090.3600000003</v>
      </c>
      <c r="T388">
        <v>68.055209750768</v>
      </c>
      <c r="U388" t="str">
        <f t="shared" si="6"/>
        <v>Week 3</v>
      </c>
    </row>
    <row r="389" spans="1:21" x14ac:dyDescent="0.25">
      <c r="A389">
        <v>388</v>
      </c>
      <c r="B389" t="s">
        <v>779</v>
      </c>
      <c r="C389" s="1">
        <v>46071</v>
      </c>
      <c r="D389" t="s">
        <v>21</v>
      </c>
      <c r="E389" t="s">
        <v>22</v>
      </c>
      <c r="F389" t="s">
        <v>30</v>
      </c>
      <c r="G389" t="s">
        <v>24</v>
      </c>
      <c r="H389" s="2">
        <v>1</v>
      </c>
      <c r="I389" t="s">
        <v>780</v>
      </c>
      <c r="J389" t="s">
        <v>26</v>
      </c>
      <c r="K389">
        <v>52621672.32</v>
      </c>
      <c r="L389">
        <v>0</v>
      </c>
      <c r="M389">
        <v>0</v>
      </c>
      <c r="N389">
        <v>5788383.9551999997</v>
      </c>
      <c r="O389">
        <v>0</v>
      </c>
      <c r="P389">
        <v>0</v>
      </c>
      <c r="Q389">
        <v>0</v>
      </c>
      <c r="R389">
        <v>58410056.275200002</v>
      </c>
      <c r="S389">
        <v>12367036.963785</v>
      </c>
      <c r="T389">
        <v>23.501793877967</v>
      </c>
      <c r="U389" t="str">
        <f t="shared" si="6"/>
        <v>Week 3</v>
      </c>
    </row>
    <row r="390" spans="1:21" x14ac:dyDescent="0.25">
      <c r="A390">
        <v>389</v>
      </c>
      <c r="B390" t="s">
        <v>781</v>
      </c>
      <c r="C390" s="1">
        <v>46071</v>
      </c>
      <c r="D390" t="s">
        <v>312</v>
      </c>
      <c r="E390" t="s">
        <v>100</v>
      </c>
      <c r="F390" t="s">
        <v>23</v>
      </c>
      <c r="G390" t="s">
        <v>24</v>
      </c>
      <c r="H390" s="2">
        <v>1</v>
      </c>
      <c r="I390" t="s">
        <v>782</v>
      </c>
      <c r="K390">
        <v>15800000</v>
      </c>
      <c r="L390">
        <v>0</v>
      </c>
      <c r="M390">
        <v>0</v>
      </c>
      <c r="N390">
        <v>1738000</v>
      </c>
      <c r="O390">
        <v>0</v>
      </c>
      <c r="P390">
        <v>0</v>
      </c>
      <c r="Q390">
        <v>0</v>
      </c>
      <c r="R390">
        <v>17538000</v>
      </c>
      <c r="S390">
        <v>3421690.1</v>
      </c>
      <c r="T390">
        <v>21.656266455695999</v>
      </c>
      <c r="U390" t="str">
        <f t="shared" si="6"/>
        <v>Week 3</v>
      </c>
    </row>
    <row r="391" spans="1:21" x14ac:dyDescent="0.25">
      <c r="A391">
        <v>390</v>
      </c>
      <c r="B391" t="s">
        <v>783</v>
      </c>
      <c r="C391" s="1">
        <v>46071</v>
      </c>
      <c r="D391" t="s">
        <v>54</v>
      </c>
      <c r="E391" t="s">
        <v>55</v>
      </c>
      <c r="F391" t="s">
        <v>23</v>
      </c>
      <c r="G391" t="s">
        <v>24</v>
      </c>
      <c r="H391" s="2">
        <v>1</v>
      </c>
      <c r="I391" t="s">
        <v>308</v>
      </c>
      <c r="J391" t="s">
        <v>57</v>
      </c>
      <c r="K391">
        <v>138235292</v>
      </c>
      <c r="L391">
        <v>0</v>
      </c>
      <c r="M391">
        <v>0</v>
      </c>
      <c r="N391">
        <v>15205882.119999999</v>
      </c>
      <c r="O391">
        <v>0</v>
      </c>
      <c r="P391">
        <v>0</v>
      </c>
      <c r="Q391">
        <v>0</v>
      </c>
      <c r="R391">
        <v>153441174.12</v>
      </c>
      <c r="S391">
        <v>23235292</v>
      </c>
      <c r="T391">
        <v>16.808509363875</v>
      </c>
      <c r="U391" t="str">
        <f t="shared" si="6"/>
        <v>Week 3</v>
      </c>
    </row>
    <row r="392" spans="1:21" x14ac:dyDescent="0.25">
      <c r="A392">
        <v>391</v>
      </c>
      <c r="B392" t="s">
        <v>784</v>
      </c>
      <c r="C392" s="1">
        <v>46071</v>
      </c>
      <c r="D392" t="s">
        <v>99</v>
      </c>
      <c r="E392" t="s">
        <v>100</v>
      </c>
      <c r="F392" t="s">
        <v>23</v>
      </c>
      <c r="G392" t="s">
        <v>24</v>
      </c>
      <c r="H392" s="2">
        <v>1</v>
      </c>
      <c r="I392" t="s">
        <v>785</v>
      </c>
      <c r="K392">
        <v>2400000</v>
      </c>
      <c r="L392">
        <v>0</v>
      </c>
      <c r="M392">
        <v>0</v>
      </c>
      <c r="N392">
        <v>264000</v>
      </c>
      <c r="O392">
        <v>0</v>
      </c>
      <c r="P392">
        <v>0</v>
      </c>
      <c r="Q392">
        <v>0</v>
      </c>
      <c r="R392">
        <v>2664000</v>
      </c>
      <c r="S392">
        <v>1282882.8</v>
      </c>
      <c r="T392">
        <v>53.453449999999997</v>
      </c>
      <c r="U392" t="str">
        <f t="shared" si="6"/>
        <v>Week 3</v>
      </c>
    </row>
    <row r="393" spans="1:21" x14ac:dyDescent="0.25">
      <c r="A393">
        <v>392</v>
      </c>
      <c r="B393" t="s">
        <v>786</v>
      </c>
      <c r="C393" s="1">
        <v>46071</v>
      </c>
      <c r="D393" t="s">
        <v>33</v>
      </c>
      <c r="E393" t="s">
        <v>34</v>
      </c>
      <c r="F393" t="s">
        <v>23</v>
      </c>
      <c r="G393" t="s">
        <v>24</v>
      </c>
      <c r="H393" s="2">
        <v>1</v>
      </c>
      <c r="I393" t="s">
        <v>787</v>
      </c>
      <c r="K393">
        <v>10700000</v>
      </c>
      <c r="L393">
        <v>0</v>
      </c>
      <c r="M393">
        <v>0</v>
      </c>
      <c r="N393">
        <v>1177000</v>
      </c>
      <c r="O393">
        <v>0</v>
      </c>
      <c r="P393">
        <v>0</v>
      </c>
      <c r="Q393">
        <v>0</v>
      </c>
      <c r="R393">
        <v>11877000</v>
      </c>
      <c r="S393">
        <v>2400000</v>
      </c>
      <c r="T393">
        <v>22.429906542055999</v>
      </c>
      <c r="U393" t="str">
        <f t="shared" si="6"/>
        <v>Week 3</v>
      </c>
    </row>
    <row r="394" spans="1:21" x14ac:dyDescent="0.25">
      <c r="A394">
        <v>393</v>
      </c>
      <c r="B394" t="s">
        <v>788</v>
      </c>
      <c r="C394" s="1">
        <v>46071</v>
      </c>
      <c r="D394" t="s">
        <v>21</v>
      </c>
      <c r="E394" t="s">
        <v>22</v>
      </c>
      <c r="F394" t="s">
        <v>30</v>
      </c>
      <c r="G394" t="s">
        <v>24</v>
      </c>
      <c r="H394" s="2">
        <v>1</v>
      </c>
      <c r="I394" t="s">
        <v>789</v>
      </c>
      <c r="J394" t="s">
        <v>26</v>
      </c>
      <c r="K394">
        <v>1100152.8999999999</v>
      </c>
      <c r="L394">
        <v>0</v>
      </c>
      <c r="M394">
        <v>0</v>
      </c>
      <c r="N394">
        <v>121016.819</v>
      </c>
      <c r="O394">
        <v>0</v>
      </c>
      <c r="P394">
        <v>0</v>
      </c>
      <c r="Q394">
        <v>0</v>
      </c>
      <c r="R394">
        <v>1221169.719</v>
      </c>
      <c r="S394">
        <v>213954.16126125999</v>
      </c>
      <c r="T394">
        <v>19.447675069643999</v>
      </c>
      <c r="U394" t="str">
        <f t="shared" si="6"/>
        <v>Week 3</v>
      </c>
    </row>
    <row r="395" spans="1:21" x14ac:dyDescent="0.25">
      <c r="A395">
        <v>394</v>
      </c>
      <c r="B395" t="s">
        <v>790</v>
      </c>
      <c r="C395" s="1">
        <v>46071</v>
      </c>
      <c r="D395" t="s">
        <v>37</v>
      </c>
      <c r="E395" t="s">
        <v>38</v>
      </c>
      <c r="F395" t="s">
        <v>23</v>
      </c>
      <c r="G395" t="s">
        <v>24</v>
      </c>
      <c r="H395" s="2">
        <v>1</v>
      </c>
      <c r="I395" t="s">
        <v>791</v>
      </c>
      <c r="J395" t="s">
        <v>26</v>
      </c>
      <c r="K395">
        <v>105000</v>
      </c>
      <c r="L395">
        <v>0</v>
      </c>
      <c r="M395">
        <v>0</v>
      </c>
      <c r="N395">
        <v>11550</v>
      </c>
      <c r="O395">
        <v>0</v>
      </c>
      <c r="P395">
        <v>0</v>
      </c>
      <c r="Q395">
        <v>0</v>
      </c>
      <c r="R395">
        <v>116550</v>
      </c>
      <c r="S395">
        <v>22500</v>
      </c>
      <c r="T395">
        <v>21.428571428571001</v>
      </c>
      <c r="U395" t="str">
        <f t="shared" si="6"/>
        <v>Week 3</v>
      </c>
    </row>
    <row r="396" spans="1:21" x14ac:dyDescent="0.25">
      <c r="A396">
        <v>395</v>
      </c>
      <c r="B396" t="s">
        <v>792</v>
      </c>
      <c r="C396" s="1">
        <v>46071</v>
      </c>
      <c r="D396" t="s">
        <v>21</v>
      </c>
      <c r="E396" t="s">
        <v>22</v>
      </c>
      <c r="F396" t="s">
        <v>30</v>
      </c>
      <c r="G396" t="s">
        <v>24</v>
      </c>
      <c r="H396" s="2">
        <v>1</v>
      </c>
      <c r="I396" t="s">
        <v>793</v>
      </c>
      <c r="J396" t="s">
        <v>26</v>
      </c>
      <c r="K396">
        <v>23030388</v>
      </c>
      <c r="L396">
        <v>0</v>
      </c>
      <c r="M396">
        <v>0</v>
      </c>
      <c r="N396">
        <v>2533342.6800000002</v>
      </c>
      <c r="O396">
        <v>0</v>
      </c>
      <c r="P396">
        <v>0</v>
      </c>
      <c r="Q396">
        <v>0</v>
      </c>
      <c r="R396">
        <v>25563730.68</v>
      </c>
      <c r="S396">
        <v>-1912790.34</v>
      </c>
      <c r="T396">
        <v>-8.3055063596844008</v>
      </c>
      <c r="U396" t="str">
        <f t="shared" si="6"/>
        <v>Week 3</v>
      </c>
    </row>
    <row r="397" spans="1:21" x14ac:dyDescent="0.25">
      <c r="A397">
        <v>396</v>
      </c>
      <c r="B397" t="s">
        <v>794</v>
      </c>
      <c r="C397" s="1">
        <v>46071</v>
      </c>
      <c r="D397" t="s">
        <v>37</v>
      </c>
      <c r="E397" t="s">
        <v>38</v>
      </c>
      <c r="F397" t="s">
        <v>23</v>
      </c>
      <c r="G397" t="s">
        <v>24</v>
      </c>
      <c r="H397" s="2">
        <v>1</v>
      </c>
      <c r="I397" t="s">
        <v>795</v>
      </c>
      <c r="J397" t="s">
        <v>26</v>
      </c>
      <c r="K397">
        <v>1500000</v>
      </c>
      <c r="L397">
        <v>0</v>
      </c>
      <c r="M397">
        <v>0</v>
      </c>
      <c r="N397">
        <v>165000</v>
      </c>
      <c r="O397">
        <v>0</v>
      </c>
      <c r="P397">
        <v>0</v>
      </c>
      <c r="Q397">
        <v>0</v>
      </c>
      <c r="R397">
        <v>1665000</v>
      </c>
      <c r="S397">
        <v>889500</v>
      </c>
      <c r="T397">
        <v>59.3</v>
      </c>
      <c r="U397" t="str">
        <f t="shared" si="6"/>
        <v>Week 3</v>
      </c>
    </row>
    <row r="398" spans="1:21" x14ac:dyDescent="0.25">
      <c r="A398">
        <v>397</v>
      </c>
      <c r="B398" t="s">
        <v>796</v>
      </c>
      <c r="C398" s="1">
        <v>46071</v>
      </c>
      <c r="D398" t="s">
        <v>21</v>
      </c>
      <c r="E398" t="s">
        <v>22</v>
      </c>
      <c r="F398" t="s">
        <v>30</v>
      </c>
      <c r="G398" t="s">
        <v>24</v>
      </c>
      <c r="H398" s="2">
        <v>1</v>
      </c>
      <c r="I398" t="s">
        <v>797</v>
      </c>
      <c r="J398" t="s">
        <v>26</v>
      </c>
      <c r="K398">
        <v>17055483</v>
      </c>
      <c r="L398">
        <v>0</v>
      </c>
      <c r="M398">
        <v>0</v>
      </c>
      <c r="N398">
        <v>1876103.13</v>
      </c>
      <c r="O398">
        <v>0</v>
      </c>
      <c r="P398">
        <v>0</v>
      </c>
      <c r="Q398">
        <v>0</v>
      </c>
      <c r="R398">
        <v>18931586.129999999</v>
      </c>
      <c r="S398">
        <v>1054660.95</v>
      </c>
      <c r="T398">
        <v>6.1837061430625999</v>
      </c>
      <c r="U398" t="str">
        <f t="shared" si="6"/>
        <v>Week 3</v>
      </c>
    </row>
    <row r="399" spans="1:21" x14ac:dyDescent="0.25">
      <c r="A399">
        <v>398</v>
      </c>
      <c r="B399" t="s">
        <v>798</v>
      </c>
      <c r="C399" s="1">
        <v>46071</v>
      </c>
      <c r="D399" t="s">
        <v>21</v>
      </c>
      <c r="E399" t="s">
        <v>22</v>
      </c>
      <c r="F399" t="s">
        <v>30</v>
      </c>
      <c r="G399" t="s">
        <v>24</v>
      </c>
      <c r="H399" s="2">
        <v>1</v>
      </c>
      <c r="I399" t="s">
        <v>799</v>
      </c>
      <c r="J399" t="s">
        <v>57</v>
      </c>
      <c r="K399">
        <v>116851960</v>
      </c>
      <c r="L399">
        <v>0</v>
      </c>
      <c r="M399">
        <v>0</v>
      </c>
      <c r="N399">
        <v>12853715.6</v>
      </c>
      <c r="O399">
        <v>0</v>
      </c>
      <c r="P399">
        <v>0</v>
      </c>
      <c r="Q399">
        <v>0</v>
      </c>
      <c r="R399">
        <v>129705675.59999999</v>
      </c>
      <c r="S399">
        <v>6643448.3200000003</v>
      </c>
      <c r="T399">
        <v>5.6853546316210997</v>
      </c>
      <c r="U399" t="str">
        <f t="shared" si="6"/>
        <v>Week 3</v>
      </c>
    </row>
    <row r="400" spans="1:21" x14ac:dyDescent="0.25">
      <c r="A400">
        <v>399</v>
      </c>
      <c r="B400" t="s">
        <v>800</v>
      </c>
      <c r="C400" s="1">
        <v>46071</v>
      </c>
      <c r="D400" t="s">
        <v>255</v>
      </c>
      <c r="E400" t="s">
        <v>205</v>
      </c>
      <c r="F400" t="s">
        <v>23</v>
      </c>
      <c r="G400" t="s">
        <v>24</v>
      </c>
      <c r="H400" s="2">
        <v>1</v>
      </c>
      <c r="I400" t="s">
        <v>801</v>
      </c>
      <c r="J400" t="s">
        <v>57</v>
      </c>
      <c r="K400">
        <v>54500000</v>
      </c>
      <c r="L400">
        <v>0</v>
      </c>
      <c r="M400">
        <v>0</v>
      </c>
      <c r="N400">
        <v>5995000</v>
      </c>
      <c r="O400">
        <v>0</v>
      </c>
      <c r="P400">
        <v>0</v>
      </c>
      <c r="Q400">
        <v>0</v>
      </c>
      <c r="R400">
        <v>60495000</v>
      </c>
      <c r="S400">
        <v>10581085</v>
      </c>
      <c r="T400">
        <v>19.414834862385</v>
      </c>
      <c r="U400" t="str">
        <f t="shared" si="6"/>
        <v>Week 3</v>
      </c>
    </row>
    <row r="401" spans="1:21" x14ac:dyDescent="0.25">
      <c r="A401">
        <v>400</v>
      </c>
      <c r="B401" t="s">
        <v>802</v>
      </c>
      <c r="C401" s="1">
        <v>46071</v>
      </c>
      <c r="D401" t="s">
        <v>54</v>
      </c>
      <c r="E401" t="s">
        <v>55</v>
      </c>
      <c r="F401" t="s">
        <v>23</v>
      </c>
      <c r="G401" t="s">
        <v>24</v>
      </c>
      <c r="H401" s="2">
        <v>1</v>
      </c>
      <c r="I401" t="s">
        <v>308</v>
      </c>
      <c r="K401">
        <v>13313090</v>
      </c>
      <c r="L401">
        <v>0</v>
      </c>
      <c r="M401">
        <v>0</v>
      </c>
      <c r="N401">
        <v>1464439.9</v>
      </c>
      <c r="O401">
        <v>0</v>
      </c>
      <c r="P401">
        <v>0</v>
      </c>
      <c r="Q401">
        <v>0</v>
      </c>
      <c r="R401">
        <v>14777529.9</v>
      </c>
      <c r="S401">
        <v>4235234.1500000004</v>
      </c>
      <c r="T401">
        <v>31.812555537445</v>
      </c>
      <c r="U401" t="str">
        <f t="shared" si="6"/>
        <v>Week 3</v>
      </c>
    </row>
    <row r="402" spans="1:21" x14ac:dyDescent="0.25">
      <c r="A402">
        <v>401</v>
      </c>
      <c r="B402" t="s">
        <v>803</v>
      </c>
      <c r="C402" s="1">
        <v>46071</v>
      </c>
      <c r="D402" t="s">
        <v>54</v>
      </c>
      <c r="E402" t="s">
        <v>55</v>
      </c>
      <c r="F402" t="s">
        <v>23</v>
      </c>
      <c r="G402" t="s">
        <v>24</v>
      </c>
      <c r="H402" s="2">
        <v>1</v>
      </c>
      <c r="I402" t="s">
        <v>804</v>
      </c>
      <c r="K402">
        <v>13794000</v>
      </c>
      <c r="L402">
        <v>0</v>
      </c>
      <c r="M402">
        <v>0</v>
      </c>
      <c r="N402">
        <v>1517340</v>
      </c>
      <c r="O402">
        <v>0</v>
      </c>
      <c r="P402">
        <v>0</v>
      </c>
      <c r="Q402">
        <v>0</v>
      </c>
      <c r="R402">
        <v>15311340</v>
      </c>
      <c r="S402">
        <v>3214800</v>
      </c>
      <c r="T402">
        <v>23.305785123966999</v>
      </c>
      <c r="U402" t="str">
        <f t="shared" si="6"/>
        <v>Week 3</v>
      </c>
    </row>
    <row r="403" spans="1:21" x14ac:dyDescent="0.25">
      <c r="A403">
        <v>402</v>
      </c>
      <c r="B403" t="s">
        <v>805</v>
      </c>
      <c r="C403" s="1">
        <v>46071</v>
      </c>
      <c r="D403" t="s">
        <v>54</v>
      </c>
      <c r="E403" t="s">
        <v>55</v>
      </c>
      <c r="F403" t="s">
        <v>39</v>
      </c>
      <c r="G403" t="s">
        <v>24</v>
      </c>
      <c r="H403" s="2">
        <v>1</v>
      </c>
      <c r="I403" t="s">
        <v>804</v>
      </c>
      <c r="K403">
        <v>171707839.61905</v>
      </c>
      <c r="L403">
        <v>0</v>
      </c>
      <c r="M403">
        <v>0</v>
      </c>
      <c r="N403">
        <v>18887862.358095001</v>
      </c>
      <c r="O403">
        <v>0</v>
      </c>
      <c r="P403">
        <v>0</v>
      </c>
      <c r="Q403">
        <v>0</v>
      </c>
      <c r="R403">
        <v>190595701.97714001</v>
      </c>
      <c r="S403">
        <v>46801443.619047999</v>
      </c>
      <c r="T403">
        <v>27.256439614453001</v>
      </c>
      <c r="U403" t="str">
        <f t="shared" si="6"/>
        <v>Week 3</v>
      </c>
    </row>
    <row r="404" spans="1:21" x14ac:dyDescent="0.25">
      <c r="A404">
        <v>403</v>
      </c>
      <c r="B404" t="s">
        <v>806</v>
      </c>
      <c r="C404" s="1">
        <v>46071</v>
      </c>
      <c r="D404" t="s">
        <v>113</v>
      </c>
      <c r="E404" t="s">
        <v>38</v>
      </c>
      <c r="F404" t="s">
        <v>30</v>
      </c>
      <c r="G404" t="s">
        <v>24</v>
      </c>
      <c r="H404" s="2">
        <v>1</v>
      </c>
      <c r="I404" t="s">
        <v>807</v>
      </c>
      <c r="K404">
        <v>15218129</v>
      </c>
      <c r="L404">
        <v>0</v>
      </c>
      <c r="M404">
        <v>0</v>
      </c>
      <c r="N404">
        <v>1673994.19</v>
      </c>
      <c r="O404">
        <v>0</v>
      </c>
      <c r="P404">
        <v>0</v>
      </c>
      <c r="Q404">
        <v>0</v>
      </c>
      <c r="R404">
        <v>16892123.190000001</v>
      </c>
      <c r="S404">
        <v>2252679</v>
      </c>
      <c r="T404">
        <v>14.802601555027</v>
      </c>
      <c r="U404" t="str">
        <f t="shared" si="6"/>
        <v>Week 3</v>
      </c>
    </row>
    <row r="405" spans="1:21" x14ac:dyDescent="0.25">
      <c r="A405">
        <v>404</v>
      </c>
      <c r="B405" t="s">
        <v>808</v>
      </c>
      <c r="C405" s="1">
        <v>46071</v>
      </c>
      <c r="D405" t="s">
        <v>54</v>
      </c>
      <c r="E405" t="s">
        <v>55</v>
      </c>
      <c r="F405" t="s">
        <v>23</v>
      </c>
      <c r="G405" t="s">
        <v>24</v>
      </c>
      <c r="H405" s="2">
        <v>1</v>
      </c>
      <c r="I405" t="s">
        <v>772</v>
      </c>
      <c r="K405">
        <v>49033570.571428999</v>
      </c>
      <c r="L405">
        <v>0</v>
      </c>
      <c r="M405">
        <v>0</v>
      </c>
      <c r="N405">
        <v>5393692.7628571</v>
      </c>
      <c r="O405">
        <v>0</v>
      </c>
      <c r="P405">
        <v>0</v>
      </c>
      <c r="Q405">
        <v>0</v>
      </c>
      <c r="R405">
        <v>54427263.334285997</v>
      </c>
      <c r="S405">
        <v>10813849.571428999</v>
      </c>
      <c r="T405">
        <v>22.053971280096</v>
      </c>
      <c r="U405" t="str">
        <f t="shared" si="6"/>
        <v>Week 3</v>
      </c>
    </row>
    <row r="406" spans="1:21" x14ac:dyDescent="0.25">
      <c r="A406">
        <v>405</v>
      </c>
      <c r="B406" t="s">
        <v>809</v>
      </c>
      <c r="C406" s="1">
        <v>46071</v>
      </c>
      <c r="D406" t="s">
        <v>99</v>
      </c>
      <c r="E406" t="s">
        <v>100</v>
      </c>
      <c r="F406" t="s">
        <v>23</v>
      </c>
      <c r="G406" t="s">
        <v>24</v>
      </c>
      <c r="H406" s="2">
        <v>1</v>
      </c>
      <c r="I406" t="s">
        <v>785</v>
      </c>
      <c r="K406">
        <v>38650000</v>
      </c>
      <c r="L406">
        <v>0</v>
      </c>
      <c r="M406">
        <v>0</v>
      </c>
      <c r="N406">
        <v>4251500</v>
      </c>
      <c r="O406">
        <v>0</v>
      </c>
      <c r="P406">
        <v>0</v>
      </c>
      <c r="Q406">
        <v>0</v>
      </c>
      <c r="R406">
        <v>42901500</v>
      </c>
      <c r="S406">
        <v>20196711.711711999</v>
      </c>
      <c r="T406">
        <v>52.255398995373</v>
      </c>
      <c r="U406" t="str">
        <f t="shared" si="6"/>
        <v>Week 3</v>
      </c>
    </row>
    <row r="407" spans="1:21" x14ac:dyDescent="0.25">
      <c r="A407">
        <v>406</v>
      </c>
      <c r="B407" t="s">
        <v>810</v>
      </c>
      <c r="C407" s="1">
        <v>46071</v>
      </c>
      <c r="D407" t="s">
        <v>113</v>
      </c>
      <c r="E407" t="s">
        <v>38</v>
      </c>
      <c r="F407" t="s">
        <v>30</v>
      </c>
      <c r="G407" t="s">
        <v>24</v>
      </c>
      <c r="H407" s="2">
        <v>1</v>
      </c>
      <c r="I407" t="s">
        <v>811</v>
      </c>
      <c r="K407">
        <v>931000</v>
      </c>
      <c r="L407">
        <v>0</v>
      </c>
      <c r="M407">
        <v>0</v>
      </c>
      <c r="N407">
        <v>102410</v>
      </c>
      <c r="O407">
        <v>0</v>
      </c>
      <c r="P407">
        <v>0</v>
      </c>
      <c r="Q407">
        <v>0</v>
      </c>
      <c r="R407">
        <v>1033410</v>
      </c>
      <c r="S407">
        <v>516000</v>
      </c>
      <c r="T407">
        <v>55.424274973147</v>
      </c>
      <c r="U407" t="str">
        <f t="shared" si="6"/>
        <v>Week 3</v>
      </c>
    </row>
    <row r="408" spans="1:21" x14ac:dyDescent="0.25">
      <c r="A408">
        <v>407</v>
      </c>
      <c r="B408" t="s">
        <v>812</v>
      </c>
      <c r="C408" s="1">
        <v>46069</v>
      </c>
      <c r="D408" t="s">
        <v>21</v>
      </c>
      <c r="E408" t="s">
        <v>22</v>
      </c>
      <c r="F408" t="s">
        <v>30</v>
      </c>
      <c r="G408" t="s">
        <v>24</v>
      </c>
      <c r="H408" s="2">
        <v>1</v>
      </c>
      <c r="I408" t="s">
        <v>813</v>
      </c>
      <c r="J408" t="s">
        <v>26</v>
      </c>
      <c r="K408">
        <v>2793132.3</v>
      </c>
      <c r="L408">
        <v>0</v>
      </c>
      <c r="M408">
        <v>0</v>
      </c>
      <c r="N408">
        <v>307244.55300000001</v>
      </c>
      <c r="O408">
        <v>0</v>
      </c>
      <c r="P408">
        <v>0</v>
      </c>
      <c r="Q408">
        <v>0</v>
      </c>
      <c r="R408">
        <v>3100376.8530000001</v>
      </c>
      <c r="S408">
        <v>1008025.3027027</v>
      </c>
      <c r="T408">
        <v>36.089421997758997</v>
      </c>
      <c r="U408" t="str">
        <f t="shared" si="6"/>
        <v>Week 3</v>
      </c>
    </row>
    <row r="409" spans="1:21" x14ac:dyDescent="0.25">
      <c r="A409">
        <v>408</v>
      </c>
      <c r="B409" t="s">
        <v>814</v>
      </c>
      <c r="C409" s="1">
        <v>46069</v>
      </c>
      <c r="D409" t="s">
        <v>204</v>
      </c>
      <c r="E409" t="s">
        <v>205</v>
      </c>
      <c r="F409" t="s">
        <v>23</v>
      </c>
      <c r="G409" t="s">
        <v>24</v>
      </c>
      <c r="H409" s="2">
        <v>1</v>
      </c>
      <c r="I409" t="s">
        <v>815</v>
      </c>
      <c r="J409" t="s">
        <v>26</v>
      </c>
      <c r="K409">
        <v>40723150</v>
      </c>
      <c r="L409">
        <v>0</v>
      </c>
      <c r="M409">
        <v>0</v>
      </c>
      <c r="N409">
        <v>4479546.5</v>
      </c>
      <c r="O409">
        <v>0</v>
      </c>
      <c r="P409">
        <v>0</v>
      </c>
      <c r="Q409">
        <v>0</v>
      </c>
      <c r="R409">
        <v>45202696.5</v>
      </c>
      <c r="S409">
        <v>8858650</v>
      </c>
      <c r="T409">
        <v>21.753351594855001</v>
      </c>
      <c r="U409" t="str">
        <f t="shared" si="6"/>
        <v>Week 3</v>
      </c>
    </row>
    <row r="410" spans="1:21" x14ac:dyDescent="0.25">
      <c r="A410">
        <v>409</v>
      </c>
      <c r="B410" t="s">
        <v>816</v>
      </c>
      <c r="C410" s="1">
        <v>46069</v>
      </c>
      <c r="D410" t="s">
        <v>21</v>
      </c>
      <c r="E410" t="s">
        <v>22</v>
      </c>
      <c r="F410" t="s">
        <v>23</v>
      </c>
      <c r="G410" t="s">
        <v>24</v>
      </c>
      <c r="H410" s="2">
        <v>1</v>
      </c>
      <c r="I410" t="s">
        <v>817</v>
      </c>
      <c r="J410" t="s">
        <v>26</v>
      </c>
      <c r="K410">
        <v>35554717.5</v>
      </c>
      <c r="L410">
        <v>0</v>
      </c>
      <c r="M410">
        <v>0</v>
      </c>
      <c r="N410">
        <v>3911018.9249999998</v>
      </c>
      <c r="O410">
        <v>0</v>
      </c>
      <c r="P410">
        <v>0</v>
      </c>
      <c r="Q410">
        <v>0</v>
      </c>
      <c r="R410">
        <v>39465736.424999997</v>
      </c>
      <c r="S410">
        <v>7273220.5</v>
      </c>
      <c r="T410">
        <v>20.456414820340001</v>
      </c>
      <c r="U410" t="str">
        <f t="shared" si="6"/>
        <v>Week 3</v>
      </c>
    </row>
    <row r="411" spans="1:21" x14ac:dyDescent="0.25">
      <c r="A411">
        <v>410</v>
      </c>
      <c r="B411" t="s">
        <v>818</v>
      </c>
      <c r="C411" s="1">
        <v>46069</v>
      </c>
      <c r="D411" t="s">
        <v>54</v>
      </c>
      <c r="E411" t="s">
        <v>55</v>
      </c>
      <c r="F411" t="s">
        <v>23</v>
      </c>
      <c r="G411" t="s">
        <v>24</v>
      </c>
      <c r="H411" s="2">
        <v>1</v>
      </c>
      <c r="I411" t="s">
        <v>308</v>
      </c>
      <c r="K411">
        <v>2884000</v>
      </c>
      <c r="L411">
        <v>0</v>
      </c>
      <c r="M411">
        <v>0</v>
      </c>
      <c r="N411">
        <v>317240</v>
      </c>
      <c r="O411">
        <v>0</v>
      </c>
      <c r="P411">
        <v>0</v>
      </c>
      <c r="Q411">
        <v>0</v>
      </c>
      <c r="R411">
        <v>3201240</v>
      </c>
      <c r="S411">
        <v>1622738.7387387</v>
      </c>
      <c r="T411">
        <v>56.266946558209</v>
      </c>
      <c r="U411" t="str">
        <f t="shared" si="6"/>
        <v>Week 3</v>
      </c>
    </row>
    <row r="412" spans="1:21" x14ac:dyDescent="0.25">
      <c r="A412">
        <v>411</v>
      </c>
      <c r="B412" t="s">
        <v>819</v>
      </c>
      <c r="C412" s="1">
        <v>46069</v>
      </c>
      <c r="D412" t="s">
        <v>37</v>
      </c>
      <c r="E412" t="s">
        <v>38</v>
      </c>
      <c r="F412" t="s">
        <v>30</v>
      </c>
      <c r="G412" t="s">
        <v>24</v>
      </c>
      <c r="H412" s="2">
        <v>1</v>
      </c>
      <c r="I412" t="s">
        <v>820</v>
      </c>
      <c r="K412">
        <v>7541100</v>
      </c>
      <c r="L412">
        <v>0</v>
      </c>
      <c r="M412">
        <v>0</v>
      </c>
      <c r="N412">
        <v>829521</v>
      </c>
      <c r="O412">
        <v>0</v>
      </c>
      <c r="P412">
        <v>0</v>
      </c>
      <c r="Q412">
        <v>0</v>
      </c>
      <c r="R412">
        <v>8370621</v>
      </c>
      <c r="S412">
        <v>5388645.9459459996</v>
      </c>
      <c r="T412">
        <v>71.457028098633003</v>
      </c>
      <c r="U412" t="str">
        <f t="shared" si="6"/>
        <v>Week 3</v>
      </c>
    </row>
    <row r="413" spans="1:21" x14ac:dyDescent="0.25">
      <c r="A413">
        <v>412</v>
      </c>
      <c r="B413" t="s">
        <v>821</v>
      </c>
      <c r="C413" s="1">
        <v>46069</v>
      </c>
      <c r="D413" t="s">
        <v>520</v>
      </c>
      <c r="E413" t="s">
        <v>38</v>
      </c>
      <c r="F413" t="s">
        <v>30</v>
      </c>
      <c r="G413" t="s">
        <v>24</v>
      </c>
      <c r="H413" s="2">
        <v>1</v>
      </c>
      <c r="I413" t="s">
        <v>822</v>
      </c>
      <c r="J413" t="s">
        <v>26</v>
      </c>
      <c r="K413">
        <v>56207000</v>
      </c>
      <c r="L413">
        <v>0</v>
      </c>
      <c r="M413">
        <v>0</v>
      </c>
      <c r="N413">
        <v>6182770</v>
      </c>
      <c r="O413">
        <v>0</v>
      </c>
      <c r="P413">
        <v>0</v>
      </c>
      <c r="Q413">
        <v>0</v>
      </c>
      <c r="R413">
        <v>62389770</v>
      </c>
      <c r="S413">
        <v>-50293000</v>
      </c>
      <c r="T413">
        <v>-89.478178874516999</v>
      </c>
      <c r="U413" t="str">
        <f t="shared" si="6"/>
        <v>Week 3</v>
      </c>
    </row>
    <row r="414" spans="1:21" x14ac:dyDescent="0.25">
      <c r="A414">
        <v>413</v>
      </c>
      <c r="B414" t="s">
        <v>823</v>
      </c>
      <c r="C414" s="1">
        <v>46069</v>
      </c>
      <c r="D414" t="s">
        <v>33</v>
      </c>
      <c r="E414" t="s">
        <v>38</v>
      </c>
      <c r="F414" t="s">
        <v>23</v>
      </c>
      <c r="G414" t="s">
        <v>24</v>
      </c>
      <c r="H414" s="2">
        <v>1</v>
      </c>
      <c r="I414" t="s">
        <v>824</v>
      </c>
      <c r="J414" t="s">
        <v>26</v>
      </c>
      <c r="K414">
        <v>5001000</v>
      </c>
      <c r="L414">
        <v>0</v>
      </c>
      <c r="M414">
        <v>0</v>
      </c>
      <c r="N414">
        <v>550110</v>
      </c>
      <c r="O414">
        <v>0</v>
      </c>
      <c r="P414">
        <v>0</v>
      </c>
      <c r="Q414">
        <v>0</v>
      </c>
      <c r="R414">
        <v>5551110</v>
      </c>
      <c r="S414">
        <v>2466000</v>
      </c>
      <c r="T414">
        <v>49.310137972405997</v>
      </c>
      <c r="U414" t="str">
        <f t="shared" si="6"/>
        <v>Week 3</v>
      </c>
    </row>
    <row r="415" spans="1:21" x14ac:dyDescent="0.25">
      <c r="A415">
        <v>414</v>
      </c>
      <c r="B415" t="s">
        <v>825</v>
      </c>
      <c r="C415" s="1">
        <v>46069</v>
      </c>
      <c r="D415" t="s">
        <v>21</v>
      </c>
      <c r="E415" t="s">
        <v>22</v>
      </c>
      <c r="F415" t="s">
        <v>30</v>
      </c>
      <c r="G415" t="s">
        <v>24</v>
      </c>
      <c r="H415" s="2">
        <v>1</v>
      </c>
      <c r="I415" t="s">
        <v>826</v>
      </c>
      <c r="J415" t="s">
        <v>26</v>
      </c>
      <c r="K415">
        <v>662970</v>
      </c>
      <c r="L415">
        <v>0</v>
      </c>
      <c r="M415">
        <v>0</v>
      </c>
      <c r="N415">
        <v>72926.7</v>
      </c>
      <c r="O415">
        <v>0</v>
      </c>
      <c r="P415">
        <v>0</v>
      </c>
      <c r="Q415">
        <v>0</v>
      </c>
      <c r="R415">
        <v>735896.7</v>
      </c>
      <c r="S415">
        <v>180227.74954955</v>
      </c>
      <c r="T415">
        <v>27.184902718004</v>
      </c>
      <c r="U415" t="str">
        <f t="shared" si="6"/>
        <v>Week 3</v>
      </c>
    </row>
    <row r="416" spans="1:21" x14ac:dyDescent="0.25">
      <c r="A416">
        <v>415</v>
      </c>
      <c r="B416" t="s">
        <v>827</v>
      </c>
      <c r="C416" s="1">
        <v>46069</v>
      </c>
      <c r="D416" t="s">
        <v>21</v>
      </c>
      <c r="E416" t="s">
        <v>22</v>
      </c>
      <c r="F416" t="s">
        <v>30</v>
      </c>
      <c r="G416" t="s">
        <v>24</v>
      </c>
      <c r="H416" s="2">
        <v>1</v>
      </c>
      <c r="I416" t="s">
        <v>828</v>
      </c>
      <c r="J416" t="s">
        <v>26</v>
      </c>
      <c r="K416">
        <v>19130059</v>
      </c>
      <c r="L416">
        <v>0</v>
      </c>
      <c r="M416">
        <v>0</v>
      </c>
      <c r="N416">
        <v>2104306.4900000002</v>
      </c>
      <c r="O416">
        <v>0</v>
      </c>
      <c r="P416">
        <v>0</v>
      </c>
      <c r="Q416">
        <v>0</v>
      </c>
      <c r="R416">
        <v>21234365.489999998</v>
      </c>
      <c r="S416">
        <v>1339104.1299999999</v>
      </c>
      <c r="T416">
        <v>7</v>
      </c>
      <c r="U416" t="str">
        <f t="shared" si="6"/>
        <v>Week 3</v>
      </c>
    </row>
    <row r="417" spans="1:21" x14ac:dyDescent="0.25">
      <c r="A417">
        <v>416</v>
      </c>
      <c r="B417" t="s">
        <v>829</v>
      </c>
      <c r="C417" s="1">
        <v>46069</v>
      </c>
      <c r="D417" t="s">
        <v>33</v>
      </c>
      <c r="E417" t="s">
        <v>34</v>
      </c>
      <c r="F417" t="s">
        <v>30</v>
      </c>
      <c r="G417" t="s">
        <v>24</v>
      </c>
      <c r="H417" s="2">
        <v>1</v>
      </c>
      <c r="I417" t="s">
        <v>830</v>
      </c>
      <c r="K417">
        <v>499800</v>
      </c>
      <c r="L417">
        <v>0</v>
      </c>
      <c r="M417">
        <v>0</v>
      </c>
      <c r="N417">
        <v>54978</v>
      </c>
      <c r="O417">
        <v>0</v>
      </c>
      <c r="P417">
        <v>0</v>
      </c>
      <c r="Q417">
        <v>0</v>
      </c>
      <c r="R417">
        <v>554778</v>
      </c>
      <c r="S417">
        <v>-40200</v>
      </c>
      <c r="T417">
        <v>-8.0432172869147998</v>
      </c>
      <c r="U417" t="str">
        <f t="shared" si="6"/>
        <v>Week 3</v>
      </c>
    </row>
    <row r="418" spans="1:21" x14ac:dyDescent="0.25">
      <c r="A418">
        <v>417</v>
      </c>
      <c r="B418" t="s">
        <v>831</v>
      </c>
      <c r="C418" s="1">
        <v>46069</v>
      </c>
      <c r="D418" t="s">
        <v>54</v>
      </c>
      <c r="E418" t="s">
        <v>55</v>
      </c>
      <c r="F418" t="s">
        <v>30</v>
      </c>
      <c r="G418" t="s">
        <v>24</v>
      </c>
      <c r="H418" s="2">
        <v>1</v>
      </c>
      <c r="I418" t="s">
        <v>832</v>
      </c>
      <c r="K418">
        <v>744800</v>
      </c>
      <c r="L418">
        <v>0</v>
      </c>
      <c r="M418">
        <v>0</v>
      </c>
      <c r="N418">
        <v>81928</v>
      </c>
      <c r="O418">
        <v>0</v>
      </c>
      <c r="P418">
        <v>0</v>
      </c>
      <c r="Q418">
        <v>0</v>
      </c>
      <c r="R418">
        <v>826728</v>
      </c>
      <c r="S418">
        <v>184439.64</v>
      </c>
      <c r="T418">
        <v>24.763646616540999</v>
      </c>
      <c r="U418" t="str">
        <f t="shared" si="6"/>
        <v>Week 3</v>
      </c>
    </row>
    <row r="419" spans="1:21" x14ac:dyDescent="0.25">
      <c r="A419">
        <v>418</v>
      </c>
      <c r="B419" t="s">
        <v>833</v>
      </c>
      <c r="C419" s="1">
        <v>46069</v>
      </c>
      <c r="D419" t="s">
        <v>520</v>
      </c>
      <c r="E419" t="s">
        <v>38</v>
      </c>
      <c r="F419" t="s">
        <v>30</v>
      </c>
      <c r="G419" t="s">
        <v>24</v>
      </c>
      <c r="H419" s="2">
        <v>1</v>
      </c>
      <c r="I419" t="s">
        <v>834</v>
      </c>
      <c r="K419">
        <v>1796850</v>
      </c>
      <c r="L419">
        <v>0</v>
      </c>
      <c r="M419">
        <v>0</v>
      </c>
      <c r="N419">
        <v>197653.5</v>
      </c>
      <c r="O419">
        <v>0</v>
      </c>
      <c r="P419">
        <v>0</v>
      </c>
      <c r="Q419">
        <v>0</v>
      </c>
      <c r="R419">
        <v>1994503.5</v>
      </c>
      <c r="S419">
        <v>796850</v>
      </c>
      <c r="T419">
        <v>44.347051785067997</v>
      </c>
      <c r="U419" t="str">
        <f t="shared" si="6"/>
        <v>Week 3</v>
      </c>
    </row>
    <row r="420" spans="1:21" x14ac:dyDescent="0.25">
      <c r="A420">
        <v>419</v>
      </c>
      <c r="B420" t="s">
        <v>835</v>
      </c>
      <c r="C420" s="1">
        <v>46069</v>
      </c>
      <c r="D420" t="s">
        <v>54</v>
      </c>
      <c r="E420" t="s">
        <v>55</v>
      </c>
      <c r="F420" t="s">
        <v>30</v>
      </c>
      <c r="G420" t="s">
        <v>24</v>
      </c>
      <c r="H420" s="2">
        <v>1</v>
      </c>
      <c r="I420" t="s">
        <v>836</v>
      </c>
      <c r="K420">
        <v>1117200</v>
      </c>
      <c r="L420">
        <v>0</v>
      </c>
      <c r="M420">
        <v>0</v>
      </c>
      <c r="N420">
        <v>122892</v>
      </c>
      <c r="O420">
        <v>0</v>
      </c>
      <c r="P420">
        <v>0</v>
      </c>
      <c r="Q420">
        <v>0</v>
      </c>
      <c r="R420">
        <v>1240092</v>
      </c>
      <c r="S420">
        <v>276659.46000000002</v>
      </c>
      <c r="T420">
        <v>24.763646616540999</v>
      </c>
      <c r="U420" t="str">
        <f t="shared" si="6"/>
        <v>Week 3</v>
      </c>
    </row>
    <row r="421" spans="1:21" x14ac:dyDescent="0.25">
      <c r="A421">
        <v>420</v>
      </c>
      <c r="B421" t="s">
        <v>837</v>
      </c>
      <c r="C421" s="1">
        <v>46069</v>
      </c>
      <c r="D421" t="s">
        <v>186</v>
      </c>
      <c r="E421" t="s">
        <v>117</v>
      </c>
      <c r="F421" t="s">
        <v>30</v>
      </c>
      <c r="G421" t="s">
        <v>24</v>
      </c>
      <c r="H421" s="2">
        <v>1</v>
      </c>
      <c r="I421" t="s">
        <v>838</v>
      </c>
      <c r="J421" t="s">
        <v>26</v>
      </c>
      <c r="K421">
        <v>4605000</v>
      </c>
      <c r="L421">
        <v>0</v>
      </c>
      <c r="M421">
        <v>0</v>
      </c>
      <c r="N421">
        <v>506550</v>
      </c>
      <c r="O421">
        <v>0</v>
      </c>
      <c r="P421">
        <v>0</v>
      </c>
      <c r="Q421">
        <v>0</v>
      </c>
      <c r="R421">
        <v>5111550</v>
      </c>
      <c r="S421">
        <v>4605000</v>
      </c>
      <c r="T421">
        <v>100</v>
      </c>
      <c r="U421" t="str">
        <f t="shared" si="6"/>
        <v>Week 3</v>
      </c>
    </row>
    <row r="422" spans="1:21" x14ac:dyDescent="0.25">
      <c r="A422">
        <v>421</v>
      </c>
      <c r="B422" t="s">
        <v>839</v>
      </c>
      <c r="C422" s="1">
        <v>46069</v>
      </c>
      <c r="D422" t="s">
        <v>37</v>
      </c>
      <c r="E422" t="s">
        <v>38</v>
      </c>
      <c r="F422" t="s">
        <v>30</v>
      </c>
      <c r="G422" t="s">
        <v>24</v>
      </c>
      <c r="H422" s="2">
        <v>1</v>
      </c>
      <c r="I422" t="s">
        <v>840</v>
      </c>
      <c r="K422">
        <v>539000</v>
      </c>
      <c r="L422">
        <v>0</v>
      </c>
      <c r="M422">
        <v>0</v>
      </c>
      <c r="N422">
        <v>59290</v>
      </c>
      <c r="O422">
        <v>0</v>
      </c>
      <c r="P422">
        <v>0</v>
      </c>
      <c r="Q422">
        <v>0</v>
      </c>
      <c r="R422">
        <v>598290</v>
      </c>
      <c r="S422">
        <v>5500</v>
      </c>
      <c r="T422">
        <v>0</v>
      </c>
      <c r="U422" t="str">
        <f t="shared" si="6"/>
        <v>Week 3</v>
      </c>
    </row>
    <row r="423" spans="1:21" x14ac:dyDescent="0.25">
      <c r="A423">
        <v>422</v>
      </c>
      <c r="B423" t="s">
        <v>841</v>
      </c>
      <c r="C423" s="1">
        <v>46069</v>
      </c>
      <c r="D423" t="s">
        <v>37</v>
      </c>
      <c r="E423" t="s">
        <v>38</v>
      </c>
      <c r="F423" t="s">
        <v>30</v>
      </c>
      <c r="G423" t="s">
        <v>24</v>
      </c>
      <c r="H423" s="2">
        <v>1</v>
      </c>
      <c r="I423" t="s">
        <v>842</v>
      </c>
      <c r="K423">
        <v>539000</v>
      </c>
      <c r="L423">
        <v>0</v>
      </c>
      <c r="M423">
        <v>0</v>
      </c>
      <c r="N423">
        <v>59290</v>
      </c>
      <c r="O423">
        <v>0</v>
      </c>
      <c r="P423">
        <v>0</v>
      </c>
      <c r="Q423">
        <v>0</v>
      </c>
      <c r="R423">
        <v>598290</v>
      </c>
      <c r="S423">
        <v>5500</v>
      </c>
      <c r="T423">
        <v>0</v>
      </c>
      <c r="U423" t="str">
        <f t="shared" si="6"/>
        <v>Week 3</v>
      </c>
    </row>
    <row r="424" spans="1:21" x14ac:dyDescent="0.25">
      <c r="A424">
        <v>423</v>
      </c>
      <c r="B424" t="s">
        <v>843</v>
      </c>
      <c r="C424" s="1">
        <v>46069</v>
      </c>
      <c r="D424" t="s">
        <v>33</v>
      </c>
      <c r="E424" t="s">
        <v>34</v>
      </c>
      <c r="F424" t="s">
        <v>30</v>
      </c>
      <c r="G424" t="s">
        <v>24</v>
      </c>
      <c r="H424" s="2">
        <v>1</v>
      </c>
      <c r="I424" t="s">
        <v>844</v>
      </c>
      <c r="K424">
        <v>50041250</v>
      </c>
      <c r="L424">
        <v>0</v>
      </c>
      <c r="M424">
        <v>0</v>
      </c>
      <c r="N424">
        <v>5504537.5</v>
      </c>
      <c r="O424">
        <v>0</v>
      </c>
      <c r="P424">
        <v>0</v>
      </c>
      <c r="Q424">
        <v>0</v>
      </c>
      <c r="R424">
        <v>55545787.5</v>
      </c>
      <c r="S424">
        <v>12041250</v>
      </c>
      <c r="T424">
        <v>24.062648315139999</v>
      </c>
      <c r="U424" t="str">
        <f t="shared" si="6"/>
        <v>Week 3</v>
      </c>
    </row>
    <row r="425" spans="1:21" x14ac:dyDescent="0.25">
      <c r="A425">
        <v>424</v>
      </c>
      <c r="B425" t="s">
        <v>845</v>
      </c>
      <c r="C425" s="1">
        <v>46069</v>
      </c>
      <c r="D425" t="s">
        <v>21</v>
      </c>
      <c r="E425" t="s">
        <v>22</v>
      </c>
      <c r="F425" t="s">
        <v>23</v>
      </c>
      <c r="G425" t="s">
        <v>24</v>
      </c>
      <c r="H425" s="2">
        <v>1</v>
      </c>
      <c r="I425" t="s">
        <v>846</v>
      </c>
      <c r="J425" t="s">
        <v>26</v>
      </c>
      <c r="K425">
        <v>45846766</v>
      </c>
      <c r="L425">
        <v>0</v>
      </c>
      <c r="M425">
        <v>0</v>
      </c>
      <c r="N425">
        <v>5043144.26</v>
      </c>
      <c r="O425">
        <v>0</v>
      </c>
      <c r="P425">
        <v>0</v>
      </c>
      <c r="Q425">
        <v>0</v>
      </c>
      <c r="R425">
        <v>50889910.259999998</v>
      </c>
      <c r="S425">
        <v>12025910.144144</v>
      </c>
      <c r="T425">
        <v>26.230661818424</v>
      </c>
      <c r="U425" t="str">
        <f t="shared" si="6"/>
        <v>Week 3</v>
      </c>
    </row>
    <row r="426" spans="1:21" x14ac:dyDescent="0.25">
      <c r="A426">
        <v>425</v>
      </c>
      <c r="B426" t="s">
        <v>847</v>
      </c>
      <c r="C426" s="1">
        <v>46067</v>
      </c>
      <c r="D426" t="s">
        <v>54</v>
      </c>
      <c r="E426" t="s">
        <v>55</v>
      </c>
      <c r="F426" t="s">
        <v>23</v>
      </c>
      <c r="G426" t="s">
        <v>24</v>
      </c>
      <c r="H426" s="2">
        <v>1</v>
      </c>
      <c r="I426" t="s">
        <v>308</v>
      </c>
      <c r="K426">
        <v>125000</v>
      </c>
      <c r="L426">
        <v>0</v>
      </c>
      <c r="M426">
        <v>0</v>
      </c>
      <c r="N426">
        <v>13750</v>
      </c>
      <c r="O426">
        <v>0</v>
      </c>
      <c r="P426">
        <v>0</v>
      </c>
      <c r="Q426">
        <v>0</v>
      </c>
      <c r="R426">
        <v>138750</v>
      </c>
      <c r="S426">
        <v>55000</v>
      </c>
      <c r="T426">
        <v>44</v>
      </c>
      <c r="U426" t="str">
        <f t="shared" si="6"/>
        <v>Week 2</v>
      </c>
    </row>
    <row r="427" spans="1:21" x14ac:dyDescent="0.25">
      <c r="A427">
        <v>426</v>
      </c>
      <c r="B427" t="s">
        <v>848</v>
      </c>
      <c r="C427" s="1">
        <v>46067</v>
      </c>
      <c r="D427" t="s">
        <v>21</v>
      </c>
      <c r="E427" t="s">
        <v>22</v>
      </c>
      <c r="F427" t="s">
        <v>23</v>
      </c>
      <c r="G427" t="s">
        <v>24</v>
      </c>
      <c r="H427" s="2">
        <v>1</v>
      </c>
      <c r="I427" t="s">
        <v>849</v>
      </c>
      <c r="J427" t="s">
        <v>57</v>
      </c>
      <c r="K427">
        <v>141659623</v>
      </c>
      <c r="L427">
        <v>0</v>
      </c>
      <c r="M427">
        <v>0</v>
      </c>
      <c r="N427">
        <v>15582558.529999999</v>
      </c>
      <c r="O427">
        <v>0</v>
      </c>
      <c r="P427">
        <v>0</v>
      </c>
      <c r="Q427">
        <v>0</v>
      </c>
      <c r="R427">
        <v>157242181.53</v>
      </c>
      <c r="S427">
        <v>39290860.834775001</v>
      </c>
      <c r="T427">
        <v>27.736104334242999</v>
      </c>
      <c r="U427" t="str">
        <f t="shared" si="6"/>
        <v>Week 2</v>
      </c>
    </row>
    <row r="428" spans="1:21" x14ac:dyDescent="0.25">
      <c r="A428">
        <v>427</v>
      </c>
      <c r="B428" t="s">
        <v>850</v>
      </c>
      <c r="C428" s="1">
        <v>46067</v>
      </c>
      <c r="D428" t="s">
        <v>204</v>
      </c>
      <c r="E428" t="s">
        <v>205</v>
      </c>
      <c r="F428" t="s">
        <v>23</v>
      </c>
      <c r="G428" t="s">
        <v>24</v>
      </c>
      <c r="H428" s="2">
        <v>1</v>
      </c>
      <c r="I428" t="s">
        <v>851</v>
      </c>
      <c r="J428" t="s">
        <v>26</v>
      </c>
      <c r="K428">
        <v>86686322</v>
      </c>
      <c r="L428">
        <v>0</v>
      </c>
      <c r="M428">
        <v>0</v>
      </c>
      <c r="N428">
        <v>9535495.4199999999</v>
      </c>
      <c r="O428">
        <v>0</v>
      </c>
      <c r="P428">
        <v>0</v>
      </c>
      <c r="Q428">
        <v>0</v>
      </c>
      <c r="R428">
        <v>96221817.420000002</v>
      </c>
      <c r="S428">
        <v>18046322</v>
      </c>
      <c r="T428">
        <v>20.817957878061002</v>
      </c>
      <c r="U428" t="str">
        <f t="shared" si="6"/>
        <v>Week 2</v>
      </c>
    </row>
    <row r="429" spans="1:21" x14ac:dyDescent="0.25">
      <c r="A429">
        <v>428</v>
      </c>
      <c r="B429" t="s">
        <v>852</v>
      </c>
      <c r="C429" s="1">
        <v>46067</v>
      </c>
      <c r="D429" t="s">
        <v>21</v>
      </c>
      <c r="E429" t="s">
        <v>22</v>
      </c>
      <c r="F429" t="s">
        <v>23</v>
      </c>
      <c r="G429" t="s">
        <v>24</v>
      </c>
      <c r="H429" s="2">
        <v>1</v>
      </c>
      <c r="I429" t="s">
        <v>853</v>
      </c>
      <c r="J429" t="s">
        <v>26</v>
      </c>
      <c r="K429">
        <v>51108426</v>
      </c>
      <c r="L429">
        <v>0</v>
      </c>
      <c r="M429">
        <v>0</v>
      </c>
      <c r="N429">
        <v>5621926.8600000003</v>
      </c>
      <c r="O429">
        <v>0</v>
      </c>
      <c r="P429">
        <v>0</v>
      </c>
      <c r="Q429">
        <v>0</v>
      </c>
      <c r="R429">
        <v>56730352.859999999</v>
      </c>
      <c r="S429">
        <v>18811762.939369</v>
      </c>
      <c r="T429">
        <v>36.807556819239998</v>
      </c>
      <c r="U429" t="str">
        <f t="shared" si="6"/>
        <v>Week 2</v>
      </c>
    </row>
    <row r="430" spans="1:21" x14ac:dyDescent="0.25">
      <c r="A430">
        <v>429</v>
      </c>
      <c r="B430" t="s">
        <v>854</v>
      </c>
      <c r="C430" s="1">
        <v>46067</v>
      </c>
      <c r="D430" t="s">
        <v>255</v>
      </c>
      <c r="E430" t="s">
        <v>205</v>
      </c>
      <c r="F430" t="s">
        <v>23</v>
      </c>
      <c r="G430" t="s">
        <v>24</v>
      </c>
      <c r="H430" s="2">
        <v>1</v>
      </c>
      <c r="I430" t="s">
        <v>855</v>
      </c>
      <c r="J430" t="s">
        <v>26</v>
      </c>
      <c r="K430">
        <v>8610000</v>
      </c>
      <c r="L430">
        <v>0</v>
      </c>
      <c r="M430">
        <v>0</v>
      </c>
      <c r="N430">
        <v>947100</v>
      </c>
      <c r="O430">
        <v>0</v>
      </c>
      <c r="P430">
        <v>0</v>
      </c>
      <c r="Q430">
        <v>0</v>
      </c>
      <c r="R430">
        <v>9557100</v>
      </c>
      <c r="S430">
        <v>2455046</v>
      </c>
      <c r="T430">
        <v>28.513890824623001</v>
      </c>
      <c r="U430" t="str">
        <f t="shared" si="6"/>
        <v>Week 2</v>
      </c>
    </row>
    <row r="431" spans="1:21" x14ac:dyDescent="0.25">
      <c r="A431">
        <v>430</v>
      </c>
      <c r="B431" t="s">
        <v>856</v>
      </c>
      <c r="C431" s="1">
        <v>46067</v>
      </c>
      <c r="D431" t="s">
        <v>99</v>
      </c>
      <c r="E431" t="s">
        <v>100</v>
      </c>
      <c r="F431" t="s">
        <v>23</v>
      </c>
      <c r="G431" t="s">
        <v>24</v>
      </c>
      <c r="H431" s="2">
        <v>1</v>
      </c>
      <c r="I431" t="s">
        <v>857</v>
      </c>
      <c r="K431">
        <v>64245920</v>
      </c>
      <c r="L431">
        <v>0</v>
      </c>
      <c r="M431">
        <v>0</v>
      </c>
      <c r="N431">
        <v>7067051.2000000002</v>
      </c>
      <c r="O431">
        <v>0</v>
      </c>
      <c r="P431">
        <v>0</v>
      </c>
      <c r="Q431">
        <v>0</v>
      </c>
      <c r="R431">
        <v>71312971.200000003</v>
      </c>
      <c r="S431">
        <v>31445785.960000001</v>
      </c>
      <c r="T431">
        <v>48.945965689338998</v>
      </c>
      <c r="U431" t="str">
        <f t="shared" si="6"/>
        <v>Week 2</v>
      </c>
    </row>
    <row r="432" spans="1:21" x14ac:dyDescent="0.25">
      <c r="A432">
        <v>431</v>
      </c>
      <c r="B432" t="s">
        <v>858</v>
      </c>
      <c r="C432" s="1">
        <v>46067</v>
      </c>
      <c r="D432" t="s">
        <v>255</v>
      </c>
      <c r="E432" t="s">
        <v>205</v>
      </c>
      <c r="F432" t="s">
        <v>23</v>
      </c>
      <c r="G432" t="s">
        <v>24</v>
      </c>
      <c r="H432" s="2">
        <v>1</v>
      </c>
      <c r="I432" t="s">
        <v>859</v>
      </c>
      <c r="J432" t="s">
        <v>26</v>
      </c>
      <c r="K432">
        <v>18250000</v>
      </c>
      <c r="L432">
        <v>0</v>
      </c>
      <c r="M432">
        <v>0</v>
      </c>
      <c r="N432">
        <v>2007500</v>
      </c>
      <c r="O432">
        <v>0</v>
      </c>
      <c r="P432">
        <v>0</v>
      </c>
      <c r="Q432">
        <v>0</v>
      </c>
      <c r="R432">
        <v>20257500</v>
      </c>
      <c r="S432">
        <v>5650000</v>
      </c>
      <c r="T432">
        <v>30.958904109589</v>
      </c>
      <c r="U432" t="str">
        <f t="shared" si="6"/>
        <v>Week 2</v>
      </c>
    </row>
    <row r="433" spans="1:21" x14ac:dyDescent="0.25">
      <c r="A433">
        <v>432</v>
      </c>
      <c r="B433" t="s">
        <v>860</v>
      </c>
      <c r="C433" s="1">
        <v>46067</v>
      </c>
      <c r="D433" t="s">
        <v>28</v>
      </c>
      <c r="E433" t="s">
        <v>205</v>
      </c>
      <c r="F433" t="s">
        <v>23</v>
      </c>
      <c r="G433" t="s">
        <v>24</v>
      </c>
      <c r="H433" s="2">
        <v>1</v>
      </c>
      <c r="I433" t="s">
        <v>861</v>
      </c>
      <c r="J433" t="s">
        <v>26</v>
      </c>
      <c r="K433">
        <v>25922527</v>
      </c>
      <c r="L433">
        <v>0</v>
      </c>
      <c r="M433">
        <v>0</v>
      </c>
      <c r="N433">
        <v>2851477.97</v>
      </c>
      <c r="O433">
        <v>0</v>
      </c>
      <c r="P433">
        <v>0</v>
      </c>
      <c r="Q433">
        <v>0</v>
      </c>
      <c r="R433">
        <v>28774004.969999999</v>
      </c>
      <c r="S433">
        <v>8185527</v>
      </c>
      <c r="T433">
        <v>31.576886774965999</v>
      </c>
      <c r="U433" t="str">
        <f t="shared" si="6"/>
        <v>Week 2</v>
      </c>
    </row>
    <row r="434" spans="1:21" x14ac:dyDescent="0.25">
      <c r="A434">
        <v>433</v>
      </c>
      <c r="B434" t="s">
        <v>862</v>
      </c>
      <c r="C434" s="1">
        <v>46067</v>
      </c>
      <c r="D434" t="s">
        <v>28</v>
      </c>
      <c r="E434" t="s">
        <v>29</v>
      </c>
      <c r="F434" t="s">
        <v>23</v>
      </c>
      <c r="G434" t="s">
        <v>24</v>
      </c>
      <c r="H434" s="2">
        <v>1</v>
      </c>
      <c r="I434" t="s">
        <v>863</v>
      </c>
      <c r="K434">
        <v>50150000</v>
      </c>
      <c r="L434">
        <v>0</v>
      </c>
      <c r="M434">
        <v>0</v>
      </c>
      <c r="N434">
        <v>5516500</v>
      </c>
      <c r="O434">
        <v>0</v>
      </c>
      <c r="P434">
        <v>0</v>
      </c>
      <c r="Q434">
        <v>0</v>
      </c>
      <c r="R434">
        <v>55666500</v>
      </c>
      <c r="S434">
        <v>10050000</v>
      </c>
      <c r="T434">
        <v>20.039880358923</v>
      </c>
      <c r="U434" t="str">
        <f t="shared" si="6"/>
        <v>Week 2</v>
      </c>
    </row>
    <row r="435" spans="1:21" x14ac:dyDescent="0.25">
      <c r="A435">
        <v>434</v>
      </c>
      <c r="B435" t="s">
        <v>864</v>
      </c>
      <c r="C435" s="1">
        <v>46067</v>
      </c>
      <c r="D435" t="s">
        <v>28</v>
      </c>
      <c r="E435" t="s">
        <v>205</v>
      </c>
      <c r="F435" t="s">
        <v>23</v>
      </c>
      <c r="G435" t="s">
        <v>24</v>
      </c>
      <c r="H435" s="2">
        <v>1</v>
      </c>
      <c r="I435" t="s">
        <v>861</v>
      </c>
      <c r="J435" t="s">
        <v>26</v>
      </c>
      <c r="K435">
        <v>145466250</v>
      </c>
      <c r="L435">
        <v>0</v>
      </c>
      <c r="M435">
        <v>0</v>
      </c>
      <c r="N435">
        <v>16001287.5</v>
      </c>
      <c r="O435">
        <v>0</v>
      </c>
      <c r="P435">
        <v>0</v>
      </c>
      <c r="Q435">
        <v>0</v>
      </c>
      <c r="R435">
        <v>161467537.5</v>
      </c>
      <c r="S435">
        <v>29954250</v>
      </c>
      <c r="T435">
        <v>20.591889871362</v>
      </c>
      <c r="U435" t="str">
        <f t="shared" si="6"/>
        <v>Week 2</v>
      </c>
    </row>
    <row r="436" spans="1:21" x14ac:dyDescent="0.25">
      <c r="A436">
        <v>435</v>
      </c>
      <c r="B436" t="s">
        <v>865</v>
      </c>
      <c r="C436" s="1">
        <v>46067</v>
      </c>
      <c r="D436" t="s">
        <v>21</v>
      </c>
      <c r="E436" t="s">
        <v>22</v>
      </c>
      <c r="F436" t="s">
        <v>30</v>
      </c>
      <c r="G436" t="s">
        <v>24</v>
      </c>
      <c r="H436" s="2">
        <v>1</v>
      </c>
      <c r="I436" t="s">
        <v>866</v>
      </c>
      <c r="J436" t="s">
        <v>26</v>
      </c>
      <c r="K436">
        <v>87894687</v>
      </c>
      <c r="L436">
        <v>0</v>
      </c>
      <c r="M436">
        <v>0</v>
      </c>
      <c r="N436">
        <v>9668415.5700000003</v>
      </c>
      <c r="O436">
        <v>0</v>
      </c>
      <c r="P436">
        <v>0</v>
      </c>
      <c r="Q436">
        <v>0</v>
      </c>
      <c r="R436">
        <v>97563102.569999993</v>
      </c>
      <c r="S436">
        <v>-27566313</v>
      </c>
      <c r="T436">
        <v>-31.362888862668001</v>
      </c>
      <c r="U436" t="str">
        <f t="shared" si="6"/>
        <v>Week 2</v>
      </c>
    </row>
    <row r="437" spans="1:21" x14ac:dyDescent="0.25">
      <c r="A437">
        <v>436</v>
      </c>
      <c r="B437" t="s">
        <v>867</v>
      </c>
      <c r="C437" s="1">
        <v>46067</v>
      </c>
      <c r="D437" t="s">
        <v>312</v>
      </c>
      <c r="E437" t="s">
        <v>100</v>
      </c>
      <c r="F437" t="s">
        <v>23</v>
      </c>
      <c r="G437" t="s">
        <v>24</v>
      </c>
      <c r="H437" s="2">
        <v>1</v>
      </c>
      <c r="I437" t="s">
        <v>868</v>
      </c>
      <c r="J437" t="s">
        <v>26</v>
      </c>
      <c r="K437">
        <v>7685000</v>
      </c>
      <c r="L437">
        <v>0</v>
      </c>
      <c r="M437">
        <v>0</v>
      </c>
      <c r="N437">
        <v>845350</v>
      </c>
      <c r="O437">
        <v>0</v>
      </c>
      <c r="P437">
        <v>0</v>
      </c>
      <c r="Q437">
        <v>0</v>
      </c>
      <c r="R437">
        <v>8530350</v>
      </c>
      <c r="S437">
        <v>5131234.2342341999</v>
      </c>
      <c r="T437">
        <v>66.769476047289999</v>
      </c>
      <c r="U437" t="str">
        <f t="shared" si="6"/>
        <v>Week 2</v>
      </c>
    </row>
    <row r="438" spans="1:21" x14ac:dyDescent="0.25">
      <c r="A438">
        <v>437</v>
      </c>
      <c r="B438" t="s">
        <v>869</v>
      </c>
      <c r="C438" s="1">
        <v>46066</v>
      </c>
      <c r="D438" t="s">
        <v>54</v>
      </c>
      <c r="E438" t="s">
        <v>55</v>
      </c>
      <c r="F438" t="s">
        <v>23</v>
      </c>
      <c r="G438" t="s">
        <v>24</v>
      </c>
      <c r="H438" s="2">
        <v>1</v>
      </c>
      <c r="I438" t="s">
        <v>308</v>
      </c>
      <c r="K438">
        <v>920000</v>
      </c>
      <c r="L438">
        <v>0</v>
      </c>
      <c r="M438">
        <v>0</v>
      </c>
      <c r="N438">
        <v>101200</v>
      </c>
      <c r="O438">
        <v>0</v>
      </c>
      <c r="P438">
        <v>0</v>
      </c>
      <c r="Q438">
        <v>0</v>
      </c>
      <c r="R438">
        <v>1021200</v>
      </c>
      <c r="S438">
        <v>560000</v>
      </c>
      <c r="T438">
        <v>60.869565217390999</v>
      </c>
      <c r="U438" t="str">
        <f t="shared" si="6"/>
        <v>Week 2</v>
      </c>
    </row>
    <row r="439" spans="1:21" x14ac:dyDescent="0.25">
      <c r="A439">
        <v>438</v>
      </c>
      <c r="B439" t="s">
        <v>870</v>
      </c>
      <c r="C439" s="1">
        <v>46066</v>
      </c>
      <c r="D439" t="s">
        <v>54</v>
      </c>
      <c r="E439" t="s">
        <v>55</v>
      </c>
      <c r="F439" t="s">
        <v>30</v>
      </c>
      <c r="G439" t="s">
        <v>24</v>
      </c>
      <c r="H439" s="2">
        <v>1</v>
      </c>
      <c r="I439" t="s">
        <v>871</v>
      </c>
      <c r="K439">
        <v>979118</v>
      </c>
      <c r="L439">
        <v>0</v>
      </c>
      <c r="M439">
        <v>0</v>
      </c>
      <c r="N439">
        <v>107702.98</v>
      </c>
      <c r="O439">
        <v>0</v>
      </c>
      <c r="P439">
        <v>0</v>
      </c>
      <c r="Q439">
        <v>0</v>
      </c>
      <c r="R439">
        <v>1086820.98</v>
      </c>
      <c r="S439">
        <v>229118</v>
      </c>
      <c r="T439">
        <v>23.400448158444998</v>
      </c>
      <c r="U439" t="str">
        <f t="shared" si="6"/>
        <v>Week 2</v>
      </c>
    </row>
    <row r="440" spans="1:21" x14ac:dyDescent="0.25">
      <c r="A440">
        <v>439</v>
      </c>
      <c r="B440" t="s">
        <v>872</v>
      </c>
      <c r="C440" s="1">
        <v>46066</v>
      </c>
      <c r="D440" t="s">
        <v>28</v>
      </c>
      <c r="E440" t="s">
        <v>205</v>
      </c>
      <c r="F440" t="s">
        <v>23</v>
      </c>
      <c r="G440" t="s">
        <v>24</v>
      </c>
      <c r="H440" s="2">
        <v>1</v>
      </c>
      <c r="I440" t="s">
        <v>861</v>
      </c>
      <c r="J440" t="s">
        <v>26</v>
      </c>
      <c r="K440">
        <v>201099764</v>
      </c>
      <c r="L440">
        <v>0</v>
      </c>
      <c r="M440">
        <v>0</v>
      </c>
      <c r="N440">
        <v>22120974.039999999</v>
      </c>
      <c r="O440">
        <v>0</v>
      </c>
      <c r="P440">
        <v>0</v>
      </c>
      <c r="Q440">
        <v>0</v>
      </c>
      <c r="R440">
        <v>223220738.03999999</v>
      </c>
      <c r="S440">
        <v>57961764</v>
      </c>
      <c r="T440">
        <v>28.822392849749999</v>
      </c>
      <c r="U440" t="str">
        <f t="shared" si="6"/>
        <v>Week 2</v>
      </c>
    </row>
    <row r="441" spans="1:21" x14ac:dyDescent="0.25">
      <c r="A441">
        <v>440</v>
      </c>
      <c r="B441" t="s">
        <v>873</v>
      </c>
      <c r="C441" s="1">
        <v>46066</v>
      </c>
      <c r="D441" t="s">
        <v>54</v>
      </c>
      <c r="E441" t="s">
        <v>55</v>
      </c>
      <c r="F441" t="s">
        <v>23</v>
      </c>
      <c r="G441" t="s">
        <v>24</v>
      </c>
      <c r="H441" s="2">
        <v>1</v>
      </c>
      <c r="I441" t="s">
        <v>308</v>
      </c>
      <c r="K441">
        <v>7961652</v>
      </c>
      <c r="L441">
        <v>0</v>
      </c>
      <c r="M441">
        <v>0</v>
      </c>
      <c r="N441">
        <v>875781.72</v>
      </c>
      <c r="O441">
        <v>0</v>
      </c>
      <c r="P441">
        <v>0</v>
      </c>
      <c r="Q441">
        <v>0</v>
      </c>
      <c r="R441">
        <v>8837433.7200000007</v>
      </c>
      <c r="S441">
        <v>2415345.69</v>
      </c>
      <c r="T441">
        <v>30.337242697872</v>
      </c>
      <c r="U441" t="str">
        <f t="shared" si="6"/>
        <v>Week 2</v>
      </c>
    </row>
    <row r="442" spans="1:21" x14ac:dyDescent="0.25">
      <c r="A442">
        <v>441</v>
      </c>
      <c r="B442" t="s">
        <v>874</v>
      </c>
      <c r="C442" s="1">
        <v>46066</v>
      </c>
      <c r="D442" t="s">
        <v>171</v>
      </c>
      <c r="E442" t="s">
        <v>100</v>
      </c>
      <c r="F442" t="s">
        <v>23</v>
      </c>
      <c r="G442" t="s">
        <v>24</v>
      </c>
      <c r="H442" s="2">
        <v>1</v>
      </c>
      <c r="I442" t="s">
        <v>172</v>
      </c>
      <c r="K442">
        <v>19875000</v>
      </c>
      <c r="L442">
        <v>0</v>
      </c>
      <c r="M442">
        <v>0</v>
      </c>
      <c r="N442">
        <v>2186250</v>
      </c>
      <c r="O442">
        <v>0</v>
      </c>
      <c r="P442">
        <v>0</v>
      </c>
      <c r="Q442">
        <v>0</v>
      </c>
      <c r="R442">
        <v>22061250</v>
      </c>
      <c r="S442">
        <v>7671036.0810900005</v>
      </c>
      <c r="T442">
        <v>38.596407955170001</v>
      </c>
      <c r="U442" t="str">
        <f t="shared" si="6"/>
        <v>Week 2</v>
      </c>
    </row>
    <row r="443" spans="1:21" x14ac:dyDescent="0.25">
      <c r="A443">
        <v>442</v>
      </c>
      <c r="B443" t="s">
        <v>875</v>
      </c>
      <c r="C443" s="1">
        <v>46066</v>
      </c>
      <c r="D443" t="s">
        <v>520</v>
      </c>
      <c r="E443" t="s">
        <v>38</v>
      </c>
      <c r="F443" t="s">
        <v>23</v>
      </c>
      <c r="G443" t="s">
        <v>24</v>
      </c>
      <c r="H443" s="2">
        <v>1</v>
      </c>
      <c r="I443" t="s">
        <v>822</v>
      </c>
      <c r="J443" t="s">
        <v>26</v>
      </c>
      <c r="K443">
        <v>10222785</v>
      </c>
      <c r="L443">
        <v>0</v>
      </c>
      <c r="M443">
        <v>0</v>
      </c>
      <c r="N443">
        <v>1124506.3500000001</v>
      </c>
      <c r="O443">
        <v>0</v>
      </c>
      <c r="P443">
        <v>0</v>
      </c>
      <c r="Q443">
        <v>0</v>
      </c>
      <c r="R443">
        <v>11347291.35</v>
      </c>
      <c r="S443">
        <v>2146785</v>
      </c>
      <c r="T443">
        <v>21.000001467311002</v>
      </c>
      <c r="U443" t="str">
        <f t="shared" si="6"/>
        <v>Week 2</v>
      </c>
    </row>
    <row r="444" spans="1:21" x14ac:dyDescent="0.25">
      <c r="A444">
        <v>443</v>
      </c>
      <c r="B444" t="s">
        <v>876</v>
      </c>
      <c r="C444" s="1">
        <v>46066</v>
      </c>
      <c r="D444" t="s">
        <v>204</v>
      </c>
      <c r="E444" t="s">
        <v>205</v>
      </c>
      <c r="F444" t="s">
        <v>23</v>
      </c>
      <c r="G444" t="s">
        <v>24</v>
      </c>
      <c r="H444" s="2">
        <v>1</v>
      </c>
      <c r="I444" t="s">
        <v>877</v>
      </c>
      <c r="J444" t="s">
        <v>26</v>
      </c>
      <c r="K444">
        <v>1422650</v>
      </c>
      <c r="L444">
        <v>0</v>
      </c>
      <c r="M444">
        <v>0</v>
      </c>
      <c r="N444">
        <v>156491.5</v>
      </c>
      <c r="O444">
        <v>0</v>
      </c>
      <c r="P444">
        <v>0</v>
      </c>
      <c r="Q444">
        <v>0</v>
      </c>
      <c r="R444">
        <v>1579141.5</v>
      </c>
      <c r="S444">
        <v>567694.1</v>
      </c>
      <c r="T444">
        <v>39.903989034547998</v>
      </c>
      <c r="U444" t="str">
        <f t="shared" si="6"/>
        <v>Week 2</v>
      </c>
    </row>
    <row r="445" spans="1:21" x14ac:dyDescent="0.25">
      <c r="A445">
        <v>444</v>
      </c>
      <c r="B445" t="s">
        <v>878</v>
      </c>
      <c r="C445" s="1">
        <v>46066</v>
      </c>
      <c r="D445" t="s">
        <v>186</v>
      </c>
      <c r="E445" t="s">
        <v>117</v>
      </c>
      <c r="F445" t="s">
        <v>30</v>
      </c>
      <c r="G445" t="s">
        <v>24</v>
      </c>
      <c r="H445" s="2">
        <v>1</v>
      </c>
      <c r="I445" t="s">
        <v>879</v>
      </c>
      <c r="J445" t="s">
        <v>26</v>
      </c>
      <c r="K445">
        <v>4050000</v>
      </c>
      <c r="L445">
        <v>0</v>
      </c>
      <c r="M445">
        <v>0</v>
      </c>
      <c r="N445">
        <v>445500</v>
      </c>
      <c r="O445">
        <v>0</v>
      </c>
      <c r="P445">
        <v>0</v>
      </c>
      <c r="Q445">
        <v>0</v>
      </c>
      <c r="R445">
        <v>4495500</v>
      </c>
      <c r="S445">
        <v>2700000</v>
      </c>
      <c r="T445">
        <v>66.666666666666998</v>
      </c>
      <c r="U445" t="str">
        <f t="shared" si="6"/>
        <v>Week 2</v>
      </c>
    </row>
    <row r="446" spans="1:21" x14ac:dyDescent="0.25">
      <c r="A446">
        <v>445</v>
      </c>
      <c r="B446" t="s">
        <v>880</v>
      </c>
      <c r="C446" s="1">
        <v>46066</v>
      </c>
      <c r="D446" t="s">
        <v>21</v>
      </c>
      <c r="E446" t="s">
        <v>22</v>
      </c>
      <c r="F446" t="s">
        <v>881</v>
      </c>
      <c r="G446" t="s">
        <v>24</v>
      </c>
      <c r="H446" s="2">
        <v>1</v>
      </c>
      <c r="I446" t="s">
        <v>882</v>
      </c>
      <c r="J446" t="s">
        <v>26</v>
      </c>
      <c r="K446">
        <v>10378700</v>
      </c>
      <c r="L446">
        <v>0</v>
      </c>
      <c r="M446">
        <v>0</v>
      </c>
      <c r="N446">
        <v>1141657</v>
      </c>
      <c r="O446">
        <v>0</v>
      </c>
      <c r="P446">
        <v>0</v>
      </c>
      <c r="Q446">
        <v>0</v>
      </c>
      <c r="R446">
        <v>11520357</v>
      </c>
      <c r="S446">
        <v>3512509.6486486001</v>
      </c>
      <c r="T446">
        <v>33.843445216150997</v>
      </c>
      <c r="U446" t="str">
        <f t="shared" si="6"/>
        <v>Week 2</v>
      </c>
    </row>
    <row r="447" spans="1:21" x14ac:dyDescent="0.25">
      <c r="A447">
        <v>446</v>
      </c>
      <c r="B447" t="s">
        <v>883</v>
      </c>
      <c r="C447" s="1">
        <v>46066</v>
      </c>
      <c r="D447" t="s">
        <v>33</v>
      </c>
      <c r="E447" t="s">
        <v>38</v>
      </c>
      <c r="F447" t="s">
        <v>23</v>
      </c>
      <c r="G447" t="s">
        <v>24</v>
      </c>
      <c r="H447" s="2">
        <v>1</v>
      </c>
      <c r="I447" t="s">
        <v>884</v>
      </c>
      <c r="J447" t="s">
        <v>26</v>
      </c>
      <c r="K447">
        <v>113000000</v>
      </c>
      <c r="L447">
        <v>0</v>
      </c>
      <c r="M447">
        <v>0</v>
      </c>
      <c r="N447">
        <v>12430000</v>
      </c>
      <c r="O447">
        <v>0</v>
      </c>
      <c r="P447">
        <v>0</v>
      </c>
      <c r="Q447">
        <v>0</v>
      </c>
      <c r="R447">
        <v>125430000</v>
      </c>
      <c r="S447">
        <v>25400000</v>
      </c>
      <c r="T447">
        <v>22.477876106195001</v>
      </c>
      <c r="U447" t="str">
        <f t="shared" si="6"/>
        <v>Week 2</v>
      </c>
    </row>
    <row r="448" spans="1:21" x14ac:dyDescent="0.25">
      <c r="A448">
        <v>447</v>
      </c>
      <c r="B448" t="s">
        <v>885</v>
      </c>
      <c r="C448" s="1">
        <v>46066</v>
      </c>
      <c r="D448" t="s">
        <v>37</v>
      </c>
      <c r="E448" t="s">
        <v>38</v>
      </c>
      <c r="F448" t="s">
        <v>23</v>
      </c>
      <c r="G448" t="s">
        <v>24</v>
      </c>
      <c r="H448" s="2">
        <v>1</v>
      </c>
      <c r="I448" t="s">
        <v>886</v>
      </c>
      <c r="J448" t="s">
        <v>26</v>
      </c>
      <c r="K448">
        <v>2848000</v>
      </c>
      <c r="L448">
        <v>0</v>
      </c>
      <c r="M448">
        <v>0</v>
      </c>
      <c r="N448">
        <v>313280</v>
      </c>
      <c r="O448">
        <v>0</v>
      </c>
      <c r="P448">
        <v>0</v>
      </c>
      <c r="Q448">
        <v>0</v>
      </c>
      <c r="R448">
        <v>3161280</v>
      </c>
      <c r="S448">
        <v>958000</v>
      </c>
      <c r="T448">
        <v>33.637640449438003</v>
      </c>
      <c r="U448" t="str">
        <f t="shared" si="6"/>
        <v>Week 2</v>
      </c>
    </row>
    <row r="449" spans="1:21" x14ac:dyDescent="0.25">
      <c r="A449">
        <v>448</v>
      </c>
      <c r="B449" t="s">
        <v>887</v>
      </c>
      <c r="C449" s="1">
        <v>46066</v>
      </c>
      <c r="D449" t="s">
        <v>21</v>
      </c>
      <c r="E449" t="s">
        <v>22</v>
      </c>
      <c r="F449" t="s">
        <v>30</v>
      </c>
      <c r="G449" t="s">
        <v>24</v>
      </c>
      <c r="H449" s="2">
        <v>1</v>
      </c>
      <c r="I449" t="s">
        <v>888</v>
      </c>
      <c r="J449" t="s">
        <v>26</v>
      </c>
      <c r="K449">
        <v>24349513.899999999</v>
      </c>
      <c r="L449">
        <v>0</v>
      </c>
      <c r="M449">
        <v>0</v>
      </c>
      <c r="N449">
        <v>2678446.5290000001</v>
      </c>
      <c r="O449">
        <v>0</v>
      </c>
      <c r="P449">
        <v>0</v>
      </c>
      <c r="Q449">
        <v>0</v>
      </c>
      <c r="R449">
        <v>27027960.429000001</v>
      </c>
      <c r="S449">
        <v>11401904.630000001</v>
      </c>
      <c r="T449">
        <v>46.826005138443001</v>
      </c>
      <c r="U449" t="str">
        <f t="shared" si="6"/>
        <v>Week 2</v>
      </c>
    </row>
    <row r="450" spans="1:21" x14ac:dyDescent="0.25">
      <c r="A450">
        <v>449</v>
      </c>
      <c r="B450" t="s">
        <v>889</v>
      </c>
      <c r="C450" s="1">
        <v>46066</v>
      </c>
      <c r="D450" t="s">
        <v>255</v>
      </c>
      <c r="E450" t="s">
        <v>205</v>
      </c>
      <c r="F450" t="s">
        <v>30</v>
      </c>
      <c r="G450" t="s">
        <v>24</v>
      </c>
      <c r="H450" s="2">
        <v>1</v>
      </c>
      <c r="I450" t="s">
        <v>890</v>
      </c>
      <c r="K450">
        <v>1076923</v>
      </c>
      <c r="L450">
        <v>0</v>
      </c>
      <c r="M450">
        <v>0</v>
      </c>
      <c r="N450">
        <v>118461.53</v>
      </c>
      <c r="O450">
        <v>0</v>
      </c>
      <c r="P450">
        <v>0</v>
      </c>
      <c r="Q450">
        <v>0</v>
      </c>
      <c r="R450">
        <v>1195384.53</v>
      </c>
      <c r="S450">
        <v>648995.07207206998</v>
      </c>
      <c r="T450">
        <v>60.263832425536997</v>
      </c>
      <c r="U450" t="str">
        <f t="shared" si="6"/>
        <v>Week 2</v>
      </c>
    </row>
    <row r="451" spans="1:21" x14ac:dyDescent="0.25">
      <c r="A451">
        <v>450</v>
      </c>
      <c r="B451" t="s">
        <v>891</v>
      </c>
      <c r="C451" s="1">
        <v>46066</v>
      </c>
      <c r="D451" t="s">
        <v>323</v>
      </c>
      <c r="E451" t="s">
        <v>38</v>
      </c>
      <c r="F451" t="s">
        <v>23</v>
      </c>
      <c r="G451" t="s">
        <v>24</v>
      </c>
      <c r="H451" s="2">
        <v>1</v>
      </c>
      <c r="I451" t="s">
        <v>892</v>
      </c>
      <c r="K451">
        <v>10740000</v>
      </c>
      <c r="L451">
        <v>0</v>
      </c>
      <c r="M451">
        <v>0</v>
      </c>
      <c r="N451">
        <v>1181400</v>
      </c>
      <c r="O451">
        <v>0</v>
      </c>
      <c r="P451">
        <v>0</v>
      </c>
      <c r="Q451">
        <v>0</v>
      </c>
      <c r="R451">
        <v>11921400</v>
      </c>
      <c r="S451">
        <v>8040000</v>
      </c>
      <c r="T451">
        <v>74.860335195530993</v>
      </c>
      <c r="U451" t="str">
        <f t="shared" ref="U451:U514" si="7">"Week " &amp;IF(DAY(C451)&gt;=24,4,INT((DAY(C451)-1)/7)+1)</f>
        <v>Week 2</v>
      </c>
    </row>
    <row r="452" spans="1:21" x14ac:dyDescent="0.25">
      <c r="A452">
        <v>451</v>
      </c>
      <c r="B452" t="s">
        <v>893</v>
      </c>
      <c r="C452" s="1">
        <v>46066</v>
      </c>
      <c r="D452" t="s">
        <v>312</v>
      </c>
      <c r="E452" t="s">
        <v>100</v>
      </c>
      <c r="F452" t="s">
        <v>23</v>
      </c>
      <c r="G452" t="s">
        <v>24</v>
      </c>
      <c r="H452" s="2">
        <v>1</v>
      </c>
      <c r="I452" t="s">
        <v>894</v>
      </c>
      <c r="K452">
        <v>12750000</v>
      </c>
      <c r="L452">
        <v>0</v>
      </c>
      <c r="M452">
        <v>0</v>
      </c>
      <c r="N452">
        <v>1402500</v>
      </c>
      <c r="O452">
        <v>0</v>
      </c>
      <c r="P452">
        <v>0</v>
      </c>
      <c r="Q452">
        <v>0</v>
      </c>
      <c r="R452">
        <v>14152500</v>
      </c>
      <c r="S452">
        <v>3343928</v>
      </c>
      <c r="T452">
        <v>26.226886274510001</v>
      </c>
      <c r="U452" t="str">
        <f t="shared" si="7"/>
        <v>Week 2</v>
      </c>
    </row>
    <row r="453" spans="1:21" x14ac:dyDescent="0.25">
      <c r="C453" s="1"/>
      <c r="H453" s="2"/>
    </row>
    <row r="454" spans="1:21" x14ac:dyDescent="0.25">
      <c r="A454">
        <v>453</v>
      </c>
      <c r="B454" t="s">
        <v>895</v>
      </c>
      <c r="C454" s="1">
        <v>46065</v>
      </c>
      <c r="D454" t="s">
        <v>21</v>
      </c>
      <c r="E454" t="s">
        <v>22</v>
      </c>
      <c r="F454" t="s">
        <v>23</v>
      </c>
      <c r="G454" t="s">
        <v>24</v>
      </c>
      <c r="H454" s="2">
        <v>1</v>
      </c>
      <c r="I454" t="s">
        <v>896</v>
      </c>
      <c r="J454" t="s">
        <v>26</v>
      </c>
      <c r="K454">
        <v>2639361</v>
      </c>
      <c r="L454">
        <v>0</v>
      </c>
      <c r="M454">
        <v>0</v>
      </c>
      <c r="N454">
        <v>290329.71000000002</v>
      </c>
      <c r="O454">
        <v>0</v>
      </c>
      <c r="P454">
        <v>0</v>
      </c>
      <c r="Q454">
        <v>0</v>
      </c>
      <c r="R454">
        <v>2929690.71</v>
      </c>
      <c r="S454">
        <v>724091</v>
      </c>
      <c r="T454">
        <v>27.434329748753999</v>
      </c>
      <c r="U454" t="str">
        <f t="shared" si="7"/>
        <v>Week 2</v>
      </c>
    </row>
    <row r="455" spans="1:21" x14ac:dyDescent="0.25">
      <c r="A455">
        <v>454</v>
      </c>
      <c r="B455" t="s">
        <v>897</v>
      </c>
      <c r="C455" s="1">
        <v>46065</v>
      </c>
      <c r="D455" t="s">
        <v>328</v>
      </c>
      <c r="E455" t="s">
        <v>194</v>
      </c>
      <c r="F455" t="s">
        <v>265</v>
      </c>
      <c r="G455" t="s">
        <v>24</v>
      </c>
      <c r="H455" s="2">
        <v>1</v>
      </c>
      <c r="I455" t="s">
        <v>898</v>
      </c>
      <c r="J455" t="s">
        <v>57</v>
      </c>
      <c r="K455">
        <v>11739696</v>
      </c>
      <c r="L455">
        <v>0</v>
      </c>
      <c r="M455">
        <v>0</v>
      </c>
      <c r="N455">
        <v>1291366.56</v>
      </c>
      <c r="O455">
        <v>0</v>
      </c>
      <c r="P455">
        <v>0</v>
      </c>
      <c r="Q455">
        <v>0</v>
      </c>
      <c r="R455">
        <v>13031062.560000001</v>
      </c>
      <c r="S455">
        <v>3876943.28</v>
      </c>
      <c r="T455">
        <v>33.024222092293002</v>
      </c>
      <c r="U455" t="str">
        <f t="shared" si="7"/>
        <v>Week 2</v>
      </c>
    </row>
    <row r="456" spans="1:21" x14ac:dyDescent="0.25">
      <c r="A456">
        <v>455</v>
      </c>
      <c r="B456" t="s">
        <v>899</v>
      </c>
      <c r="C456" s="1">
        <v>46065</v>
      </c>
      <c r="D456" t="s">
        <v>113</v>
      </c>
      <c r="E456" t="s">
        <v>38</v>
      </c>
      <c r="F456" t="s">
        <v>23</v>
      </c>
      <c r="G456" t="s">
        <v>24</v>
      </c>
      <c r="H456" s="2">
        <v>1</v>
      </c>
      <c r="I456" t="s">
        <v>900</v>
      </c>
      <c r="K456">
        <v>2937500</v>
      </c>
      <c r="L456">
        <v>0</v>
      </c>
      <c r="M456">
        <v>0</v>
      </c>
      <c r="N456">
        <v>323125</v>
      </c>
      <c r="O456">
        <v>0</v>
      </c>
      <c r="P456">
        <v>0</v>
      </c>
      <c r="Q456">
        <v>0</v>
      </c>
      <c r="R456">
        <v>3260625</v>
      </c>
      <c r="S456">
        <v>1135698</v>
      </c>
      <c r="T456">
        <v>38.662059574468003</v>
      </c>
      <c r="U456" t="str">
        <f t="shared" si="7"/>
        <v>Week 2</v>
      </c>
    </row>
    <row r="457" spans="1:21" x14ac:dyDescent="0.25">
      <c r="A457">
        <v>456</v>
      </c>
      <c r="B457" t="s">
        <v>901</v>
      </c>
      <c r="C457" s="1">
        <v>46065</v>
      </c>
      <c r="D457" t="s">
        <v>328</v>
      </c>
      <c r="E457" t="s">
        <v>194</v>
      </c>
      <c r="F457" t="s">
        <v>30</v>
      </c>
      <c r="G457" t="s">
        <v>24</v>
      </c>
      <c r="H457" s="2">
        <v>1</v>
      </c>
      <c r="I457" t="s">
        <v>902</v>
      </c>
      <c r="J457" t="s">
        <v>57</v>
      </c>
      <c r="K457">
        <v>608750</v>
      </c>
      <c r="L457">
        <v>0</v>
      </c>
      <c r="M457">
        <v>0</v>
      </c>
      <c r="N457">
        <v>66962.5</v>
      </c>
      <c r="O457">
        <v>0</v>
      </c>
      <c r="P457">
        <v>0</v>
      </c>
      <c r="Q457">
        <v>0</v>
      </c>
      <c r="R457">
        <v>675712.5</v>
      </c>
      <c r="S457">
        <v>121750</v>
      </c>
      <c r="T457">
        <v>20</v>
      </c>
      <c r="U457" t="str">
        <f t="shared" si="7"/>
        <v>Week 2</v>
      </c>
    </row>
    <row r="458" spans="1:21" x14ac:dyDescent="0.25">
      <c r="A458">
        <v>457</v>
      </c>
      <c r="B458" t="s">
        <v>903</v>
      </c>
      <c r="C458" s="1">
        <v>46065</v>
      </c>
      <c r="D458" t="s">
        <v>33</v>
      </c>
      <c r="E458" t="s">
        <v>34</v>
      </c>
      <c r="F458" t="s">
        <v>30</v>
      </c>
      <c r="G458" t="s">
        <v>24</v>
      </c>
      <c r="H458" s="2">
        <v>1</v>
      </c>
      <c r="I458" t="s">
        <v>904</v>
      </c>
      <c r="K458">
        <v>78400</v>
      </c>
      <c r="L458">
        <v>0</v>
      </c>
      <c r="M458">
        <v>0</v>
      </c>
      <c r="N458">
        <v>8624</v>
      </c>
      <c r="O458">
        <v>0</v>
      </c>
      <c r="P458">
        <v>0</v>
      </c>
      <c r="Q458">
        <v>0</v>
      </c>
      <c r="R458">
        <v>87024</v>
      </c>
      <c r="S458">
        <v>2344</v>
      </c>
      <c r="T458">
        <v>2.9897959183673</v>
      </c>
      <c r="U458" t="str">
        <f t="shared" si="7"/>
        <v>Week 2</v>
      </c>
    </row>
    <row r="459" spans="1:21" x14ac:dyDescent="0.25">
      <c r="A459">
        <v>458</v>
      </c>
      <c r="B459" t="s">
        <v>905</v>
      </c>
      <c r="C459" s="1">
        <v>46065</v>
      </c>
      <c r="D459" t="s">
        <v>33</v>
      </c>
      <c r="E459" t="s">
        <v>38</v>
      </c>
      <c r="F459" t="s">
        <v>23</v>
      </c>
      <c r="G459" t="s">
        <v>24</v>
      </c>
      <c r="H459" s="2">
        <v>1</v>
      </c>
      <c r="I459" t="s">
        <v>906</v>
      </c>
      <c r="K459">
        <v>25760518.018018</v>
      </c>
      <c r="L459">
        <v>0</v>
      </c>
      <c r="M459">
        <v>0</v>
      </c>
      <c r="N459">
        <v>2833656.9819820002</v>
      </c>
      <c r="O459">
        <v>0</v>
      </c>
      <c r="P459">
        <v>0</v>
      </c>
      <c r="Q459">
        <v>0</v>
      </c>
      <c r="R459">
        <v>28594175</v>
      </c>
      <c r="S459">
        <v>5715671.1711712005</v>
      </c>
      <c r="T459">
        <v>22.187718302766001</v>
      </c>
      <c r="U459" t="str">
        <f t="shared" si="7"/>
        <v>Week 2</v>
      </c>
    </row>
    <row r="460" spans="1:21" x14ac:dyDescent="0.25">
      <c r="A460">
        <v>459</v>
      </c>
      <c r="B460" t="s">
        <v>907</v>
      </c>
      <c r="C460" s="1">
        <v>46065</v>
      </c>
      <c r="D460" t="s">
        <v>33</v>
      </c>
      <c r="E460" t="s">
        <v>38</v>
      </c>
      <c r="F460" t="s">
        <v>23</v>
      </c>
      <c r="G460" t="s">
        <v>24</v>
      </c>
      <c r="H460" s="2">
        <v>1</v>
      </c>
      <c r="I460" t="s">
        <v>908</v>
      </c>
      <c r="K460">
        <v>8833333.3333334997</v>
      </c>
      <c r="L460">
        <v>0</v>
      </c>
      <c r="M460">
        <v>0</v>
      </c>
      <c r="N460">
        <v>971666.66666669003</v>
      </c>
      <c r="O460">
        <v>0</v>
      </c>
      <c r="P460">
        <v>0</v>
      </c>
      <c r="Q460">
        <v>0</v>
      </c>
      <c r="R460">
        <v>9805000.0000001993</v>
      </c>
      <c r="S460">
        <v>8833283.3333334997</v>
      </c>
      <c r="T460">
        <v>99.999433962264007</v>
      </c>
      <c r="U460" t="str">
        <f t="shared" si="7"/>
        <v>Week 2</v>
      </c>
    </row>
    <row r="461" spans="1:21" x14ac:dyDescent="0.25">
      <c r="A461">
        <v>460</v>
      </c>
      <c r="B461" t="s">
        <v>909</v>
      </c>
      <c r="C461" s="1">
        <v>46065</v>
      </c>
      <c r="D461" t="s">
        <v>537</v>
      </c>
      <c r="E461" t="s">
        <v>194</v>
      </c>
      <c r="F461" t="s">
        <v>23</v>
      </c>
      <c r="G461" t="s">
        <v>24</v>
      </c>
      <c r="H461" s="2">
        <v>1</v>
      </c>
      <c r="I461" t="s">
        <v>910</v>
      </c>
      <c r="J461" t="s">
        <v>57</v>
      </c>
      <c r="K461">
        <v>11500000</v>
      </c>
      <c r="L461">
        <v>0</v>
      </c>
      <c r="M461">
        <v>0</v>
      </c>
      <c r="N461">
        <v>1265000</v>
      </c>
      <c r="O461">
        <v>0</v>
      </c>
      <c r="P461">
        <v>0</v>
      </c>
      <c r="Q461">
        <v>0</v>
      </c>
      <c r="R461">
        <v>12765000</v>
      </c>
      <c r="S461">
        <v>2260000</v>
      </c>
      <c r="T461">
        <v>19.652173913043001</v>
      </c>
      <c r="U461" t="str">
        <f t="shared" si="7"/>
        <v>Week 2</v>
      </c>
    </row>
    <row r="462" spans="1:21" x14ac:dyDescent="0.25">
      <c r="A462">
        <v>461</v>
      </c>
      <c r="B462" t="s">
        <v>911</v>
      </c>
      <c r="C462" s="1">
        <v>46065</v>
      </c>
      <c r="D462" t="s">
        <v>21</v>
      </c>
      <c r="E462" t="s">
        <v>22</v>
      </c>
      <c r="F462" t="s">
        <v>23</v>
      </c>
      <c r="G462" t="s">
        <v>24</v>
      </c>
      <c r="H462" s="2">
        <v>1</v>
      </c>
      <c r="I462" t="s">
        <v>912</v>
      </c>
      <c r="J462" t="s">
        <v>26</v>
      </c>
      <c r="K462">
        <v>14932486.764706001</v>
      </c>
      <c r="L462">
        <v>0</v>
      </c>
      <c r="M462">
        <v>0</v>
      </c>
      <c r="N462">
        <v>1642573.5441176</v>
      </c>
      <c r="O462">
        <v>0</v>
      </c>
      <c r="P462">
        <v>0</v>
      </c>
      <c r="Q462">
        <v>0</v>
      </c>
      <c r="R462">
        <v>16575060.308824001</v>
      </c>
      <c r="S462">
        <v>5559805.6836248003</v>
      </c>
      <c r="T462">
        <v>37.232952362401001</v>
      </c>
      <c r="U462" t="str">
        <f t="shared" si="7"/>
        <v>Week 2</v>
      </c>
    </row>
    <row r="463" spans="1:21" x14ac:dyDescent="0.25">
      <c r="A463">
        <v>462</v>
      </c>
      <c r="B463" t="s">
        <v>913</v>
      </c>
      <c r="C463" s="1">
        <v>46065</v>
      </c>
      <c r="D463" t="s">
        <v>21</v>
      </c>
      <c r="E463" t="s">
        <v>22</v>
      </c>
      <c r="F463" t="s">
        <v>23</v>
      </c>
      <c r="G463" t="s">
        <v>24</v>
      </c>
      <c r="H463" s="2">
        <v>1</v>
      </c>
      <c r="I463" t="s">
        <v>914</v>
      </c>
      <c r="J463" t="s">
        <v>26</v>
      </c>
      <c r="K463">
        <v>45472614.75</v>
      </c>
      <c r="L463">
        <v>0</v>
      </c>
      <c r="M463">
        <v>0</v>
      </c>
      <c r="N463">
        <v>5001987.6224999996</v>
      </c>
      <c r="O463">
        <v>0</v>
      </c>
      <c r="P463">
        <v>0</v>
      </c>
      <c r="Q463">
        <v>0</v>
      </c>
      <c r="R463">
        <v>50474602.372500002</v>
      </c>
      <c r="S463">
        <v>21598249.079999998</v>
      </c>
      <c r="T463">
        <v>47.497266648824002</v>
      </c>
      <c r="U463" t="str">
        <f t="shared" si="7"/>
        <v>Week 2</v>
      </c>
    </row>
    <row r="464" spans="1:21" x14ac:dyDescent="0.25">
      <c r="A464">
        <v>463</v>
      </c>
      <c r="B464" t="s">
        <v>915</v>
      </c>
      <c r="C464" s="1">
        <v>46065</v>
      </c>
      <c r="D464" t="s">
        <v>21</v>
      </c>
      <c r="E464" t="s">
        <v>22</v>
      </c>
      <c r="F464" t="s">
        <v>30</v>
      </c>
      <c r="G464" t="s">
        <v>24</v>
      </c>
      <c r="H464" s="2">
        <v>1</v>
      </c>
      <c r="I464" t="s">
        <v>916</v>
      </c>
      <c r="J464" t="s">
        <v>57</v>
      </c>
      <c r="K464">
        <v>132008920.26000001</v>
      </c>
      <c r="L464">
        <v>0</v>
      </c>
      <c r="M464">
        <v>0</v>
      </c>
      <c r="N464">
        <v>14520981.228599999</v>
      </c>
      <c r="O464">
        <v>0</v>
      </c>
      <c r="P464">
        <v>0</v>
      </c>
      <c r="Q464">
        <v>0</v>
      </c>
      <c r="R464">
        <v>146529901.48859999</v>
      </c>
      <c r="S464">
        <v>36584263.908660002</v>
      </c>
      <c r="T464">
        <v>27.713478632053999</v>
      </c>
      <c r="U464" t="str">
        <f t="shared" si="7"/>
        <v>Week 2</v>
      </c>
    </row>
    <row r="465" spans="1:21" x14ac:dyDescent="0.25">
      <c r="A465">
        <v>464</v>
      </c>
      <c r="B465" t="s">
        <v>917</v>
      </c>
      <c r="C465" s="1">
        <v>46064</v>
      </c>
      <c r="D465" t="s">
        <v>21</v>
      </c>
      <c r="E465" t="s">
        <v>22</v>
      </c>
      <c r="F465" t="s">
        <v>30</v>
      </c>
      <c r="G465" t="s">
        <v>24</v>
      </c>
      <c r="H465" s="2">
        <v>1</v>
      </c>
      <c r="I465" t="s">
        <v>918</v>
      </c>
      <c r="J465" t="s">
        <v>26</v>
      </c>
      <c r="K465">
        <v>2554370</v>
      </c>
      <c r="L465">
        <v>0</v>
      </c>
      <c r="M465">
        <v>0</v>
      </c>
      <c r="N465">
        <v>280980.7</v>
      </c>
      <c r="O465">
        <v>0</v>
      </c>
      <c r="P465">
        <v>0</v>
      </c>
      <c r="Q465">
        <v>0</v>
      </c>
      <c r="R465">
        <v>2835350.7</v>
      </c>
      <c r="S465">
        <v>662479</v>
      </c>
      <c r="T465">
        <v>25.935122946166999</v>
      </c>
      <c r="U465" t="str">
        <f t="shared" si="7"/>
        <v>Week 2</v>
      </c>
    </row>
    <row r="466" spans="1:21" x14ac:dyDescent="0.25">
      <c r="A466">
        <v>465</v>
      </c>
      <c r="B466" t="s">
        <v>919</v>
      </c>
      <c r="C466" s="1">
        <v>46064</v>
      </c>
      <c r="D466" t="s">
        <v>28</v>
      </c>
      <c r="E466" t="s">
        <v>205</v>
      </c>
      <c r="F466" t="s">
        <v>23</v>
      </c>
      <c r="G466" t="s">
        <v>24</v>
      </c>
      <c r="H466" s="2">
        <v>1</v>
      </c>
      <c r="I466" t="s">
        <v>861</v>
      </c>
      <c r="J466" t="s">
        <v>26</v>
      </c>
      <c r="K466">
        <v>76688125</v>
      </c>
      <c r="L466">
        <v>0</v>
      </c>
      <c r="M466">
        <v>0</v>
      </c>
      <c r="N466">
        <v>8435693.75</v>
      </c>
      <c r="O466">
        <v>0</v>
      </c>
      <c r="P466">
        <v>0</v>
      </c>
      <c r="Q466">
        <v>0</v>
      </c>
      <c r="R466">
        <v>85123818.75</v>
      </c>
      <c r="S466">
        <v>9942625</v>
      </c>
      <c r="T466">
        <v>12.965012510085</v>
      </c>
      <c r="U466" t="str">
        <f t="shared" si="7"/>
        <v>Week 2</v>
      </c>
    </row>
    <row r="467" spans="1:21" x14ac:dyDescent="0.25">
      <c r="A467">
        <v>466</v>
      </c>
      <c r="B467" t="s">
        <v>920</v>
      </c>
      <c r="C467" s="1">
        <v>46064</v>
      </c>
      <c r="D467" t="s">
        <v>21</v>
      </c>
      <c r="E467" t="s">
        <v>22</v>
      </c>
      <c r="F467" t="s">
        <v>23</v>
      </c>
      <c r="G467" t="s">
        <v>24</v>
      </c>
      <c r="H467" s="2">
        <v>1</v>
      </c>
      <c r="I467" t="s">
        <v>921</v>
      </c>
      <c r="J467" t="s">
        <v>26</v>
      </c>
      <c r="K467">
        <v>27627511</v>
      </c>
      <c r="L467">
        <v>0</v>
      </c>
      <c r="M467">
        <v>0</v>
      </c>
      <c r="N467">
        <v>3039026.21</v>
      </c>
      <c r="O467">
        <v>0</v>
      </c>
      <c r="P467">
        <v>0</v>
      </c>
      <c r="Q467">
        <v>0</v>
      </c>
      <c r="R467">
        <v>30666537.210000001</v>
      </c>
      <c r="S467">
        <v>5933493.7027222002</v>
      </c>
      <c r="T467">
        <v>21.476758086250001</v>
      </c>
      <c r="U467" t="str">
        <f t="shared" si="7"/>
        <v>Week 2</v>
      </c>
    </row>
    <row r="468" spans="1:21" x14ac:dyDescent="0.25">
      <c r="A468">
        <v>467</v>
      </c>
      <c r="B468" t="s">
        <v>922</v>
      </c>
      <c r="C468" s="1">
        <v>46064</v>
      </c>
      <c r="D468" t="s">
        <v>54</v>
      </c>
      <c r="E468" t="s">
        <v>55</v>
      </c>
      <c r="F468" t="s">
        <v>23</v>
      </c>
      <c r="G468" t="s">
        <v>24</v>
      </c>
      <c r="H468" s="2">
        <v>1</v>
      </c>
      <c r="I468" t="s">
        <v>923</v>
      </c>
      <c r="K468">
        <v>47900000</v>
      </c>
      <c r="L468">
        <v>0</v>
      </c>
      <c r="M468">
        <v>0</v>
      </c>
      <c r="N468">
        <v>5269000</v>
      </c>
      <c r="O468">
        <v>0</v>
      </c>
      <c r="P468">
        <v>0</v>
      </c>
      <c r="Q468">
        <v>0</v>
      </c>
      <c r="R468">
        <v>53169000</v>
      </c>
      <c r="S468">
        <v>14609851.252251999</v>
      </c>
      <c r="T468">
        <v>30.500733303240999</v>
      </c>
      <c r="U468" t="str">
        <f t="shared" si="7"/>
        <v>Week 2</v>
      </c>
    </row>
    <row r="469" spans="1:21" x14ac:dyDescent="0.25">
      <c r="A469">
        <v>468</v>
      </c>
      <c r="B469" t="s">
        <v>924</v>
      </c>
      <c r="C469" s="1">
        <v>46064</v>
      </c>
      <c r="D469" t="s">
        <v>54</v>
      </c>
      <c r="E469" t="s">
        <v>55</v>
      </c>
      <c r="F469" t="s">
        <v>23</v>
      </c>
      <c r="G469" t="s">
        <v>24</v>
      </c>
      <c r="H469" s="2">
        <v>1</v>
      </c>
      <c r="I469" t="s">
        <v>271</v>
      </c>
      <c r="K469">
        <v>4500000</v>
      </c>
      <c r="L469">
        <v>0</v>
      </c>
      <c r="M469">
        <v>0</v>
      </c>
      <c r="N469">
        <v>495000</v>
      </c>
      <c r="O469">
        <v>0</v>
      </c>
      <c r="P469">
        <v>0</v>
      </c>
      <c r="Q469">
        <v>0</v>
      </c>
      <c r="R469">
        <v>4995000</v>
      </c>
      <c r="S469">
        <v>635000</v>
      </c>
      <c r="T469">
        <v>14.111111111111001</v>
      </c>
      <c r="U469" t="str">
        <f t="shared" si="7"/>
        <v>Week 2</v>
      </c>
    </row>
    <row r="470" spans="1:21" x14ac:dyDescent="0.25">
      <c r="A470">
        <v>469</v>
      </c>
      <c r="B470" t="s">
        <v>925</v>
      </c>
      <c r="C470" s="1">
        <v>46064</v>
      </c>
      <c r="D470" t="s">
        <v>926</v>
      </c>
      <c r="E470" t="s">
        <v>194</v>
      </c>
      <c r="F470" t="s">
        <v>30</v>
      </c>
      <c r="G470" t="s">
        <v>24</v>
      </c>
      <c r="H470" s="2">
        <v>1</v>
      </c>
      <c r="I470" t="s">
        <v>927</v>
      </c>
      <c r="J470" t="s">
        <v>57</v>
      </c>
      <c r="K470">
        <v>13987826</v>
      </c>
      <c r="L470">
        <v>0</v>
      </c>
      <c r="M470">
        <v>0</v>
      </c>
      <c r="N470">
        <v>1538660.86</v>
      </c>
      <c r="O470">
        <v>0</v>
      </c>
      <c r="P470">
        <v>0</v>
      </c>
      <c r="Q470">
        <v>0</v>
      </c>
      <c r="R470">
        <v>15526486.859999999</v>
      </c>
      <c r="S470">
        <v>3117826</v>
      </c>
      <c r="T470">
        <v>22.289568085848</v>
      </c>
      <c r="U470" t="str">
        <f t="shared" si="7"/>
        <v>Week 2</v>
      </c>
    </row>
    <row r="471" spans="1:21" x14ac:dyDescent="0.25">
      <c r="A471">
        <v>470</v>
      </c>
      <c r="B471" t="s">
        <v>928</v>
      </c>
      <c r="C471" s="1">
        <v>46064</v>
      </c>
      <c r="D471" t="s">
        <v>54</v>
      </c>
      <c r="E471" t="s">
        <v>55</v>
      </c>
      <c r="F471" t="s">
        <v>30</v>
      </c>
      <c r="G471" t="s">
        <v>24</v>
      </c>
      <c r="H471" s="2">
        <v>1</v>
      </c>
      <c r="I471" t="s">
        <v>929</v>
      </c>
      <c r="K471">
        <v>2869096.23</v>
      </c>
      <c r="L471">
        <v>0</v>
      </c>
      <c r="M471">
        <v>0</v>
      </c>
      <c r="N471">
        <v>315600.58529999998</v>
      </c>
      <c r="O471">
        <v>0</v>
      </c>
      <c r="P471">
        <v>0</v>
      </c>
      <c r="Q471">
        <v>0</v>
      </c>
      <c r="R471">
        <v>3184696.8152999999</v>
      </c>
      <c r="S471">
        <v>969096.23</v>
      </c>
      <c r="T471">
        <v>33.777055640966999</v>
      </c>
      <c r="U471" t="str">
        <f t="shared" si="7"/>
        <v>Week 2</v>
      </c>
    </row>
    <row r="472" spans="1:21" x14ac:dyDescent="0.25">
      <c r="A472">
        <v>471</v>
      </c>
      <c r="B472" t="s">
        <v>930</v>
      </c>
      <c r="C472" s="1">
        <v>46064</v>
      </c>
      <c r="D472" t="s">
        <v>54</v>
      </c>
      <c r="E472" t="s">
        <v>55</v>
      </c>
      <c r="F472" t="s">
        <v>23</v>
      </c>
      <c r="G472" t="s">
        <v>24</v>
      </c>
      <c r="H472" s="2">
        <v>1</v>
      </c>
      <c r="I472" t="s">
        <v>308</v>
      </c>
      <c r="K472">
        <v>4420000</v>
      </c>
      <c r="L472">
        <v>0</v>
      </c>
      <c r="M472">
        <v>0</v>
      </c>
      <c r="N472">
        <v>486200</v>
      </c>
      <c r="O472">
        <v>0</v>
      </c>
      <c r="P472">
        <v>0</v>
      </c>
      <c r="Q472">
        <v>0</v>
      </c>
      <c r="R472">
        <v>4906200</v>
      </c>
      <c r="S472">
        <v>1052800</v>
      </c>
      <c r="T472">
        <v>23.819004524886999</v>
      </c>
      <c r="U472" t="str">
        <f t="shared" si="7"/>
        <v>Week 2</v>
      </c>
    </row>
    <row r="473" spans="1:21" x14ac:dyDescent="0.25">
      <c r="A473">
        <v>472</v>
      </c>
      <c r="B473" t="s">
        <v>931</v>
      </c>
      <c r="C473" s="1">
        <v>46064</v>
      </c>
      <c r="D473" t="s">
        <v>21</v>
      </c>
      <c r="E473" t="s">
        <v>22</v>
      </c>
      <c r="F473" t="s">
        <v>30</v>
      </c>
      <c r="G473" t="s">
        <v>24</v>
      </c>
      <c r="H473" s="2">
        <v>1</v>
      </c>
      <c r="I473" t="s">
        <v>932</v>
      </c>
      <c r="J473" t="s">
        <v>26</v>
      </c>
      <c r="K473">
        <v>39284000</v>
      </c>
      <c r="L473">
        <v>0</v>
      </c>
      <c r="M473">
        <v>0</v>
      </c>
      <c r="N473">
        <v>4321240</v>
      </c>
      <c r="O473">
        <v>0</v>
      </c>
      <c r="P473">
        <v>0</v>
      </c>
      <c r="Q473">
        <v>0</v>
      </c>
      <c r="R473">
        <v>43605240</v>
      </c>
      <c r="S473">
        <v>1178520</v>
      </c>
      <c r="T473">
        <v>3</v>
      </c>
      <c r="U473" t="str">
        <f t="shared" si="7"/>
        <v>Week 2</v>
      </c>
    </row>
    <row r="474" spans="1:21" x14ac:dyDescent="0.25">
      <c r="A474">
        <v>473</v>
      </c>
      <c r="B474" t="s">
        <v>933</v>
      </c>
      <c r="C474" s="1">
        <v>46064</v>
      </c>
      <c r="D474" t="s">
        <v>54</v>
      </c>
      <c r="E474" t="s">
        <v>55</v>
      </c>
      <c r="F474" t="s">
        <v>23</v>
      </c>
      <c r="G474" t="s">
        <v>24</v>
      </c>
      <c r="H474" s="2">
        <v>1</v>
      </c>
      <c r="I474" t="s">
        <v>934</v>
      </c>
      <c r="K474">
        <v>14142000</v>
      </c>
      <c r="L474">
        <v>0</v>
      </c>
      <c r="M474">
        <v>0</v>
      </c>
      <c r="N474">
        <v>1555620</v>
      </c>
      <c r="O474">
        <v>0</v>
      </c>
      <c r="P474">
        <v>0</v>
      </c>
      <c r="Q474">
        <v>0</v>
      </c>
      <c r="R474">
        <v>15697620</v>
      </c>
      <c r="S474">
        <v>5017178</v>
      </c>
      <c r="T474">
        <v>35.477146089662</v>
      </c>
      <c r="U474" t="str">
        <f t="shared" si="7"/>
        <v>Week 2</v>
      </c>
    </row>
    <row r="475" spans="1:21" x14ac:dyDescent="0.25">
      <c r="A475">
        <v>474</v>
      </c>
      <c r="B475" t="s">
        <v>935</v>
      </c>
      <c r="C475" s="1">
        <v>46064</v>
      </c>
      <c r="D475" t="s">
        <v>113</v>
      </c>
      <c r="E475" t="s">
        <v>38</v>
      </c>
      <c r="F475" t="s">
        <v>23</v>
      </c>
      <c r="G475" t="s">
        <v>24</v>
      </c>
      <c r="H475" s="2">
        <v>1</v>
      </c>
      <c r="I475" t="s">
        <v>936</v>
      </c>
      <c r="K475">
        <v>30379746</v>
      </c>
      <c r="L475">
        <v>0</v>
      </c>
      <c r="M475">
        <v>0</v>
      </c>
      <c r="N475">
        <v>3341772.06</v>
      </c>
      <c r="O475">
        <v>0</v>
      </c>
      <c r="P475">
        <v>0</v>
      </c>
      <c r="Q475">
        <v>0</v>
      </c>
      <c r="R475">
        <v>33721518.060000002</v>
      </c>
      <c r="S475">
        <v>6379746</v>
      </c>
      <c r="T475">
        <v>20.9999978275</v>
      </c>
      <c r="U475" t="str">
        <f t="shared" si="7"/>
        <v>Week 2</v>
      </c>
    </row>
    <row r="476" spans="1:21" x14ac:dyDescent="0.25">
      <c r="A476">
        <v>475</v>
      </c>
      <c r="B476" t="s">
        <v>937</v>
      </c>
      <c r="C476" s="1">
        <v>46064</v>
      </c>
      <c r="D476" t="s">
        <v>186</v>
      </c>
      <c r="E476" t="s">
        <v>117</v>
      </c>
      <c r="F476" t="s">
        <v>30</v>
      </c>
      <c r="G476" t="s">
        <v>24</v>
      </c>
      <c r="H476" s="2">
        <v>1</v>
      </c>
      <c r="I476" t="s">
        <v>938</v>
      </c>
      <c r="J476" t="s">
        <v>26</v>
      </c>
      <c r="K476">
        <v>9682000</v>
      </c>
      <c r="L476">
        <v>0</v>
      </c>
      <c r="M476">
        <v>0</v>
      </c>
      <c r="N476">
        <v>1065020</v>
      </c>
      <c r="O476">
        <v>0</v>
      </c>
      <c r="P476">
        <v>0</v>
      </c>
      <c r="Q476">
        <v>0</v>
      </c>
      <c r="R476">
        <v>10747020</v>
      </c>
      <c r="S476">
        <v>9382000</v>
      </c>
      <c r="T476">
        <v>96.901466639123996</v>
      </c>
      <c r="U476" t="str">
        <f t="shared" si="7"/>
        <v>Week 2</v>
      </c>
    </row>
    <row r="477" spans="1:21" x14ac:dyDescent="0.25">
      <c r="A477">
        <v>476</v>
      </c>
      <c r="B477" t="s">
        <v>939</v>
      </c>
      <c r="C477" s="1">
        <v>46064</v>
      </c>
      <c r="D477" t="s">
        <v>21</v>
      </c>
      <c r="E477" t="s">
        <v>22</v>
      </c>
      <c r="F477" t="s">
        <v>30</v>
      </c>
      <c r="G477" t="s">
        <v>24</v>
      </c>
      <c r="H477" s="2">
        <v>1</v>
      </c>
      <c r="I477" t="s">
        <v>940</v>
      </c>
      <c r="J477" t="s">
        <v>26</v>
      </c>
      <c r="K477">
        <v>274400</v>
      </c>
      <c r="L477">
        <v>0</v>
      </c>
      <c r="M477">
        <v>0</v>
      </c>
      <c r="N477">
        <v>30184</v>
      </c>
      <c r="O477">
        <v>0</v>
      </c>
      <c r="P477">
        <v>0</v>
      </c>
      <c r="Q477">
        <v>0</v>
      </c>
      <c r="R477">
        <v>304584</v>
      </c>
      <c r="S477">
        <v>71136.5</v>
      </c>
      <c r="T477">
        <v>0</v>
      </c>
      <c r="U477" t="str">
        <f t="shared" si="7"/>
        <v>Week 2</v>
      </c>
    </row>
    <row r="478" spans="1:21" x14ac:dyDescent="0.25">
      <c r="A478">
        <v>477</v>
      </c>
      <c r="B478" t="s">
        <v>941</v>
      </c>
      <c r="C478" s="1">
        <v>46064</v>
      </c>
      <c r="D478" t="s">
        <v>21</v>
      </c>
      <c r="E478" t="s">
        <v>22</v>
      </c>
      <c r="F478" t="s">
        <v>30</v>
      </c>
      <c r="G478" t="s">
        <v>24</v>
      </c>
      <c r="H478" s="2">
        <v>1</v>
      </c>
      <c r="I478" t="s">
        <v>942</v>
      </c>
      <c r="J478" t="s">
        <v>26</v>
      </c>
      <c r="K478">
        <v>98823200</v>
      </c>
      <c r="L478">
        <v>0</v>
      </c>
      <c r="M478">
        <v>0</v>
      </c>
      <c r="N478">
        <v>10870552</v>
      </c>
      <c r="O478">
        <v>0</v>
      </c>
      <c r="P478">
        <v>0</v>
      </c>
      <c r="Q478">
        <v>0</v>
      </c>
      <c r="R478">
        <v>109693752</v>
      </c>
      <c r="S478">
        <v>6236970</v>
      </c>
      <c r="T478">
        <v>6.3112406803261001</v>
      </c>
      <c r="U478" t="str">
        <f t="shared" si="7"/>
        <v>Week 2</v>
      </c>
    </row>
    <row r="479" spans="1:21" x14ac:dyDescent="0.25">
      <c r="A479">
        <v>478</v>
      </c>
      <c r="B479" t="s">
        <v>943</v>
      </c>
      <c r="C479" s="1">
        <v>46064</v>
      </c>
      <c r="D479" t="s">
        <v>54</v>
      </c>
      <c r="E479" t="s">
        <v>55</v>
      </c>
      <c r="F479" t="s">
        <v>23</v>
      </c>
      <c r="G479" t="s">
        <v>24</v>
      </c>
      <c r="H479" s="2">
        <v>1</v>
      </c>
      <c r="I479" t="s">
        <v>944</v>
      </c>
      <c r="K479">
        <v>192500</v>
      </c>
      <c r="L479">
        <v>0</v>
      </c>
      <c r="M479">
        <v>0</v>
      </c>
      <c r="N479">
        <v>21175</v>
      </c>
      <c r="O479">
        <v>0</v>
      </c>
      <c r="P479">
        <v>0</v>
      </c>
      <c r="Q479">
        <v>0</v>
      </c>
      <c r="R479">
        <v>213675</v>
      </c>
      <c r="S479">
        <v>53720.342342342003</v>
      </c>
      <c r="T479">
        <v>27.906671346671001</v>
      </c>
      <c r="U479" t="str">
        <f t="shared" si="7"/>
        <v>Week 2</v>
      </c>
    </row>
    <row r="480" spans="1:21" x14ac:dyDescent="0.25">
      <c r="A480">
        <v>479</v>
      </c>
      <c r="B480" t="s">
        <v>945</v>
      </c>
      <c r="C480" s="1">
        <v>46064</v>
      </c>
      <c r="D480" t="s">
        <v>99</v>
      </c>
      <c r="E480" t="s">
        <v>100</v>
      </c>
      <c r="F480" t="s">
        <v>23</v>
      </c>
      <c r="G480" t="s">
        <v>24</v>
      </c>
      <c r="H480" s="2">
        <v>1</v>
      </c>
      <c r="I480" t="s">
        <v>946</v>
      </c>
      <c r="K480">
        <v>8169000</v>
      </c>
      <c r="L480">
        <v>0</v>
      </c>
      <c r="M480">
        <v>0</v>
      </c>
      <c r="N480">
        <v>898590</v>
      </c>
      <c r="O480">
        <v>0</v>
      </c>
      <c r="P480">
        <v>0</v>
      </c>
      <c r="Q480">
        <v>0</v>
      </c>
      <c r="R480">
        <v>9067590</v>
      </c>
      <c r="S480">
        <v>3851600</v>
      </c>
      <c r="T480">
        <v>47.148977843064998</v>
      </c>
      <c r="U480" t="str">
        <f t="shared" si="7"/>
        <v>Week 2</v>
      </c>
    </row>
    <row r="481" spans="1:21" x14ac:dyDescent="0.25">
      <c r="A481">
        <v>480</v>
      </c>
      <c r="B481" t="s">
        <v>947</v>
      </c>
      <c r="C481" s="1">
        <v>46064</v>
      </c>
      <c r="D481" t="s">
        <v>54</v>
      </c>
      <c r="E481" t="s">
        <v>55</v>
      </c>
      <c r="F481" t="s">
        <v>23</v>
      </c>
      <c r="G481" t="s">
        <v>24</v>
      </c>
      <c r="H481" s="2">
        <v>1</v>
      </c>
      <c r="I481" t="s">
        <v>944</v>
      </c>
      <c r="K481">
        <v>40905000</v>
      </c>
      <c r="L481">
        <v>0</v>
      </c>
      <c r="M481">
        <v>0</v>
      </c>
      <c r="N481">
        <v>4499550</v>
      </c>
      <c r="O481">
        <v>0</v>
      </c>
      <c r="P481">
        <v>0</v>
      </c>
      <c r="Q481">
        <v>0</v>
      </c>
      <c r="R481">
        <v>45404550</v>
      </c>
      <c r="S481">
        <v>16825608.099892002</v>
      </c>
      <c r="T481">
        <v>41.133377581937999</v>
      </c>
      <c r="U481" t="str">
        <f t="shared" si="7"/>
        <v>Week 2</v>
      </c>
    </row>
    <row r="482" spans="1:21" x14ac:dyDescent="0.25">
      <c r="A482">
        <v>481</v>
      </c>
      <c r="B482" t="s">
        <v>948</v>
      </c>
      <c r="C482" s="1">
        <v>46064</v>
      </c>
      <c r="D482" t="s">
        <v>504</v>
      </c>
      <c r="E482" t="s">
        <v>194</v>
      </c>
      <c r="F482" t="s">
        <v>23</v>
      </c>
      <c r="G482" t="s">
        <v>24</v>
      </c>
      <c r="H482" s="2">
        <v>1</v>
      </c>
      <c r="I482" t="s">
        <v>949</v>
      </c>
      <c r="J482" t="s">
        <v>950</v>
      </c>
      <c r="K482">
        <v>14960000000</v>
      </c>
      <c r="L482">
        <v>0</v>
      </c>
      <c r="M482">
        <v>0</v>
      </c>
      <c r="N482">
        <v>1645600000</v>
      </c>
      <c r="O482">
        <v>0</v>
      </c>
      <c r="P482">
        <v>0</v>
      </c>
      <c r="Q482">
        <v>0</v>
      </c>
      <c r="R482">
        <v>16605600000</v>
      </c>
      <c r="S482">
        <v>1925000000</v>
      </c>
      <c r="T482">
        <v>12.867647058824</v>
      </c>
      <c r="U482" t="str">
        <f t="shared" si="7"/>
        <v>Week 2</v>
      </c>
    </row>
    <row r="483" spans="1:21" x14ac:dyDescent="0.25">
      <c r="A483">
        <v>482</v>
      </c>
      <c r="B483" t="s">
        <v>951</v>
      </c>
      <c r="C483" s="1">
        <v>46063</v>
      </c>
      <c r="D483" t="s">
        <v>21</v>
      </c>
      <c r="E483" t="s">
        <v>22</v>
      </c>
      <c r="F483" t="s">
        <v>30</v>
      </c>
      <c r="G483" t="s">
        <v>24</v>
      </c>
      <c r="H483" s="2">
        <v>1</v>
      </c>
      <c r="I483" t="s">
        <v>952</v>
      </c>
      <c r="J483" t="s">
        <v>26</v>
      </c>
      <c r="K483">
        <v>16494100</v>
      </c>
      <c r="L483">
        <v>0</v>
      </c>
      <c r="M483">
        <v>0</v>
      </c>
      <c r="N483">
        <v>1814351</v>
      </c>
      <c r="O483">
        <v>0</v>
      </c>
      <c r="P483">
        <v>0</v>
      </c>
      <c r="Q483">
        <v>0</v>
      </c>
      <c r="R483">
        <v>18308451</v>
      </c>
      <c r="S483">
        <v>7381920</v>
      </c>
      <c r="T483">
        <v>44.754912362601999</v>
      </c>
      <c r="U483" t="str">
        <f t="shared" si="7"/>
        <v>Week 2</v>
      </c>
    </row>
    <row r="484" spans="1:21" x14ac:dyDescent="0.25">
      <c r="A484">
        <v>483</v>
      </c>
      <c r="B484" t="s">
        <v>953</v>
      </c>
      <c r="C484" s="1">
        <v>46063</v>
      </c>
      <c r="D484" t="s">
        <v>537</v>
      </c>
      <c r="E484" t="s">
        <v>22</v>
      </c>
      <c r="F484" t="s">
        <v>23</v>
      </c>
      <c r="G484" t="s">
        <v>24</v>
      </c>
      <c r="H484" s="2">
        <v>1</v>
      </c>
      <c r="I484" t="s">
        <v>954</v>
      </c>
      <c r="J484" t="s">
        <v>26</v>
      </c>
      <c r="K484">
        <v>18586250</v>
      </c>
      <c r="L484">
        <v>0</v>
      </c>
      <c r="M484">
        <v>0</v>
      </c>
      <c r="N484">
        <v>2044487.5</v>
      </c>
      <c r="O484">
        <v>0</v>
      </c>
      <c r="P484">
        <v>0</v>
      </c>
      <c r="Q484">
        <v>0</v>
      </c>
      <c r="R484">
        <v>20630737.5</v>
      </c>
      <c r="S484">
        <v>3716746</v>
      </c>
      <c r="T484">
        <v>19.997288317976999</v>
      </c>
      <c r="U484" t="str">
        <f t="shared" si="7"/>
        <v>Week 2</v>
      </c>
    </row>
    <row r="485" spans="1:21" x14ac:dyDescent="0.25">
      <c r="A485">
        <v>484</v>
      </c>
      <c r="B485" t="s">
        <v>955</v>
      </c>
      <c r="C485" s="1">
        <v>46063</v>
      </c>
      <c r="D485" t="s">
        <v>404</v>
      </c>
      <c r="E485" t="s">
        <v>22</v>
      </c>
      <c r="F485" t="s">
        <v>23</v>
      </c>
      <c r="G485" t="s">
        <v>24</v>
      </c>
      <c r="H485" s="2">
        <v>1</v>
      </c>
      <c r="I485" t="s">
        <v>956</v>
      </c>
      <c r="J485" t="s">
        <v>26</v>
      </c>
      <c r="K485">
        <v>6100000</v>
      </c>
      <c r="L485">
        <v>0</v>
      </c>
      <c r="M485">
        <v>0</v>
      </c>
      <c r="N485">
        <v>671000</v>
      </c>
      <c r="O485">
        <v>0</v>
      </c>
      <c r="P485">
        <v>0</v>
      </c>
      <c r="Q485">
        <v>0</v>
      </c>
      <c r="R485">
        <v>6771000</v>
      </c>
      <c r="S485">
        <v>1270000</v>
      </c>
      <c r="T485">
        <v>20.819672131148</v>
      </c>
      <c r="U485" t="str">
        <f t="shared" si="7"/>
        <v>Week 2</v>
      </c>
    </row>
    <row r="486" spans="1:21" x14ac:dyDescent="0.25">
      <c r="A486">
        <v>485</v>
      </c>
      <c r="B486" t="s">
        <v>957</v>
      </c>
      <c r="C486" s="1">
        <v>46063</v>
      </c>
      <c r="D486" t="s">
        <v>252</v>
      </c>
      <c r="E486" t="s">
        <v>117</v>
      </c>
      <c r="F486" t="s">
        <v>23</v>
      </c>
      <c r="G486" t="s">
        <v>24</v>
      </c>
      <c r="H486" s="2">
        <v>1</v>
      </c>
      <c r="I486" t="s">
        <v>958</v>
      </c>
      <c r="J486" t="s">
        <v>26</v>
      </c>
      <c r="K486">
        <v>413820</v>
      </c>
      <c r="L486">
        <v>0</v>
      </c>
      <c r="M486">
        <v>0</v>
      </c>
      <c r="N486">
        <v>45520.2</v>
      </c>
      <c r="O486">
        <v>0</v>
      </c>
      <c r="P486">
        <v>0</v>
      </c>
      <c r="Q486">
        <v>0</v>
      </c>
      <c r="R486">
        <v>459340.2</v>
      </c>
      <c r="S486">
        <v>92694</v>
      </c>
      <c r="T486">
        <v>22.399594026388002</v>
      </c>
      <c r="U486" t="str">
        <f t="shared" si="7"/>
        <v>Week 2</v>
      </c>
    </row>
    <row r="487" spans="1:21" x14ac:dyDescent="0.25">
      <c r="A487">
        <v>486</v>
      </c>
      <c r="B487" t="s">
        <v>959</v>
      </c>
      <c r="C487" s="1">
        <v>46063</v>
      </c>
      <c r="D487" t="s">
        <v>21</v>
      </c>
      <c r="E487" t="s">
        <v>22</v>
      </c>
      <c r="F487" t="s">
        <v>23</v>
      </c>
      <c r="G487" t="s">
        <v>24</v>
      </c>
      <c r="H487" s="2">
        <v>1</v>
      </c>
      <c r="I487" t="s">
        <v>960</v>
      </c>
      <c r="J487" t="s">
        <v>26</v>
      </c>
      <c r="K487">
        <v>5264000</v>
      </c>
      <c r="L487">
        <v>0</v>
      </c>
      <c r="M487">
        <v>0</v>
      </c>
      <c r="N487">
        <v>579040</v>
      </c>
      <c r="O487">
        <v>0</v>
      </c>
      <c r="P487">
        <v>0</v>
      </c>
      <c r="Q487">
        <v>0</v>
      </c>
      <c r="R487">
        <v>5843040</v>
      </c>
      <c r="S487">
        <v>3749000</v>
      </c>
      <c r="T487">
        <v>71.219604863222003</v>
      </c>
      <c r="U487" t="str">
        <f t="shared" si="7"/>
        <v>Week 2</v>
      </c>
    </row>
    <row r="488" spans="1:21" x14ac:dyDescent="0.25">
      <c r="A488">
        <v>487</v>
      </c>
      <c r="B488" t="s">
        <v>961</v>
      </c>
      <c r="C488" s="1">
        <v>46063</v>
      </c>
      <c r="D488" t="s">
        <v>186</v>
      </c>
      <c r="E488" t="s">
        <v>117</v>
      </c>
      <c r="F488" t="s">
        <v>30</v>
      </c>
      <c r="G488" t="s">
        <v>24</v>
      </c>
      <c r="H488" s="2">
        <v>1</v>
      </c>
      <c r="I488" t="s">
        <v>962</v>
      </c>
      <c r="J488" t="s">
        <v>26</v>
      </c>
      <c r="K488">
        <v>2327903</v>
      </c>
      <c r="L488">
        <v>0</v>
      </c>
      <c r="M488">
        <v>0</v>
      </c>
      <c r="N488">
        <v>256069.33</v>
      </c>
      <c r="O488">
        <v>0</v>
      </c>
      <c r="P488">
        <v>0</v>
      </c>
      <c r="Q488">
        <v>0</v>
      </c>
      <c r="R488">
        <v>2583972.33</v>
      </c>
      <c r="S488">
        <v>176703</v>
      </c>
      <c r="T488">
        <v>7.5906513286850998</v>
      </c>
      <c r="U488" t="str">
        <f t="shared" si="7"/>
        <v>Week 2</v>
      </c>
    </row>
    <row r="489" spans="1:21" x14ac:dyDescent="0.25">
      <c r="A489">
        <v>488</v>
      </c>
      <c r="B489" t="s">
        <v>963</v>
      </c>
      <c r="C489" s="1">
        <v>46063</v>
      </c>
      <c r="D489" t="s">
        <v>21</v>
      </c>
      <c r="E489" t="s">
        <v>22</v>
      </c>
      <c r="F489" t="s">
        <v>23</v>
      </c>
      <c r="G489" t="s">
        <v>24</v>
      </c>
      <c r="H489" s="2">
        <v>1</v>
      </c>
      <c r="I489" t="s">
        <v>964</v>
      </c>
      <c r="J489" t="s">
        <v>26</v>
      </c>
      <c r="K489">
        <v>11116488</v>
      </c>
      <c r="L489">
        <v>0</v>
      </c>
      <c r="M489">
        <v>0</v>
      </c>
      <c r="N489">
        <v>1222813.68</v>
      </c>
      <c r="O489">
        <v>0</v>
      </c>
      <c r="P489">
        <v>0</v>
      </c>
      <c r="Q489">
        <v>0</v>
      </c>
      <c r="R489">
        <v>12339301.68</v>
      </c>
      <c r="S489">
        <v>3766488</v>
      </c>
      <c r="T489">
        <v>33.881995824580997</v>
      </c>
      <c r="U489" t="str">
        <f t="shared" si="7"/>
        <v>Week 2</v>
      </c>
    </row>
    <row r="490" spans="1:21" x14ac:dyDescent="0.25">
      <c r="A490">
        <v>489</v>
      </c>
      <c r="B490" t="s">
        <v>965</v>
      </c>
      <c r="C490" s="1">
        <v>46063</v>
      </c>
      <c r="D490" t="s">
        <v>312</v>
      </c>
      <c r="E490" t="s">
        <v>100</v>
      </c>
      <c r="F490" t="s">
        <v>23</v>
      </c>
      <c r="G490" t="s">
        <v>24</v>
      </c>
      <c r="H490" s="2">
        <v>1</v>
      </c>
      <c r="I490" t="s">
        <v>966</v>
      </c>
      <c r="K490">
        <v>237313800</v>
      </c>
      <c r="L490">
        <v>0</v>
      </c>
      <c r="M490">
        <v>0</v>
      </c>
      <c r="N490">
        <v>26104518</v>
      </c>
      <c r="O490">
        <v>0</v>
      </c>
      <c r="P490">
        <v>0</v>
      </c>
      <c r="Q490">
        <v>0</v>
      </c>
      <c r="R490">
        <v>263418318</v>
      </c>
      <c r="S490">
        <v>128476296.40000001</v>
      </c>
      <c r="T490">
        <v>54.137726672447997</v>
      </c>
      <c r="U490" t="str">
        <f t="shared" si="7"/>
        <v>Week 2</v>
      </c>
    </row>
    <row r="491" spans="1:21" x14ac:dyDescent="0.25">
      <c r="A491">
        <v>490</v>
      </c>
      <c r="B491" t="s">
        <v>967</v>
      </c>
      <c r="C491" s="1">
        <v>46063</v>
      </c>
      <c r="D491" t="s">
        <v>520</v>
      </c>
      <c r="E491" t="s">
        <v>38</v>
      </c>
      <c r="F491" t="s">
        <v>23</v>
      </c>
      <c r="G491" t="s">
        <v>24</v>
      </c>
      <c r="H491" s="2">
        <v>1</v>
      </c>
      <c r="I491" t="s">
        <v>822</v>
      </c>
      <c r="K491">
        <v>3870000</v>
      </c>
      <c r="L491">
        <v>0</v>
      </c>
      <c r="M491">
        <v>0</v>
      </c>
      <c r="N491">
        <v>425700</v>
      </c>
      <c r="O491">
        <v>0</v>
      </c>
      <c r="P491">
        <v>0</v>
      </c>
      <c r="Q491">
        <v>0</v>
      </c>
      <c r="R491">
        <v>4295700</v>
      </c>
      <c r="S491">
        <v>1100000</v>
      </c>
      <c r="T491">
        <v>28.423772609819</v>
      </c>
      <c r="U491" t="str">
        <f t="shared" si="7"/>
        <v>Week 2</v>
      </c>
    </row>
    <row r="492" spans="1:21" x14ac:dyDescent="0.25">
      <c r="A492">
        <v>491</v>
      </c>
      <c r="B492" t="s">
        <v>968</v>
      </c>
      <c r="C492" s="1">
        <v>46063</v>
      </c>
      <c r="D492" t="s">
        <v>33</v>
      </c>
      <c r="E492" t="s">
        <v>34</v>
      </c>
      <c r="F492" t="s">
        <v>30</v>
      </c>
      <c r="G492" t="s">
        <v>24</v>
      </c>
      <c r="H492" s="2">
        <v>1</v>
      </c>
      <c r="I492" t="s">
        <v>969</v>
      </c>
      <c r="K492">
        <v>10976000</v>
      </c>
      <c r="L492">
        <v>0</v>
      </c>
      <c r="M492">
        <v>0</v>
      </c>
      <c r="N492">
        <v>1207360</v>
      </c>
      <c r="O492">
        <v>0</v>
      </c>
      <c r="P492">
        <v>0</v>
      </c>
      <c r="Q492">
        <v>0</v>
      </c>
      <c r="R492">
        <v>12183360</v>
      </c>
      <c r="S492">
        <v>2176000</v>
      </c>
      <c r="T492">
        <v>19.825072886297001</v>
      </c>
      <c r="U492" t="str">
        <f t="shared" si="7"/>
        <v>Week 2</v>
      </c>
    </row>
    <row r="493" spans="1:21" x14ac:dyDescent="0.25">
      <c r="C493" s="1"/>
      <c r="H493" s="2"/>
    </row>
    <row r="494" spans="1:21" x14ac:dyDescent="0.25">
      <c r="A494">
        <v>493</v>
      </c>
      <c r="B494" t="s">
        <v>970</v>
      </c>
      <c r="C494" s="1">
        <v>46063</v>
      </c>
      <c r="D494" t="s">
        <v>54</v>
      </c>
      <c r="E494" t="s">
        <v>55</v>
      </c>
      <c r="F494" t="s">
        <v>30</v>
      </c>
      <c r="G494" t="s">
        <v>24</v>
      </c>
      <c r="H494" s="2">
        <v>1</v>
      </c>
      <c r="I494" t="s">
        <v>971</v>
      </c>
      <c r="K494">
        <v>17609400</v>
      </c>
      <c r="L494">
        <v>0</v>
      </c>
      <c r="M494">
        <v>0</v>
      </c>
      <c r="N494">
        <v>1937034</v>
      </c>
      <c r="O494">
        <v>0</v>
      </c>
      <c r="P494">
        <v>0</v>
      </c>
      <c r="Q494">
        <v>0</v>
      </c>
      <c r="R494">
        <v>19546434</v>
      </c>
      <c r="S494">
        <v>3670400</v>
      </c>
      <c r="T494">
        <v>20.843413177053002</v>
      </c>
      <c r="U494" t="str">
        <f t="shared" si="7"/>
        <v>Week 2</v>
      </c>
    </row>
    <row r="495" spans="1:21" x14ac:dyDescent="0.25">
      <c r="A495">
        <v>494</v>
      </c>
      <c r="B495" t="s">
        <v>972</v>
      </c>
      <c r="C495" s="1">
        <v>46063</v>
      </c>
      <c r="D495" t="s">
        <v>54</v>
      </c>
      <c r="E495" t="s">
        <v>55</v>
      </c>
      <c r="F495" t="s">
        <v>30</v>
      </c>
      <c r="G495" t="s">
        <v>24</v>
      </c>
      <c r="H495" s="2">
        <v>1</v>
      </c>
      <c r="I495" t="s">
        <v>973</v>
      </c>
      <c r="K495">
        <v>42177778</v>
      </c>
      <c r="L495">
        <v>0</v>
      </c>
      <c r="M495">
        <v>0</v>
      </c>
      <c r="N495">
        <v>4639555.58</v>
      </c>
      <c r="O495">
        <v>0</v>
      </c>
      <c r="P495">
        <v>0</v>
      </c>
      <c r="Q495">
        <v>0</v>
      </c>
      <c r="R495">
        <v>46817333.579999998</v>
      </c>
      <c r="S495">
        <v>5969778</v>
      </c>
      <c r="T495">
        <v>14.153846606144</v>
      </c>
      <c r="U495" t="str">
        <f t="shared" si="7"/>
        <v>Week 2</v>
      </c>
    </row>
    <row r="496" spans="1:21" x14ac:dyDescent="0.25">
      <c r="A496">
        <v>495</v>
      </c>
      <c r="B496" t="s">
        <v>974</v>
      </c>
      <c r="C496" s="1">
        <v>46063</v>
      </c>
      <c r="D496" t="s">
        <v>404</v>
      </c>
      <c r="E496" t="s">
        <v>22</v>
      </c>
      <c r="F496" t="s">
        <v>30</v>
      </c>
      <c r="G496" t="s">
        <v>24</v>
      </c>
      <c r="H496" s="2">
        <v>1</v>
      </c>
      <c r="I496" t="s">
        <v>975</v>
      </c>
      <c r="J496" t="s">
        <v>26</v>
      </c>
      <c r="K496">
        <v>17656937.5</v>
      </c>
      <c r="L496">
        <v>0</v>
      </c>
      <c r="M496">
        <v>0</v>
      </c>
      <c r="N496">
        <v>1942263.125</v>
      </c>
      <c r="O496">
        <v>0</v>
      </c>
      <c r="P496">
        <v>0</v>
      </c>
      <c r="Q496">
        <v>0</v>
      </c>
      <c r="R496">
        <v>19599200.625</v>
      </c>
      <c r="S496">
        <v>2787433.5</v>
      </c>
      <c r="T496">
        <v>15.786619282081</v>
      </c>
      <c r="U496" t="str">
        <f t="shared" si="7"/>
        <v>Week 2</v>
      </c>
    </row>
    <row r="497" spans="1:21" x14ac:dyDescent="0.25">
      <c r="A497">
        <v>496</v>
      </c>
      <c r="B497" t="s">
        <v>976</v>
      </c>
      <c r="C497" s="1">
        <v>46062</v>
      </c>
      <c r="D497" t="s">
        <v>28</v>
      </c>
      <c r="E497" t="s">
        <v>205</v>
      </c>
      <c r="F497" t="s">
        <v>23</v>
      </c>
      <c r="G497" t="s">
        <v>24</v>
      </c>
      <c r="H497" s="2">
        <v>1</v>
      </c>
      <c r="I497" t="s">
        <v>861</v>
      </c>
      <c r="J497" t="s">
        <v>26</v>
      </c>
      <c r="K497">
        <v>9843750</v>
      </c>
      <c r="L497">
        <v>0</v>
      </c>
      <c r="M497">
        <v>0</v>
      </c>
      <c r="N497">
        <v>1082812.5</v>
      </c>
      <c r="O497">
        <v>0</v>
      </c>
      <c r="P497">
        <v>0</v>
      </c>
      <c r="Q497">
        <v>0</v>
      </c>
      <c r="R497">
        <v>10926562.5</v>
      </c>
      <c r="S497">
        <v>1968750</v>
      </c>
      <c r="T497">
        <v>20</v>
      </c>
      <c r="U497" t="str">
        <f t="shared" si="7"/>
        <v>Week 2</v>
      </c>
    </row>
    <row r="498" spans="1:21" x14ac:dyDescent="0.25">
      <c r="A498">
        <v>497</v>
      </c>
      <c r="B498" t="s">
        <v>977</v>
      </c>
      <c r="C498" s="1">
        <v>46062</v>
      </c>
      <c r="D498" t="s">
        <v>33</v>
      </c>
      <c r="E498" t="s">
        <v>34</v>
      </c>
      <c r="F498" t="s">
        <v>30</v>
      </c>
      <c r="G498" t="s">
        <v>24</v>
      </c>
      <c r="H498" s="2">
        <v>1</v>
      </c>
      <c r="I498" t="s">
        <v>978</v>
      </c>
      <c r="K498">
        <v>1617000</v>
      </c>
      <c r="L498">
        <v>0</v>
      </c>
      <c r="M498">
        <v>0</v>
      </c>
      <c r="N498">
        <v>177870</v>
      </c>
      <c r="O498">
        <v>0</v>
      </c>
      <c r="P498">
        <v>0</v>
      </c>
      <c r="Q498">
        <v>0</v>
      </c>
      <c r="R498">
        <v>1794870</v>
      </c>
      <c r="S498">
        <v>1617000</v>
      </c>
      <c r="T498">
        <v>100</v>
      </c>
      <c r="U498" t="str">
        <f t="shared" si="7"/>
        <v>Week 2</v>
      </c>
    </row>
    <row r="499" spans="1:21" x14ac:dyDescent="0.25">
      <c r="A499">
        <v>498</v>
      </c>
      <c r="B499" t="s">
        <v>979</v>
      </c>
      <c r="C499" s="1">
        <v>46062</v>
      </c>
      <c r="D499" t="s">
        <v>255</v>
      </c>
      <c r="E499" t="s">
        <v>205</v>
      </c>
      <c r="F499" t="s">
        <v>30</v>
      </c>
      <c r="G499" t="s">
        <v>24</v>
      </c>
      <c r="H499" s="2">
        <v>1</v>
      </c>
      <c r="I499" t="s">
        <v>980</v>
      </c>
      <c r="K499">
        <v>1076923</v>
      </c>
      <c r="L499">
        <v>0</v>
      </c>
      <c r="M499">
        <v>0</v>
      </c>
      <c r="N499">
        <v>118461.53</v>
      </c>
      <c r="O499">
        <v>0</v>
      </c>
      <c r="P499">
        <v>0</v>
      </c>
      <c r="Q499">
        <v>0</v>
      </c>
      <c r="R499">
        <v>1195384.53</v>
      </c>
      <c r="S499">
        <v>648995.07207206998</v>
      </c>
      <c r="T499">
        <v>60.263832425536997</v>
      </c>
      <c r="U499" t="str">
        <f t="shared" si="7"/>
        <v>Week 2</v>
      </c>
    </row>
    <row r="500" spans="1:21" x14ac:dyDescent="0.25">
      <c r="A500">
        <v>499</v>
      </c>
      <c r="B500" t="s">
        <v>981</v>
      </c>
      <c r="C500" s="1">
        <v>46062</v>
      </c>
      <c r="D500" t="s">
        <v>186</v>
      </c>
      <c r="E500" t="s">
        <v>117</v>
      </c>
      <c r="F500" t="s">
        <v>30</v>
      </c>
      <c r="G500" t="s">
        <v>24</v>
      </c>
      <c r="H500" s="2">
        <v>1</v>
      </c>
      <c r="I500" t="s">
        <v>982</v>
      </c>
      <c r="J500" t="s">
        <v>26</v>
      </c>
      <c r="K500">
        <v>2067725</v>
      </c>
      <c r="L500">
        <v>0</v>
      </c>
      <c r="M500">
        <v>0</v>
      </c>
      <c r="N500">
        <v>227449.75</v>
      </c>
      <c r="O500">
        <v>0</v>
      </c>
      <c r="P500">
        <v>0</v>
      </c>
      <c r="Q500">
        <v>0</v>
      </c>
      <c r="R500">
        <v>2295174.75</v>
      </c>
      <c r="S500">
        <v>294981.30630629999</v>
      </c>
      <c r="T500">
        <v>14.265983450715</v>
      </c>
      <c r="U500" t="str">
        <f t="shared" si="7"/>
        <v>Week 2</v>
      </c>
    </row>
    <row r="501" spans="1:21" x14ac:dyDescent="0.25">
      <c r="A501">
        <v>500</v>
      </c>
      <c r="B501" t="s">
        <v>983</v>
      </c>
      <c r="C501" s="1">
        <v>46062</v>
      </c>
      <c r="D501" t="s">
        <v>21</v>
      </c>
      <c r="E501" t="s">
        <v>22</v>
      </c>
      <c r="F501" t="s">
        <v>30</v>
      </c>
      <c r="G501" t="s">
        <v>24</v>
      </c>
      <c r="H501" s="2">
        <v>1</v>
      </c>
      <c r="I501" t="s">
        <v>984</v>
      </c>
      <c r="J501" t="s">
        <v>26</v>
      </c>
      <c r="K501">
        <v>158469000</v>
      </c>
      <c r="L501">
        <v>0</v>
      </c>
      <c r="M501">
        <v>0</v>
      </c>
      <c r="N501">
        <v>17431590</v>
      </c>
      <c r="O501">
        <v>0</v>
      </c>
      <c r="P501">
        <v>0</v>
      </c>
      <c r="Q501">
        <v>0</v>
      </c>
      <c r="R501">
        <v>175900590</v>
      </c>
      <c r="S501">
        <v>4741790</v>
      </c>
      <c r="T501">
        <v>2.992250850324</v>
      </c>
      <c r="U501" t="str">
        <f t="shared" si="7"/>
        <v>Week 2</v>
      </c>
    </row>
    <row r="502" spans="1:21" x14ac:dyDescent="0.25">
      <c r="A502">
        <v>501</v>
      </c>
      <c r="B502" t="s">
        <v>985</v>
      </c>
      <c r="C502" s="1">
        <v>46062</v>
      </c>
      <c r="D502" t="s">
        <v>186</v>
      </c>
      <c r="E502" t="s">
        <v>117</v>
      </c>
      <c r="F502" t="s">
        <v>30</v>
      </c>
      <c r="G502" t="s">
        <v>24</v>
      </c>
      <c r="H502" s="2">
        <v>1</v>
      </c>
      <c r="I502" t="s">
        <v>986</v>
      </c>
      <c r="K502">
        <v>3708698</v>
      </c>
      <c r="L502">
        <v>0</v>
      </c>
      <c r="M502">
        <v>0</v>
      </c>
      <c r="N502">
        <v>407956.78</v>
      </c>
      <c r="O502">
        <v>0</v>
      </c>
      <c r="P502">
        <v>0</v>
      </c>
      <c r="Q502">
        <v>0</v>
      </c>
      <c r="R502">
        <v>4116654.78</v>
      </c>
      <c r="S502">
        <v>281098</v>
      </c>
      <c r="T502">
        <v>7.5794254479604</v>
      </c>
      <c r="U502" t="str">
        <f t="shared" si="7"/>
        <v>Week 2</v>
      </c>
    </row>
    <row r="503" spans="1:21" x14ac:dyDescent="0.25">
      <c r="A503">
        <v>502</v>
      </c>
      <c r="B503" t="s">
        <v>987</v>
      </c>
      <c r="C503" s="1">
        <v>46060</v>
      </c>
      <c r="D503" t="s">
        <v>99</v>
      </c>
      <c r="E503" t="s">
        <v>100</v>
      </c>
      <c r="F503" t="s">
        <v>23</v>
      </c>
      <c r="G503" t="s">
        <v>24</v>
      </c>
      <c r="H503" s="2">
        <v>1</v>
      </c>
      <c r="I503" t="s">
        <v>946</v>
      </c>
      <c r="K503">
        <v>43805000</v>
      </c>
      <c r="L503">
        <v>0</v>
      </c>
      <c r="M503">
        <v>0</v>
      </c>
      <c r="N503">
        <v>4818550</v>
      </c>
      <c r="O503">
        <v>0</v>
      </c>
      <c r="P503">
        <v>0</v>
      </c>
      <c r="Q503">
        <v>0</v>
      </c>
      <c r="R503">
        <v>48623550</v>
      </c>
      <c r="S503">
        <v>18514729.729729999</v>
      </c>
      <c r="T503">
        <v>42.266247528203998</v>
      </c>
      <c r="U503" t="str">
        <f t="shared" si="7"/>
        <v>Week 1</v>
      </c>
    </row>
    <row r="504" spans="1:21" x14ac:dyDescent="0.25">
      <c r="A504">
        <v>503</v>
      </c>
      <c r="B504" t="s">
        <v>988</v>
      </c>
      <c r="C504" s="1">
        <v>46060</v>
      </c>
      <c r="D504" t="s">
        <v>186</v>
      </c>
      <c r="E504" t="s">
        <v>117</v>
      </c>
      <c r="F504" t="s">
        <v>23</v>
      </c>
      <c r="G504" t="s">
        <v>24</v>
      </c>
      <c r="H504" s="2">
        <v>1</v>
      </c>
      <c r="I504" t="s">
        <v>989</v>
      </c>
      <c r="J504" t="s">
        <v>26</v>
      </c>
      <c r="K504">
        <v>5882450</v>
      </c>
      <c r="L504">
        <v>0</v>
      </c>
      <c r="M504">
        <v>0</v>
      </c>
      <c r="N504">
        <v>647069.5</v>
      </c>
      <c r="O504">
        <v>0</v>
      </c>
      <c r="P504">
        <v>0</v>
      </c>
      <c r="Q504">
        <v>0</v>
      </c>
      <c r="R504">
        <v>6529519.5</v>
      </c>
      <c r="S504">
        <v>1400450</v>
      </c>
      <c r="T504">
        <v>23.807257180257</v>
      </c>
      <c r="U504" t="str">
        <f t="shared" si="7"/>
        <v>Week 1</v>
      </c>
    </row>
    <row r="505" spans="1:21" x14ac:dyDescent="0.25">
      <c r="A505">
        <v>504</v>
      </c>
      <c r="B505" t="s">
        <v>990</v>
      </c>
      <c r="C505" s="1">
        <v>46060</v>
      </c>
      <c r="D505" t="s">
        <v>99</v>
      </c>
      <c r="E505" t="s">
        <v>100</v>
      </c>
      <c r="F505" t="s">
        <v>23</v>
      </c>
      <c r="G505" t="s">
        <v>24</v>
      </c>
      <c r="H505" s="2">
        <v>1</v>
      </c>
      <c r="I505" t="s">
        <v>991</v>
      </c>
      <c r="K505">
        <v>18765000</v>
      </c>
      <c r="L505">
        <v>0</v>
      </c>
      <c r="M505">
        <v>0</v>
      </c>
      <c r="N505">
        <v>2064150</v>
      </c>
      <c r="O505">
        <v>0</v>
      </c>
      <c r="P505">
        <v>0</v>
      </c>
      <c r="Q505">
        <v>0</v>
      </c>
      <c r="R505">
        <v>20829150</v>
      </c>
      <c r="S505">
        <v>4829838.74</v>
      </c>
      <c r="T505">
        <v>25.738549107381001</v>
      </c>
      <c r="U505" t="str">
        <f t="shared" si="7"/>
        <v>Week 1</v>
      </c>
    </row>
    <row r="506" spans="1:21" x14ac:dyDescent="0.25">
      <c r="A506">
        <v>505</v>
      </c>
      <c r="B506" t="s">
        <v>992</v>
      </c>
      <c r="C506" s="1">
        <v>46060</v>
      </c>
      <c r="D506" t="s">
        <v>28</v>
      </c>
      <c r="E506" t="s">
        <v>205</v>
      </c>
      <c r="F506" t="s">
        <v>23</v>
      </c>
      <c r="G506" t="s">
        <v>24</v>
      </c>
      <c r="H506" s="2">
        <v>1</v>
      </c>
      <c r="I506" t="s">
        <v>993</v>
      </c>
      <c r="J506" t="s">
        <v>26</v>
      </c>
      <c r="K506">
        <v>36375250</v>
      </c>
      <c r="L506">
        <v>0</v>
      </c>
      <c r="M506">
        <v>0</v>
      </c>
      <c r="N506">
        <v>4001277.5</v>
      </c>
      <c r="O506">
        <v>0</v>
      </c>
      <c r="P506">
        <v>0</v>
      </c>
      <c r="Q506">
        <v>0</v>
      </c>
      <c r="R506">
        <v>40376527.5</v>
      </c>
      <c r="S506">
        <v>6585250</v>
      </c>
      <c r="T506">
        <v>18.103655644978002</v>
      </c>
      <c r="U506" t="str">
        <f t="shared" si="7"/>
        <v>Week 1</v>
      </c>
    </row>
    <row r="507" spans="1:21" x14ac:dyDescent="0.25">
      <c r="A507">
        <v>506</v>
      </c>
      <c r="B507" t="s">
        <v>994</v>
      </c>
      <c r="C507" s="1">
        <v>46060</v>
      </c>
      <c r="D507" t="s">
        <v>28</v>
      </c>
      <c r="E507" t="s">
        <v>205</v>
      </c>
      <c r="F507" t="s">
        <v>23</v>
      </c>
      <c r="G507" t="s">
        <v>24</v>
      </c>
      <c r="H507" s="2">
        <v>1</v>
      </c>
      <c r="I507" t="s">
        <v>995</v>
      </c>
      <c r="J507" t="s">
        <v>26</v>
      </c>
      <c r="K507">
        <v>14625000</v>
      </c>
      <c r="L507">
        <v>0</v>
      </c>
      <c r="M507">
        <v>0</v>
      </c>
      <c r="N507">
        <v>1608750</v>
      </c>
      <c r="O507">
        <v>0</v>
      </c>
      <c r="P507">
        <v>0</v>
      </c>
      <c r="Q507">
        <v>0</v>
      </c>
      <c r="R507">
        <v>16233750</v>
      </c>
      <c r="S507">
        <v>2925000</v>
      </c>
      <c r="T507">
        <v>20</v>
      </c>
      <c r="U507" t="str">
        <f t="shared" si="7"/>
        <v>Week 1</v>
      </c>
    </row>
    <row r="508" spans="1:21" x14ac:dyDescent="0.25">
      <c r="A508">
        <v>507</v>
      </c>
      <c r="B508" t="s">
        <v>996</v>
      </c>
      <c r="C508" s="1">
        <v>46060</v>
      </c>
      <c r="D508" t="s">
        <v>28</v>
      </c>
      <c r="E508" t="s">
        <v>205</v>
      </c>
      <c r="F508" t="s">
        <v>23</v>
      </c>
      <c r="G508" t="s">
        <v>24</v>
      </c>
      <c r="H508" s="2">
        <v>1</v>
      </c>
      <c r="I508" t="s">
        <v>997</v>
      </c>
      <c r="J508" t="s">
        <v>26</v>
      </c>
      <c r="K508">
        <v>20796000</v>
      </c>
      <c r="L508">
        <v>0</v>
      </c>
      <c r="M508">
        <v>0</v>
      </c>
      <c r="N508">
        <v>2287560</v>
      </c>
      <c r="O508">
        <v>0</v>
      </c>
      <c r="P508">
        <v>0</v>
      </c>
      <c r="Q508">
        <v>0</v>
      </c>
      <c r="R508">
        <v>23083560</v>
      </c>
      <c r="S508">
        <v>3221000</v>
      </c>
      <c r="T508">
        <v>15.488555491441</v>
      </c>
      <c r="U508" t="str">
        <f t="shared" si="7"/>
        <v>Week 1</v>
      </c>
    </row>
    <row r="509" spans="1:21" x14ac:dyDescent="0.25">
      <c r="A509">
        <v>508</v>
      </c>
      <c r="B509" t="s">
        <v>998</v>
      </c>
      <c r="C509" s="1">
        <v>46060</v>
      </c>
      <c r="D509" t="s">
        <v>99</v>
      </c>
      <c r="E509" t="s">
        <v>100</v>
      </c>
      <c r="F509" t="s">
        <v>23</v>
      </c>
      <c r="G509" t="s">
        <v>24</v>
      </c>
      <c r="H509" s="2">
        <v>1</v>
      </c>
      <c r="I509" t="s">
        <v>999</v>
      </c>
      <c r="K509">
        <v>12130000</v>
      </c>
      <c r="L509">
        <v>0</v>
      </c>
      <c r="M509">
        <v>0</v>
      </c>
      <c r="N509">
        <v>1334300</v>
      </c>
      <c r="O509">
        <v>0</v>
      </c>
      <c r="P509">
        <v>0</v>
      </c>
      <c r="Q509">
        <v>0</v>
      </c>
      <c r="R509">
        <v>13464300</v>
      </c>
      <c r="S509">
        <v>3426756.7567568002</v>
      </c>
      <c r="T509">
        <v>28.250261803436</v>
      </c>
      <c r="U509" t="str">
        <f t="shared" si="7"/>
        <v>Week 1</v>
      </c>
    </row>
    <row r="510" spans="1:21" x14ac:dyDescent="0.25">
      <c r="A510">
        <v>509</v>
      </c>
      <c r="B510" t="s">
        <v>1000</v>
      </c>
      <c r="C510" s="1">
        <v>46060</v>
      </c>
      <c r="D510" t="s">
        <v>33</v>
      </c>
      <c r="E510" t="s">
        <v>38</v>
      </c>
      <c r="F510" t="s">
        <v>30</v>
      </c>
      <c r="G510" t="s">
        <v>24</v>
      </c>
      <c r="H510" s="2">
        <v>1</v>
      </c>
      <c r="I510" t="s">
        <v>1001</v>
      </c>
      <c r="K510">
        <v>7142975</v>
      </c>
      <c r="L510">
        <v>0</v>
      </c>
      <c r="M510">
        <v>0</v>
      </c>
      <c r="N510">
        <v>785727.25</v>
      </c>
      <c r="O510">
        <v>0</v>
      </c>
      <c r="P510">
        <v>0</v>
      </c>
      <c r="Q510">
        <v>0</v>
      </c>
      <c r="R510">
        <v>7928702.25</v>
      </c>
      <c r="S510">
        <v>1367975</v>
      </c>
      <c r="T510">
        <v>19.151334002989</v>
      </c>
      <c r="U510" t="str">
        <f t="shared" si="7"/>
        <v>Week 1</v>
      </c>
    </row>
    <row r="511" spans="1:21" x14ac:dyDescent="0.25">
      <c r="A511">
        <v>510</v>
      </c>
      <c r="B511" t="s">
        <v>1002</v>
      </c>
      <c r="C511" s="1">
        <v>46060</v>
      </c>
      <c r="D511" t="s">
        <v>21</v>
      </c>
      <c r="E511" t="s">
        <v>22</v>
      </c>
      <c r="F511" t="s">
        <v>30</v>
      </c>
      <c r="G511" t="s">
        <v>24</v>
      </c>
      <c r="H511" s="2">
        <v>1</v>
      </c>
      <c r="I511" t="s">
        <v>1003</v>
      </c>
      <c r="J511" t="s">
        <v>26</v>
      </c>
      <c r="K511">
        <v>4700000</v>
      </c>
      <c r="L511">
        <v>0</v>
      </c>
      <c r="M511">
        <v>0</v>
      </c>
      <c r="N511">
        <v>517000</v>
      </c>
      <c r="O511">
        <v>0</v>
      </c>
      <c r="P511">
        <v>0</v>
      </c>
      <c r="Q511">
        <v>0</v>
      </c>
      <c r="R511">
        <v>5217000</v>
      </c>
      <c r="S511">
        <v>700000</v>
      </c>
      <c r="T511">
        <v>14.893617021277</v>
      </c>
      <c r="U511" t="str">
        <f t="shared" si="7"/>
        <v>Week 1</v>
      </c>
    </row>
    <row r="512" spans="1:21" x14ac:dyDescent="0.25">
      <c r="A512">
        <v>511</v>
      </c>
      <c r="B512" t="s">
        <v>1004</v>
      </c>
      <c r="C512" s="1">
        <v>46060</v>
      </c>
      <c r="D512" t="s">
        <v>33</v>
      </c>
      <c r="E512" t="s">
        <v>38</v>
      </c>
      <c r="F512" t="s">
        <v>23</v>
      </c>
      <c r="G512" t="s">
        <v>24</v>
      </c>
      <c r="H512" s="2">
        <v>1</v>
      </c>
      <c r="I512" t="s">
        <v>1005</v>
      </c>
      <c r="K512">
        <v>2952000</v>
      </c>
      <c r="L512">
        <v>0</v>
      </c>
      <c r="M512">
        <v>0</v>
      </c>
      <c r="N512">
        <v>324720</v>
      </c>
      <c r="O512">
        <v>0</v>
      </c>
      <c r="P512">
        <v>0</v>
      </c>
      <c r="Q512">
        <v>0</v>
      </c>
      <c r="R512">
        <v>3276720</v>
      </c>
      <c r="S512">
        <v>1210000</v>
      </c>
      <c r="T512">
        <v>40.989159891599002</v>
      </c>
      <c r="U512" t="str">
        <f t="shared" si="7"/>
        <v>Week 1</v>
      </c>
    </row>
    <row r="513" spans="1:21" x14ac:dyDescent="0.25">
      <c r="A513">
        <v>512</v>
      </c>
      <c r="B513" t="s">
        <v>1006</v>
      </c>
      <c r="C513" s="1">
        <v>46060</v>
      </c>
      <c r="D513" t="s">
        <v>252</v>
      </c>
      <c r="E513" t="s">
        <v>117</v>
      </c>
      <c r="F513" t="s">
        <v>23</v>
      </c>
      <c r="G513" t="s">
        <v>24</v>
      </c>
      <c r="H513" s="2">
        <v>1</v>
      </c>
      <c r="I513" t="s">
        <v>1007</v>
      </c>
      <c r="J513" t="s">
        <v>26</v>
      </c>
      <c r="K513">
        <v>7210000</v>
      </c>
      <c r="L513">
        <v>0</v>
      </c>
      <c r="M513">
        <v>0</v>
      </c>
      <c r="N513">
        <v>793100</v>
      </c>
      <c r="O513">
        <v>0</v>
      </c>
      <c r="P513">
        <v>0</v>
      </c>
      <c r="Q513">
        <v>0</v>
      </c>
      <c r="R513">
        <v>8003100</v>
      </c>
      <c r="S513">
        <v>3493000</v>
      </c>
      <c r="T513">
        <v>48.446601941748</v>
      </c>
      <c r="U513" t="str">
        <f t="shared" si="7"/>
        <v>Week 1</v>
      </c>
    </row>
    <row r="514" spans="1:21" x14ac:dyDescent="0.25">
      <c r="A514">
        <v>513</v>
      </c>
      <c r="B514" t="s">
        <v>1008</v>
      </c>
      <c r="C514" s="1">
        <v>46059</v>
      </c>
      <c r="D514" t="s">
        <v>252</v>
      </c>
      <c r="E514" t="s">
        <v>117</v>
      </c>
      <c r="F514" t="s">
        <v>23</v>
      </c>
      <c r="G514" t="s">
        <v>24</v>
      </c>
      <c r="H514" s="2">
        <v>1</v>
      </c>
      <c r="I514" t="s">
        <v>1009</v>
      </c>
      <c r="J514" t="s">
        <v>26</v>
      </c>
      <c r="K514">
        <v>10365300</v>
      </c>
      <c r="L514">
        <v>0</v>
      </c>
      <c r="M514">
        <v>0</v>
      </c>
      <c r="N514">
        <v>1140183</v>
      </c>
      <c r="O514">
        <v>0</v>
      </c>
      <c r="P514">
        <v>0</v>
      </c>
      <c r="Q514">
        <v>0</v>
      </c>
      <c r="R514">
        <v>11505483</v>
      </c>
      <c r="S514">
        <v>4271245.8899999997</v>
      </c>
      <c r="T514">
        <v>41.207161297791998</v>
      </c>
      <c r="U514" t="str">
        <f t="shared" si="7"/>
        <v>Week 1</v>
      </c>
    </row>
    <row r="515" spans="1:21" x14ac:dyDescent="0.25">
      <c r="A515">
        <v>514</v>
      </c>
      <c r="B515" t="s">
        <v>1010</v>
      </c>
      <c r="C515" s="1">
        <v>46059</v>
      </c>
      <c r="D515" t="s">
        <v>440</v>
      </c>
      <c r="E515" t="s">
        <v>117</v>
      </c>
      <c r="F515" t="s">
        <v>23</v>
      </c>
      <c r="G515" t="s">
        <v>24</v>
      </c>
      <c r="H515" s="2">
        <v>1</v>
      </c>
      <c r="I515" t="s">
        <v>1011</v>
      </c>
      <c r="J515" t="s">
        <v>26</v>
      </c>
      <c r="K515">
        <v>38300000</v>
      </c>
      <c r="L515">
        <v>0</v>
      </c>
      <c r="M515">
        <v>0</v>
      </c>
      <c r="N515">
        <v>4213000</v>
      </c>
      <c r="O515">
        <v>0</v>
      </c>
      <c r="P515">
        <v>0</v>
      </c>
      <c r="Q515">
        <v>0</v>
      </c>
      <c r="R515">
        <v>42513000</v>
      </c>
      <c r="S515">
        <v>7000000</v>
      </c>
      <c r="T515">
        <v>18.276762402088998</v>
      </c>
      <c r="U515" t="str">
        <f t="shared" ref="U515:U578" si="8">"Week " &amp;IF(DAY(C515)&gt;=24,4,INT((DAY(C515)-1)/7)+1)</f>
        <v>Week 1</v>
      </c>
    </row>
    <row r="516" spans="1:21" x14ac:dyDescent="0.25">
      <c r="A516">
        <v>515</v>
      </c>
      <c r="B516" t="s">
        <v>1012</v>
      </c>
      <c r="C516" s="1">
        <v>46059</v>
      </c>
      <c r="D516" t="s">
        <v>54</v>
      </c>
      <c r="E516" t="s">
        <v>55</v>
      </c>
      <c r="F516" t="s">
        <v>23</v>
      </c>
      <c r="G516" t="s">
        <v>24</v>
      </c>
      <c r="H516" s="2">
        <v>1</v>
      </c>
      <c r="I516" t="s">
        <v>1013</v>
      </c>
      <c r="K516">
        <v>2848750</v>
      </c>
      <c r="L516">
        <v>0</v>
      </c>
      <c r="M516">
        <v>0</v>
      </c>
      <c r="N516">
        <v>313362.5</v>
      </c>
      <c r="O516">
        <v>0</v>
      </c>
      <c r="P516">
        <v>0</v>
      </c>
      <c r="Q516">
        <v>0</v>
      </c>
      <c r="R516">
        <v>3162112.5</v>
      </c>
      <c r="S516">
        <v>1194407.6576576999</v>
      </c>
      <c r="T516">
        <v>41.927429843184001</v>
      </c>
      <c r="U516" t="str">
        <f t="shared" si="8"/>
        <v>Week 1</v>
      </c>
    </row>
    <row r="517" spans="1:21" x14ac:dyDescent="0.25">
      <c r="A517">
        <v>516</v>
      </c>
      <c r="B517" t="s">
        <v>1014</v>
      </c>
      <c r="C517" s="1">
        <v>46059</v>
      </c>
      <c r="D517" t="s">
        <v>28</v>
      </c>
      <c r="E517" t="s">
        <v>29</v>
      </c>
      <c r="F517" t="s">
        <v>23</v>
      </c>
      <c r="G517" t="s">
        <v>24</v>
      </c>
      <c r="H517" s="2">
        <v>1</v>
      </c>
      <c r="I517" t="s">
        <v>200</v>
      </c>
      <c r="K517">
        <v>1897012.5</v>
      </c>
      <c r="L517">
        <v>0</v>
      </c>
      <c r="M517">
        <v>0</v>
      </c>
      <c r="N517">
        <v>208671.375</v>
      </c>
      <c r="O517">
        <v>0</v>
      </c>
      <c r="P517">
        <v>0</v>
      </c>
      <c r="Q517">
        <v>0</v>
      </c>
      <c r="R517">
        <v>2105683.875</v>
      </c>
      <c r="S517">
        <v>1521642.5</v>
      </c>
      <c r="T517">
        <v>80.212571082162</v>
      </c>
      <c r="U517" t="str">
        <f t="shared" si="8"/>
        <v>Week 1</v>
      </c>
    </row>
    <row r="518" spans="1:21" x14ac:dyDescent="0.25">
      <c r="C518" s="1"/>
      <c r="H518" s="2"/>
    </row>
    <row r="519" spans="1:21" x14ac:dyDescent="0.25">
      <c r="C519" s="1"/>
      <c r="H519" s="2"/>
    </row>
    <row r="520" spans="1:21" x14ac:dyDescent="0.25">
      <c r="A520">
        <v>519</v>
      </c>
      <c r="B520" t="s">
        <v>1015</v>
      </c>
      <c r="C520" s="1">
        <v>46059</v>
      </c>
      <c r="D520" t="s">
        <v>54</v>
      </c>
      <c r="E520" t="s">
        <v>55</v>
      </c>
      <c r="F520" t="s">
        <v>23</v>
      </c>
      <c r="G520" t="s">
        <v>24</v>
      </c>
      <c r="H520" s="2">
        <v>1</v>
      </c>
      <c r="I520" t="s">
        <v>772</v>
      </c>
      <c r="K520">
        <v>2200878</v>
      </c>
      <c r="L520">
        <v>0</v>
      </c>
      <c r="M520">
        <v>0</v>
      </c>
      <c r="N520">
        <v>242096.58</v>
      </c>
      <c r="O520">
        <v>0</v>
      </c>
      <c r="P520">
        <v>0</v>
      </c>
      <c r="Q520">
        <v>0</v>
      </c>
      <c r="R520">
        <v>2442974.58</v>
      </c>
      <c r="S520">
        <v>668175.30000000005</v>
      </c>
      <c r="T520">
        <v>30.35948834965</v>
      </c>
      <c r="U520" t="str">
        <f t="shared" si="8"/>
        <v>Week 1</v>
      </c>
    </row>
    <row r="521" spans="1:21" x14ac:dyDescent="0.25">
      <c r="A521">
        <v>520</v>
      </c>
      <c r="B521" t="s">
        <v>1016</v>
      </c>
      <c r="C521" s="1">
        <v>46059</v>
      </c>
      <c r="D521" t="s">
        <v>54</v>
      </c>
      <c r="E521" t="s">
        <v>55</v>
      </c>
      <c r="F521" t="s">
        <v>265</v>
      </c>
      <c r="G521" t="s">
        <v>24</v>
      </c>
      <c r="H521" s="2">
        <v>1</v>
      </c>
      <c r="I521" t="s">
        <v>308</v>
      </c>
      <c r="K521">
        <v>642373000</v>
      </c>
      <c r="L521">
        <v>0</v>
      </c>
      <c r="M521">
        <v>0</v>
      </c>
      <c r="N521">
        <v>70661030</v>
      </c>
      <c r="O521">
        <v>0</v>
      </c>
      <c r="P521">
        <v>0</v>
      </c>
      <c r="Q521">
        <v>0</v>
      </c>
      <c r="R521">
        <v>713034030</v>
      </c>
      <c r="S521">
        <v>131028000</v>
      </c>
      <c r="T521">
        <v>20.397494913391</v>
      </c>
      <c r="U521" t="str">
        <f t="shared" si="8"/>
        <v>Week 1</v>
      </c>
    </row>
    <row r="522" spans="1:21" x14ac:dyDescent="0.25">
      <c r="A522">
        <v>521</v>
      </c>
      <c r="B522" t="s">
        <v>1017</v>
      </c>
      <c r="C522" s="1">
        <v>46059</v>
      </c>
      <c r="D522" t="s">
        <v>204</v>
      </c>
      <c r="E522" t="s">
        <v>205</v>
      </c>
      <c r="F522" t="s">
        <v>23</v>
      </c>
      <c r="G522" t="s">
        <v>24</v>
      </c>
      <c r="H522" s="2">
        <v>1</v>
      </c>
      <c r="I522" t="s">
        <v>1018</v>
      </c>
      <c r="J522" t="s">
        <v>26</v>
      </c>
      <c r="K522">
        <v>1723500</v>
      </c>
      <c r="L522">
        <v>0</v>
      </c>
      <c r="M522">
        <v>0</v>
      </c>
      <c r="N522">
        <v>189585</v>
      </c>
      <c r="O522">
        <v>0</v>
      </c>
      <c r="P522">
        <v>0</v>
      </c>
      <c r="Q522">
        <v>0</v>
      </c>
      <c r="R522">
        <v>1913085</v>
      </c>
      <c r="S522">
        <v>573049.5</v>
      </c>
      <c r="T522">
        <v>33.249173194081997</v>
      </c>
      <c r="U522" t="str">
        <f t="shared" si="8"/>
        <v>Week 1</v>
      </c>
    </row>
    <row r="523" spans="1:21" x14ac:dyDescent="0.25">
      <c r="A523">
        <v>522</v>
      </c>
      <c r="B523" t="s">
        <v>1019</v>
      </c>
      <c r="C523" s="1">
        <v>46059</v>
      </c>
      <c r="D523" t="s">
        <v>356</v>
      </c>
      <c r="E523" t="s">
        <v>29</v>
      </c>
      <c r="F523" t="s">
        <v>30</v>
      </c>
      <c r="G523" t="s">
        <v>24</v>
      </c>
      <c r="H523" s="2">
        <v>1</v>
      </c>
      <c r="I523" t="s">
        <v>1020</v>
      </c>
      <c r="K523">
        <v>160000</v>
      </c>
      <c r="L523">
        <v>0</v>
      </c>
      <c r="M523">
        <v>0</v>
      </c>
      <c r="N523">
        <v>17600</v>
      </c>
      <c r="O523">
        <v>0</v>
      </c>
      <c r="P523">
        <v>0</v>
      </c>
      <c r="Q523">
        <v>0</v>
      </c>
      <c r="R523">
        <v>177600</v>
      </c>
      <c r="S523">
        <v>60000</v>
      </c>
      <c r="T523">
        <v>37.5</v>
      </c>
      <c r="U523" t="str">
        <f t="shared" si="8"/>
        <v>Week 1</v>
      </c>
    </row>
    <row r="524" spans="1:21" x14ac:dyDescent="0.25">
      <c r="A524">
        <v>523</v>
      </c>
      <c r="B524" t="s">
        <v>1021</v>
      </c>
      <c r="C524" s="1">
        <v>46059</v>
      </c>
      <c r="D524" t="s">
        <v>28</v>
      </c>
      <c r="E524" t="s">
        <v>29</v>
      </c>
      <c r="F524" t="s">
        <v>23</v>
      </c>
      <c r="G524" t="s">
        <v>24</v>
      </c>
      <c r="H524" s="2">
        <v>1</v>
      </c>
      <c r="I524" t="s">
        <v>200</v>
      </c>
      <c r="K524">
        <v>1120000</v>
      </c>
      <c r="L524">
        <v>0</v>
      </c>
      <c r="M524">
        <v>0</v>
      </c>
      <c r="N524">
        <v>123200</v>
      </c>
      <c r="O524">
        <v>0</v>
      </c>
      <c r="P524">
        <v>0</v>
      </c>
      <c r="Q524">
        <v>0</v>
      </c>
      <c r="R524">
        <v>1243200</v>
      </c>
      <c r="S524">
        <v>329774</v>
      </c>
      <c r="T524">
        <v>29.444107142857</v>
      </c>
      <c r="U524" t="str">
        <f t="shared" si="8"/>
        <v>Week 1</v>
      </c>
    </row>
    <row r="525" spans="1:21" x14ac:dyDescent="0.25">
      <c r="A525">
        <v>524</v>
      </c>
      <c r="B525" t="s">
        <v>1022</v>
      </c>
      <c r="C525" s="1">
        <v>46059</v>
      </c>
      <c r="D525" t="s">
        <v>54</v>
      </c>
      <c r="E525" t="s">
        <v>55</v>
      </c>
      <c r="F525" t="s">
        <v>23</v>
      </c>
      <c r="G525" t="s">
        <v>24</v>
      </c>
      <c r="H525" s="2">
        <v>1</v>
      </c>
      <c r="I525" t="s">
        <v>1023</v>
      </c>
      <c r="K525">
        <v>3256756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3256756</v>
      </c>
      <c r="S525">
        <v>961350.6</v>
      </c>
      <c r="T525">
        <v>29.518655987736999</v>
      </c>
      <c r="U525" t="str">
        <f t="shared" si="8"/>
        <v>Week 1</v>
      </c>
    </row>
    <row r="526" spans="1:21" x14ac:dyDescent="0.25">
      <c r="C526" s="1"/>
      <c r="H526" s="2"/>
    </row>
    <row r="527" spans="1:21" x14ac:dyDescent="0.25">
      <c r="A527">
        <v>526</v>
      </c>
      <c r="B527" t="s">
        <v>1024</v>
      </c>
      <c r="C527" s="1">
        <v>46059</v>
      </c>
      <c r="D527" t="s">
        <v>54</v>
      </c>
      <c r="E527" t="s">
        <v>55</v>
      </c>
      <c r="F527" t="s">
        <v>23</v>
      </c>
      <c r="G527" t="s">
        <v>24</v>
      </c>
      <c r="H527" s="2">
        <v>1</v>
      </c>
      <c r="I527" t="s">
        <v>1025</v>
      </c>
      <c r="K527">
        <v>2500000</v>
      </c>
      <c r="L527">
        <v>0</v>
      </c>
      <c r="M527">
        <v>0</v>
      </c>
      <c r="N527">
        <v>275000</v>
      </c>
      <c r="O527">
        <v>0</v>
      </c>
      <c r="P527">
        <v>0</v>
      </c>
      <c r="Q527">
        <v>0</v>
      </c>
      <c r="R527">
        <v>2775000</v>
      </c>
      <c r="S527">
        <v>908108.11</v>
      </c>
      <c r="T527">
        <v>36.324324400000002</v>
      </c>
      <c r="U527" t="str">
        <f t="shared" si="8"/>
        <v>Week 1</v>
      </c>
    </row>
    <row r="528" spans="1:21" x14ac:dyDescent="0.25">
      <c r="A528">
        <v>527</v>
      </c>
      <c r="B528" t="s">
        <v>1026</v>
      </c>
      <c r="C528" s="1">
        <v>46059</v>
      </c>
      <c r="D528" t="s">
        <v>54</v>
      </c>
      <c r="E528" t="s">
        <v>55</v>
      </c>
      <c r="F528" t="s">
        <v>23</v>
      </c>
      <c r="G528" t="s">
        <v>24</v>
      </c>
      <c r="H528" s="2">
        <v>1</v>
      </c>
      <c r="I528" t="s">
        <v>1025</v>
      </c>
      <c r="K528">
        <v>85695835</v>
      </c>
      <c r="L528">
        <v>0</v>
      </c>
      <c r="M528">
        <v>0</v>
      </c>
      <c r="N528">
        <v>0</v>
      </c>
      <c r="O528">
        <v>0</v>
      </c>
      <c r="P528">
        <v>0</v>
      </c>
      <c r="Q528">
        <v>0</v>
      </c>
      <c r="R528">
        <v>85695835</v>
      </c>
      <c r="S528">
        <v>19199609.140000001</v>
      </c>
      <c r="T528">
        <v>22.404366723307</v>
      </c>
      <c r="U528" t="str">
        <f t="shared" si="8"/>
        <v>Week 1</v>
      </c>
    </row>
    <row r="529" spans="1:21" x14ac:dyDescent="0.25">
      <c r="A529">
        <v>528</v>
      </c>
      <c r="B529" t="s">
        <v>1027</v>
      </c>
      <c r="C529" s="1">
        <v>46059</v>
      </c>
      <c r="D529" t="s">
        <v>54</v>
      </c>
      <c r="E529" t="s">
        <v>55</v>
      </c>
      <c r="F529" t="s">
        <v>23</v>
      </c>
      <c r="G529" t="s">
        <v>24</v>
      </c>
      <c r="H529" s="2">
        <v>1</v>
      </c>
      <c r="I529" t="s">
        <v>772</v>
      </c>
      <c r="K529">
        <v>915000</v>
      </c>
      <c r="L529">
        <v>0</v>
      </c>
      <c r="M529">
        <v>0</v>
      </c>
      <c r="N529">
        <v>100650</v>
      </c>
      <c r="O529">
        <v>0</v>
      </c>
      <c r="P529">
        <v>0</v>
      </c>
      <c r="Q529">
        <v>0</v>
      </c>
      <c r="R529">
        <v>1015650</v>
      </c>
      <c r="S529">
        <v>405000</v>
      </c>
      <c r="T529">
        <v>44.262295081966997</v>
      </c>
      <c r="U529" t="str">
        <f t="shared" si="8"/>
        <v>Week 1</v>
      </c>
    </row>
    <row r="530" spans="1:21" x14ac:dyDescent="0.25">
      <c r="A530">
        <v>529</v>
      </c>
      <c r="B530" t="s">
        <v>1028</v>
      </c>
      <c r="C530" s="1">
        <v>46058</v>
      </c>
      <c r="D530" t="s">
        <v>54</v>
      </c>
      <c r="E530" t="s">
        <v>55</v>
      </c>
      <c r="F530" t="s">
        <v>39</v>
      </c>
      <c r="G530" t="s">
        <v>24</v>
      </c>
      <c r="H530" s="2">
        <v>1</v>
      </c>
      <c r="I530" t="s">
        <v>1029</v>
      </c>
      <c r="K530">
        <v>3571066</v>
      </c>
      <c r="L530">
        <v>0</v>
      </c>
      <c r="M530">
        <v>0</v>
      </c>
      <c r="N530">
        <v>392817.26</v>
      </c>
      <c r="O530">
        <v>0</v>
      </c>
      <c r="P530">
        <v>0</v>
      </c>
      <c r="Q530">
        <v>0</v>
      </c>
      <c r="R530">
        <v>3963883.26</v>
      </c>
      <c r="S530">
        <v>1616921.85586</v>
      </c>
      <c r="T530">
        <v>45.278408628123998</v>
      </c>
      <c r="U530" t="str">
        <f t="shared" si="8"/>
        <v>Week 1</v>
      </c>
    </row>
    <row r="531" spans="1:21" x14ac:dyDescent="0.25">
      <c r="A531">
        <v>530</v>
      </c>
      <c r="B531" t="s">
        <v>1030</v>
      </c>
      <c r="C531" s="1">
        <v>46058</v>
      </c>
      <c r="D531" t="s">
        <v>255</v>
      </c>
      <c r="E531" t="s">
        <v>205</v>
      </c>
      <c r="F531" t="s">
        <v>23</v>
      </c>
      <c r="G531" t="s">
        <v>24</v>
      </c>
      <c r="H531" s="2">
        <v>1</v>
      </c>
      <c r="I531" t="s">
        <v>1031</v>
      </c>
      <c r="J531" t="s">
        <v>26</v>
      </c>
      <c r="K531">
        <v>40768315.675676003</v>
      </c>
      <c r="L531">
        <v>0</v>
      </c>
      <c r="M531">
        <v>0</v>
      </c>
      <c r="N531">
        <v>4484514.7243243</v>
      </c>
      <c r="O531">
        <v>0</v>
      </c>
      <c r="P531">
        <v>0</v>
      </c>
      <c r="Q531">
        <v>0</v>
      </c>
      <c r="R531">
        <v>45252830.399999999</v>
      </c>
      <c r="S531">
        <v>5907811.1711712005</v>
      </c>
      <c r="T531">
        <v>14.491182854277</v>
      </c>
      <c r="U531" t="str">
        <f t="shared" si="8"/>
        <v>Week 1</v>
      </c>
    </row>
    <row r="532" spans="1:21" x14ac:dyDescent="0.25">
      <c r="A532">
        <v>531</v>
      </c>
      <c r="B532" t="s">
        <v>1032</v>
      </c>
      <c r="C532" s="1">
        <v>46058</v>
      </c>
      <c r="D532" t="s">
        <v>99</v>
      </c>
      <c r="E532" t="s">
        <v>100</v>
      </c>
      <c r="F532" t="s">
        <v>23</v>
      </c>
      <c r="G532" t="s">
        <v>24</v>
      </c>
      <c r="H532" s="2">
        <v>1</v>
      </c>
      <c r="I532" t="s">
        <v>735</v>
      </c>
      <c r="K532">
        <v>26930500</v>
      </c>
      <c r="L532">
        <v>0</v>
      </c>
      <c r="M532">
        <v>0</v>
      </c>
      <c r="N532">
        <v>2962355</v>
      </c>
      <c r="O532">
        <v>0</v>
      </c>
      <c r="P532">
        <v>0</v>
      </c>
      <c r="Q532">
        <v>0</v>
      </c>
      <c r="R532">
        <v>29892855</v>
      </c>
      <c r="S532">
        <v>8484049.4600000009</v>
      </c>
      <c r="T532">
        <v>31.503497744193002</v>
      </c>
      <c r="U532" t="str">
        <f t="shared" si="8"/>
        <v>Week 1</v>
      </c>
    </row>
    <row r="533" spans="1:21" x14ac:dyDescent="0.25">
      <c r="A533">
        <v>532</v>
      </c>
      <c r="B533" t="s">
        <v>1033</v>
      </c>
      <c r="C533" s="1">
        <v>46058</v>
      </c>
      <c r="D533" t="s">
        <v>54</v>
      </c>
      <c r="E533" t="s">
        <v>55</v>
      </c>
      <c r="F533" t="s">
        <v>23</v>
      </c>
      <c r="G533" t="s">
        <v>24</v>
      </c>
      <c r="H533" s="2">
        <v>1</v>
      </c>
      <c r="I533" t="s">
        <v>1034</v>
      </c>
      <c r="K533">
        <v>3728965</v>
      </c>
      <c r="L533">
        <v>0</v>
      </c>
      <c r="M533">
        <v>0</v>
      </c>
      <c r="N533">
        <v>410186.15</v>
      </c>
      <c r="O533">
        <v>0</v>
      </c>
      <c r="P533">
        <v>0</v>
      </c>
      <c r="Q533">
        <v>0</v>
      </c>
      <c r="R533">
        <v>4139151.15</v>
      </c>
      <c r="S533">
        <v>1214865</v>
      </c>
      <c r="T533">
        <v>32.579147296903997</v>
      </c>
      <c r="U533" t="str">
        <f t="shared" si="8"/>
        <v>Week 1</v>
      </c>
    </row>
    <row r="534" spans="1:21" x14ac:dyDescent="0.25">
      <c r="C534" s="1"/>
      <c r="H534" s="2"/>
    </row>
    <row r="535" spans="1:21" x14ac:dyDescent="0.25">
      <c r="A535">
        <v>534</v>
      </c>
      <c r="B535" t="s">
        <v>1035</v>
      </c>
      <c r="C535" s="1">
        <v>46058</v>
      </c>
      <c r="D535" t="s">
        <v>99</v>
      </c>
      <c r="E535" t="s">
        <v>100</v>
      </c>
      <c r="F535" t="s">
        <v>265</v>
      </c>
      <c r="G535" t="s">
        <v>24</v>
      </c>
      <c r="H535" s="2">
        <v>1</v>
      </c>
      <c r="I535" t="s">
        <v>741</v>
      </c>
      <c r="K535">
        <v>70968500</v>
      </c>
      <c r="L535">
        <v>0</v>
      </c>
      <c r="M535">
        <v>0</v>
      </c>
      <c r="N535">
        <v>7806535</v>
      </c>
      <c r="O535">
        <v>0</v>
      </c>
      <c r="P535">
        <v>0</v>
      </c>
      <c r="Q535">
        <v>0</v>
      </c>
      <c r="R535">
        <v>78775035</v>
      </c>
      <c r="S535">
        <v>16508617.111351</v>
      </c>
      <c r="T535">
        <v>23.261893813947999</v>
      </c>
      <c r="U535" t="str">
        <f t="shared" si="8"/>
        <v>Week 1</v>
      </c>
    </row>
    <row r="536" spans="1:21" x14ac:dyDescent="0.25">
      <c r="A536">
        <v>535</v>
      </c>
      <c r="B536" t="s">
        <v>1036</v>
      </c>
      <c r="C536" s="1">
        <v>46058</v>
      </c>
      <c r="D536" t="s">
        <v>37</v>
      </c>
      <c r="E536" t="s">
        <v>38</v>
      </c>
      <c r="F536" t="s">
        <v>30</v>
      </c>
      <c r="G536" t="s">
        <v>24</v>
      </c>
      <c r="H536" s="2">
        <v>1</v>
      </c>
      <c r="I536" t="s">
        <v>775</v>
      </c>
      <c r="K536">
        <v>562570</v>
      </c>
      <c r="L536">
        <v>0</v>
      </c>
      <c r="M536">
        <v>0</v>
      </c>
      <c r="N536">
        <v>61882.7</v>
      </c>
      <c r="O536">
        <v>0</v>
      </c>
      <c r="P536">
        <v>0</v>
      </c>
      <c r="Q536">
        <v>0</v>
      </c>
      <c r="R536">
        <v>624452.69999999995</v>
      </c>
      <c r="S536">
        <v>131219.45946000001</v>
      </c>
      <c r="T536">
        <v>23.325001237178999</v>
      </c>
      <c r="U536" t="str">
        <f t="shared" si="8"/>
        <v>Week 1</v>
      </c>
    </row>
    <row r="537" spans="1:21" x14ac:dyDescent="0.25">
      <c r="A537">
        <v>536</v>
      </c>
      <c r="B537" t="s">
        <v>1037</v>
      </c>
      <c r="C537" s="1">
        <v>46058</v>
      </c>
      <c r="D537" t="s">
        <v>54</v>
      </c>
      <c r="E537" t="s">
        <v>55</v>
      </c>
      <c r="F537" t="s">
        <v>23</v>
      </c>
      <c r="G537" t="s">
        <v>24</v>
      </c>
      <c r="H537" s="2">
        <v>1</v>
      </c>
      <c r="I537" t="s">
        <v>772</v>
      </c>
      <c r="K537">
        <v>45786379</v>
      </c>
      <c r="L537">
        <v>0</v>
      </c>
      <c r="M537">
        <v>0</v>
      </c>
      <c r="N537">
        <v>5036501.6900000004</v>
      </c>
      <c r="O537">
        <v>0</v>
      </c>
      <c r="P537">
        <v>0</v>
      </c>
      <c r="Q537">
        <v>0</v>
      </c>
      <c r="R537">
        <v>50822880.689999998</v>
      </c>
      <c r="S537">
        <v>11497266.380000001</v>
      </c>
      <c r="T537">
        <v>25.110669660075001</v>
      </c>
      <c r="U537" t="str">
        <f t="shared" si="8"/>
        <v>Week 1</v>
      </c>
    </row>
    <row r="538" spans="1:21" x14ac:dyDescent="0.25">
      <c r="A538">
        <v>537</v>
      </c>
      <c r="B538" t="s">
        <v>1038</v>
      </c>
      <c r="C538" s="1">
        <v>46058</v>
      </c>
      <c r="D538" t="s">
        <v>323</v>
      </c>
      <c r="E538" t="s">
        <v>38</v>
      </c>
      <c r="F538" t="s">
        <v>30</v>
      </c>
      <c r="G538" t="s">
        <v>24</v>
      </c>
      <c r="H538" s="2">
        <v>1</v>
      </c>
      <c r="I538" t="s">
        <v>1039</v>
      </c>
      <c r="K538">
        <v>1715000</v>
      </c>
      <c r="L538">
        <v>0</v>
      </c>
      <c r="M538">
        <v>0</v>
      </c>
      <c r="N538">
        <v>188650</v>
      </c>
      <c r="O538">
        <v>0</v>
      </c>
      <c r="P538">
        <v>0</v>
      </c>
      <c r="Q538">
        <v>0</v>
      </c>
      <c r="R538">
        <v>1903650</v>
      </c>
      <c r="S538">
        <v>665000</v>
      </c>
      <c r="T538">
        <v>38.775510204082003</v>
      </c>
      <c r="U538" t="str">
        <f t="shared" si="8"/>
        <v>Week 1</v>
      </c>
    </row>
    <row r="539" spans="1:21" x14ac:dyDescent="0.25">
      <c r="A539">
        <v>538</v>
      </c>
      <c r="B539" t="s">
        <v>1040</v>
      </c>
      <c r="C539" s="1">
        <v>46058</v>
      </c>
      <c r="D539" t="s">
        <v>54</v>
      </c>
      <c r="E539" t="s">
        <v>55</v>
      </c>
      <c r="F539" t="s">
        <v>30</v>
      </c>
      <c r="G539" t="s">
        <v>24</v>
      </c>
      <c r="H539" s="2">
        <v>1</v>
      </c>
      <c r="I539" t="s">
        <v>1041</v>
      </c>
      <c r="K539">
        <v>4338750</v>
      </c>
      <c r="L539">
        <v>0</v>
      </c>
      <c r="M539">
        <v>0</v>
      </c>
      <c r="N539">
        <v>477262.5</v>
      </c>
      <c r="O539">
        <v>0</v>
      </c>
      <c r="P539">
        <v>0</v>
      </c>
      <c r="Q539">
        <v>0</v>
      </c>
      <c r="R539">
        <v>4816012.5</v>
      </c>
      <c r="S539">
        <v>960372</v>
      </c>
      <c r="T539">
        <v>22.134762316334999</v>
      </c>
      <c r="U539" t="str">
        <f t="shared" si="8"/>
        <v>Week 1</v>
      </c>
    </row>
    <row r="540" spans="1:21" x14ac:dyDescent="0.25">
      <c r="A540">
        <v>539</v>
      </c>
      <c r="B540" t="s">
        <v>1042</v>
      </c>
      <c r="C540" s="1">
        <v>46058</v>
      </c>
      <c r="D540" t="s">
        <v>33</v>
      </c>
      <c r="E540" t="s">
        <v>38</v>
      </c>
      <c r="F540" t="s">
        <v>23</v>
      </c>
      <c r="G540" t="s">
        <v>24</v>
      </c>
      <c r="H540" s="2">
        <v>1</v>
      </c>
      <c r="I540" t="s">
        <v>1043</v>
      </c>
      <c r="K540">
        <v>2352000</v>
      </c>
      <c r="L540">
        <v>0</v>
      </c>
      <c r="M540">
        <v>0</v>
      </c>
      <c r="N540">
        <v>258720</v>
      </c>
      <c r="O540">
        <v>0</v>
      </c>
      <c r="P540">
        <v>0</v>
      </c>
      <c r="Q540">
        <v>0</v>
      </c>
      <c r="R540">
        <v>2610720</v>
      </c>
      <c r="S540">
        <v>714000</v>
      </c>
      <c r="T540">
        <v>30.357142857143</v>
      </c>
      <c r="U540" t="str">
        <f t="shared" si="8"/>
        <v>Week 1</v>
      </c>
    </row>
    <row r="541" spans="1:21" x14ac:dyDescent="0.25">
      <c r="A541">
        <v>540</v>
      </c>
      <c r="B541" t="s">
        <v>1044</v>
      </c>
      <c r="C541" s="1">
        <v>46058</v>
      </c>
      <c r="D541" t="s">
        <v>54</v>
      </c>
      <c r="E541" t="s">
        <v>55</v>
      </c>
      <c r="F541" t="s">
        <v>30</v>
      </c>
      <c r="G541" t="s">
        <v>24</v>
      </c>
      <c r="H541" s="2">
        <v>1</v>
      </c>
      <c r="I541" t="s">
        <v>1045</v>
      </c>
      <c r="K541">
        <v>33990000</v>
      </c>
      <c r="L541">
        <v>0</v>
      </c>
      <c r="M541">
        <v>0</v>
      </c>
      <c r="N541">
        <v>3738900</v>
      </c>
      <c r="O541">
        <v>0</v>
      </c>
      <c r="P541">
        <v>0</v>
      </c>
      <c r="Q541">
        <v>0</v>
      </c>
      <c r="R541">
        <v>37728900</v>
      </c>
      <c r="S541">
        <v>6214000</v>
      </c>
      <c r="T541">
        <v>18.281847602235999</v>
      </c>
      <c r="U541" t="str">
        <f t="shared" si="8"/>
        <v>Week 1</v>
      </c>
    </row>
    <row r="542" spans="1:21" x14ac:dyDescent="0.25">
      <c r="A542">
        <v>541</v>
      </c>
      <c r="B542" t="s">
        <v>1046</v>
      </c>
      <c r="C542" s="1">
        <v>46058</v>
      </c>
      <c r="D542" t="s">
        <v>99</v>
      </c>
      <c r="E542" t="s">
        <v>100</v>
      </c>
      <c r="F542" t="s">
        <v>30</v>
      </c>
      <c r="G542" t="s">
        <v>24</v>
      </c>
      <c r="H542" s="2">
        <v>1</v>
      </c>
      <c r="I542" t="s">
        <v>1047</v>
      </c>
      <c r="K542">
        <v>1425520</v>
      </c>
      <c r="L542">
        <v>0</v>
      </c>
      <c r="M542">
        <v>0</v>
      </c>
      <c r="N542">
        <v>156807.20000000001</v>
      </c>
      <c r="O542">
        <v>0</v>
      </c>
      <c r="P542">
        <v>0</v>
      </c>
      <c r="Q542">
        <v>0</v>
      </c>
      <c r="R542">
        <v>1582327.2</v>
      </c>
      <c r="S542">
        <v>-245480</v>
      </c>
      <c r="T542">
        <v>-17.220382737527</v>
      </c>
      <c r="U542" t="str">
        <f t="shared" si="8"/>
        <v>Week 1</v>
      </c>
    </row>
    <row r="543" spans="1:21" x14ac:dyDescent="0.25">
      <c r="A543">
        <v>542</v>
      </c>
      <c r="B543" t="s">
        <v>1048</v>
      </c>
      <c r="C543" s="1">
        <v>46058</v>
      </c>
      <c r="D543" t="s">
        <v>33</v>
      </c>
      <c r="E543" t="s">
        <v>34</v>
      </c>
      <c r="F543" t="s">
        <v>30</v>
      </c>
      <c r="G543" t="s">
        <v>24</v>
      </c>
      <c r="H543" s="2">
        <v>1</v>
      </c>
      <c r="I543" t="s">
        <v>1049</v>
      </c>
      <c r="K543">
        <v>1734600</v>
      </c>
      <c r="L543">
        <v>0</v>
      </c>
      <c r="M543">
        <v>0</v>
      </c>
      <c r="N543">
        <v>190806</v>
      </c>
      <c r="O543">
        <v>0</v>
      </c>
      <c r="P543">
        <v>0</v>
      </c>
      <c r="Q543">
        <v>0</v>
      </c>
      <c r="R543">
        <v>1925406</v>
      </c>
      <c r="S543">
        <v>684600</v>
      </c>
      <c r="T543">
        <v>39.467312348668003</v>
      </c>
      <c r="U543" t="str">
        <f t="shared" si="8"/>
        <v>Week 1</v>
      </c>
    </row>
    <row r="544" spans="1:21" x14ac:dyDescent="0.25">
      <c r="A544">
        <v>543</v>
      </c>
      <c r="B544" t="s">
        <v>1050</v>
      </c>
      <c r="C544" s="1">
        <v>46058</v>
      </c>
      <c r="D544" t="s">
        <v>33</v>
      </c>
      <c r="E544" t="s">
        <v>34</v>
      </c>
      <c r="F544" t="s">
        <v>30</v>
      </c>
      <c r="G544" t="s">
        <v>24</v>
      </c>
      <c r="H544" s="2">
        <v>1</v>
      </c>
      <c r="I544" t="s">
        <v>1051</v>
      </c>
      <c r="K544">
        <v>39688000</v>
      </c>
      <c r="L544">
        <v>0</v>
      </c>
      <c r="M544">
        <v>0</v>
      </c>
      <c r="N544">
        <v>4365680</v>
      </c>
      <c r="O544">
        <v>0</v>
      </c>
      <c r="P544">
        <v>0</v>
      </c>
      <c r="Q544">
        <v>0</v>
      </c>
      <c r="R544">
        <v>44053680</v>
      </c>
      <c r="S544">
        <v>3756753.2432431001</v>
      </c>
      <c r="T544">
        <v>9.4657156904937008</v>
      </c>
      <c r="U544" t="str">
        <f t="shared" si="8"/>
        <v>Week 1</v>
      </c>
    </row>
    <row r="545" spans="1:21" x14ac:dyDescent="0.25">
      <c r="A545">
        <v>544</v>
      </c>
      <c r="B545" t="s">
        <v>1052</v>
      </c>
      <c r="C545" s="1">
        <v>46058</v>
      </c>
      <c r="D545" t="s">
        <v>21</v>
      </c>
      <c r="E545" t="s">
        <v>22</v>
      </c>
      <c r="F545" t="s">
        <v>30</v>
      </c>
      <c r="G545" t="s">
        <v>24</v>
      </c>
      <c r="H545" s="2">
        <v>1</v>
      </c>
      <c r="I545" t="s">
        <v>1053</v>
      </c>
      <c r="J545" t="s">
        <v>26</v>
      </c>
      <c r="K545">
        <v>7543060</v>
      </c>
      <c r="L545">
        <v>0</v>
      </c>
      <c r="M545">
        <v>0</v>
      </c>
      <c r="N545">
        <v>829736.6</v>
      </c>
      <c r="O545">
        <v>0</v>
      </c>
      <c r="P545">
        <v>0</v>
      </c>
      <c r="Q545">
        <v>0</v>
      </c>
      <c r="R545">
        <v>8372796.5999999996</v>
      </c>
      <c r="S545">
        <v>2498016.7387386998</v>
      </c>
      <c r="T545">
        <v>33.116755517504998</v>
      </c>
      <c r="U545" t="str">
        <f t="shared" si="8"/>
        <v>Week 1</v>
      </c>
    </row>
    <row r="546" spans="1:21" x14ac:dyDescent="0.25">
      <c r="A546">
        <v>545</v>
      </c>
      <c r="B546" t="s">
        <v>1054</v>
      </c>
      <c r="C546" s="1">
        <v>46058</v>
      </c>
      <c r="D546" t="s">
        <v>21</v>
      </c>
      <c r="E546" t="s">
        <v>22</v>
      </c>
      <c r="F546" t="s">
        <v>30</v>
      </c>
      <c r="G546" t="s">
        <v>24</v>
      </c>
      <c r="H546" s="2">
        <v>1</v>
      </c>
      <c r="I546" t="s">
        <v>1055</v>
      </c>
      <c r="J546" t="s">
        <v>26</v>
      </c>
      <c r="K546">
        <v>89425</v>
      </c>
      <c r="L546">
        <v>0</v>
      </c>
      <c r="M546">
        <v>0</v>
      </c>
      <c r="N546">
        <v>9836.75</v>
      </c>
      <c r="O546">
        <v>0</v>
      </c>
      <c r="P546">
        <v>0</v>
      </c>
      <c r="Q546">
        <v>0</v>
      </c>
      <c r="R546">
        <v>99261.75</v>
      </c>
      <c r="S546">
        <v>37425</v>
      </c>
      <c r="T546">
        <v>41.850712887895</v>
      </c>
      <c r="U546" t="str">
        <f t="shared" si="8"/>
        <v>Week 1</v>
      </c>
    </row>
    <row r="547" spans="1:21" x14ac:dyDescent="0.25">
      <c r="A547">
        <v>546</v>
      </c>
      <c r="B547" t="s">
        <v>1056</v>
      </c>
      <c r="C547" s="1">
        <v>46058</v>
      </c>
      <c r="D547" t="s">
        <v>113</v>
      </c>
      <c r="E547" t="s">
        <v>38</v>
      </c>
      <c r="F547" t="s">
        <v>23</v>
      </c>
      <c r="G547" t="s">
        <v>24</v>
      </c>
      <c r="H547" s="2">
        <v>1</v>
      </c>
      <c r="I547" t="s">
        <v>1057</v>
      </c>
      <c r="K547">
        <v>19710000</v>
      </c>
      <c r="L547">
        <v>0</v>
      </c>
      <c r="M547">
        <v>0</v>
      </c>
      <c r="N547">
        <v>2168100</v>
      </c>
      <c r="O547">
        <v>0</v>
      </c>
      <c r="P547">
        <v>0</v>
      </c>
      <c r="Q547">
        <v>0</v>
      </c>
      <c r="R547">
        <v>21878100</v>
      </c>
      <c r="S547">
        <v>4100000</v>
      </c>
      <c r="T547">
        <v>20.801623541350001</v>
      </c>
      <c r="U547" t="str">
        <f t="shared" si="8"/>
        <v>Week 1</v>
      </c>
    </row>
    <row r="548" spans="1:21" x14ac:dyDescent="0.25">
      <c r="A548">
        <v>547</v>
      </c>
      <c r="B548" t="s">
        <v>1058</v>
      </c>
      <c r="C548" s="1">
        <v>46058</v>
      </c>
      <c r="D548" t="s">
        <v>204</v>
      </c>
      <c r="E548" t="s">
        <v>22</v>
      </c>
      <c r="F548" t="s">
        <v>23</v>
      </c>
      <c r="G548" t="s">
        <v>24</v>
      </c>
      <c r="H548" s="2">
        <v>1</v>
      </c>
      <c r="I548" t="s">
        <v>1059</v>
      </c>
      <c r="J548" t="s">
        <v>26</v>
      </c>
      <c r="K548">
        <v>12780240</v>
      </c>
      <c r="L548">
        <v>0</v>
      </c>
      <c r="M548">
        <v>0</v>
      </c>
      <c r="N548">
        <v>1405826.4</v>
      </c>
      <c r="O548">
        <v>0</v>
      </c>
      <c r="P548">
        <v>0</v>
      </c>
      <c r="Q548">
        <v>0</v>
      </c>
      <c r="R548">
        <v>14186066.4</v>
      </c>
      <c r="S548">
        <v>957240</v>
      </c>
      <c r="T548">
        <v>7.4900001877899003</v>
      </c>
      <c r="U548" t="str">
        <f t="shared" si="8"/>
        <v>Week 1</v>
      </c>
    </row>
    <row r="549" spans="1:21" x14ac:dyDescent="0.25">
      <c r="A549">
        <v>548</v>
      </c>
      <c r="B549" t="s">
        <v>1060</v>
      </c>
      <c r="C549" s="1">
        <v>46058</v>
      </c>
      <c r="D549" t="s">
        <v>33</v>
      </c>
      <c r="E549" t="s">
        <v>34</v>
      </c>
      <c r="F549" t="s">
        <v>23</v>
      </c>
      <c r="G549" t="s">
        <v>24</v>
      </c>
      <c r="H549" s="2">
        <v>1</v>
      </c>
      <c r="I549" t="s">
        <v>1061</v>
      </c>
      <c r="K549">
        <v>31845000</v>
      </c>
      <c r="L549">
        <v>0</v>
      </c>
      <c r="M549">
        <v>0</v>
      </c>
      <c r="N549">
        <v>3502950</v>
      </c>
      <c r="O549">
        <v>0</v>
      </c>
      <c r="P549">
        <v>0</v>
      </c>
      <c r="Q549">
        <v>0</v>
      </c>
      <c r="R549">
        <v>35347950</v>
      </c>
      <c r="S549">
        <v>6895000</v>
      </c>
      <c r="T549">
        <v>21.651750667295001</v>
      </c>
      <c r="U549" t="str">
        <f t="shared" si="8"/>
        <v>Week 1</v>
      </c>
    </row>
    <row r="550" spans="1:21" x14ac:dyDescent="0.25">
      <c r="A550">
        <v>549</v>
      </c>
      <c r="B550" t="s">
        <v>1062</v>
      </c>
      <c r="C550" s="1">
        <v>46057</v>
      </c>
      <c r="D550" t="s">
        <v>429</v>
      </c>
      <c r="E550" t="s">
        <v>205</v>
      </c>
      <c r="F550" t="s">
        <v>23</v>
      </c>
      <c r="G550" t="s">
        <v>24</v>
      </c>
      <c r="H550" s="2">
        <v>1</v>
      </c>
      <c r="I550" t="s">
        <v>1063</v>
      </c>
      <c r="J550" t="s">
        <v>26</v>
      </c>
      <c r="K550">
        <v>1560000</v>
      </c>
      <c r="L550">
        <v>0</v>
      </c>
      <c r="M550">
        <v>0</v>
      </c>
      <c r="N550">
        <v>171600</v>
      </c>
      <c r="O550">
        <v>0</v>
      </c>
      <c r="P550">
        <v>0</v>
      </c>
      <c r="Q550">
        <v>0</v>
      </c>
      <c r="R550">
        <v>1731600</v>
      </c>
      <c r="S550">
        <v>679369.36936937005</v>
      </c>
      <c r="T550">
        <v>43.549318549318997</v>
      </c>
      <c r="U550" t="str">
        <f t="shared" si="8"/>
        <v>Week 1</v>
      </c>
    </row>
    <row r="551" spans="1:21" x14ac:dyDescent="0.25">
      <c r="A551">
        <v>550</v>
      </c>
      <c r="B551" t="s">
        <v>1064</v>
      </c>
      <c r="C551" s="1">
        <v>46057</v>
      </c>
      <c r="D551" t="s">
        <v>33</v>
      </c>
      <c r="E551" t="s">
        <v>38</v>
      </c>
      <c r="F551" t="s">
        <v>30</v>
      </c>
      <c r="G551" t="s">
        <v>24</v>
      </c>
      <c r="H551" s="2">
        <v>1</v>
      </c>
      <c r="I551" t="s">
        <v>1065</v>
      </c>
      <c r="K551">
        <v>10650000</v>
      </c>
      <c r="L551">
        <v>0</v>
      </c>
      <c r="M551">
        <v>0</v>
      </c>
      <c r="N551">
        <v>1171500</v>
      </c>
      <c r="O551">
        <v>0</v>
      </c>
      <c r="P551">
        <v>0</v>
      </c>
      <c r="Q551">
        <v>0</v>
      </c>
      <c r="R551">
        <v>11821500</v>
      </c>
      <c r="S551">
        <v>2501351.3513513999</v>
      </c>
      <c r="T551">
        <v>23.486867148839</v>
      </c>
      <c r="U551" t="str">
        <f t="shared" si="8"/>
        <v>Week 1</v>
      </c>
    </row>
    <row r="552" spans="1:21" x14ac:dyDescent="0.25">
      <c r="A552">
        <v>551</v>
      </c>
      <c r="B552" t="s">
        <v>1066</v>
      </c>
      <c r="C552" s="1">
        <v>46057</v>
      </c>
      <c r="D552" t="s">
        <v>21</v>
      </c>
      <c r="E552" t="s">
        <v>22</v>
      </c>
      <c r="F552" t="s">
        <v>23</v>
      </c>
      <c r="G552" t="s">
        <v>24</v>
      </c>
      <c r="H552" s="2">
        <v>1</v>
      </c>
      <c r="I552" t="s">
        <v>1067</v>
      </c>
      <c r="J552" t="s">
        <v>26</v>
      </c>
      <c r="K552">
        <v>32670726</v>
      </c>
      <c r="L552">
        <v>0</v>
      </c>
      <c r="M552">
        <v>0</v>
      </c>
      <c r="N552">
        <v>3593779.86</v>
      </c>
      <c r="O552">
        <v>0</v>
      </c>
      <c r="P552">
        <v>0</v>
      </c>
      <c r="Q552">
        <v>0</v>
      </c>
      <c r="R552">
        <v>36264505.859999999</v>
      </c>
      <c r="S552">
        <v>7715737.2599999998</v>
      </c>
      <c r="T552">
        <v>23.616669124525</v>
      </c>
      <c r="U552" t="str">
        <f t="shared" si="8"/>
        <v>Week 1</v>
      </c>
    </row>
    <row r="553" spans="1:21" x14ac:dyDescent="0.25">
      <c r="C553" s="1"/>
      <c r="H553" s="2"/>
    </row>
    <row r="554" spans="1:21" x14ac:dyDescent="0.25">
      <c r="A554">
        <v>553</v>
      </c>
      <c r="B554" t="s">
        <v>1068</v>
      </c>
      <c r="C554" s="1">
        <v>46057</v>
      </c>
      <c r="D554" t="s">
        <v>255</v>
      </c>
      <c r="E554" t="s">
        <v>205</v>
      </c>
      <c r="F554" t="s">
        <v>30</v>
      </c>
      <c r="G554" t="s">
        <v>24</v>
      </c>
      <c r="H554" s="2">
        <v>1</v>
      </c>
      <c r="I554" t="s">
        <v>1069</v>
      </c>
      <c r="J554" t="s">
        <v>26</v>
      </c>
      <c r="K554">
        <v>321360000</v>
      </c>
      <c r="L554">
        <v>0</v>
      </c>
      <c r="M554">
        <v>0</v>
      </c>
      <c r="N554">
        <v>35349600</v>
      </c>
      <c r="O554">
        <v>0</v>
      </c>
      <c r="P554">
        <v>0</v>
      </c>
      <c r="Q554">
        <v>0</v>
      </c>
      <c r="R554">
        <v>356709600</v>
      </c>
      <c r="S554">
        <v>33360000</v>
      </c>
      <c r="T554">
        <v>10.380881254667999</v>
      </c>
      <c r="U554" t="str">
        <f t="shared" si="8"/>
        <v>Week 1</v>
      </c>
    </row>
    <row r="555" spans="1:21" x14ac:dyDescent="0.25">
      <c r="A555">
        <v>554</v>
      </c>
      <c r="B555" t="s">
        <v>1070</v>
      </c>
      <c r="C555" s="1">
        <v>46057</v>
      </c>
      <c r="D555" t="s">
        <v>21</v>
      </c>
      <c r="E555" t="s">
        <v>22</v>
      </c>
      <c r="F555" t="s">
        <v>30</v>
      </c>
      <c r="G555" t="s">
        <v>24</v>
      </c>
      <c r="H555" s="2">
        <v>1</v>
      </c>
      <c r="I555" t="s">
        <v>1071</v>
      </c>
      <c r="J555" t="s">
        <v>26</v>
      </c>
      <c r="K555">
        <v>5197155.24</v>
      </c>
      <c r="L555">
        <v>0</v>
      </c>
      <c r="M555">
        <v>0</v>
      </c>
      <c r="N555">
        <v>571687.07640000002</v>
      </c>
      <c r="O555">
        <v>0</v>
      </c>
      <c r="P555">
        <v>0</v>
      </c>
      <c r="Q555">
        <v>0</v>
      </c>
      <c r="R555">
        <v>5768842.3163999999</v>
      </c>
      <c r="S555">
        <v>1429589.9427060001</v>
      </c>
      <c r="T555">
        <v>27.507162605095001</v>
      </c>
      <c r="U555" t="str">
        <f t="shared" si="8"/>
        <v>Week 1</v>
      </c>
    </row>
    <row r="556" spans="1:21" x14ac:dyDescent="0.25">
      <c r="A556">
        <v>555</v>
      </c>
      <c r="B556" t="s">
        <v>1072</v>
      </c>
      <c r="C556" s="1">
        <v>46057</v>
      </c>
      <c r="D556" t="s">
        <v>356</v>
      </c>
      <c r="E556" t="s">
        <v>205</v>
      </c>
      <c r="F556" t="s">
        <v>23</v>
      </c>
      <c r="G556" t="s">
        <v>24</v>
      </c>
      <c r="H556" s="2">
        <v>1</v>
      </c>
      <c r="I556" t="s">
        <v>1020</v>
      </c>
      <c r="J556" t="s">
        <v>26</v>
      </c>
      <c r="K556">
        <v>21244250</v>
      </c>
      <c r="L556">
        <v>0</v>
      </c>
      <c r="M556">
        <v>0</v>
      </c>
      <c r="N556">
        <v>2336867.5</v>
      </c>
      <c r="O556">
        <v>0</v>
      </c>
      <c r="P556">
        <v>0</v>
      </c>
      <c r="Q556">
        <v>0</v>
      </c>
      <c r="R556">
        <v>23581117.5</v>
      </c>
      <c r="S556">
        <v>4350627.49</v>
      </c>
      <c r="T556">
        <v>20.479082528214001</v>
      </c>
      <c r="U556" t="str">
        <f t="shared" si="8"/>
        <v>Week 1</v>
      </c>
    </row>
    <row r="557" spans="1:21" x14ac:dyDescent="0.25">
      <c r="A557">
        <v>556</v>
      </c>
      <c r="B557" t="s">
        <v>1073</v>
      </c>
      <c r="C557" s="1">
        <v>46057</v>
      </c>
      <c r="D557" t="s">
        <v>37</v>
      </c>
      <c r="E557" t="s">
        <v>38</v>
      </c>
      <c r="F557" t="s">
        <v>23</v>
      </c>
      <c r="G557" t="s">
        <v>24</v>
      </c>
      <c r="H557" s="2">
        <v>1</v>
      </c>
      <c r="I557" t="s">
        <v>1074</v>
      </c>
      <c r="K557">
        <v>325000</v>
      </c>
      <c r="L557">
        <v>0</v>
      </c>
      <c r="M557">
        <v>0</v>
      </c>
      <c r="N557">
        <v>35750</v>
      </c>
      <c r="O557">
        <v>0</v>
      </c>
      <c r="P557">
        <v>0</v>
      </c>
      <c r="Q557">
        <v>0</v>
      </c>
      <c r="R557">
        <v>360750</v>
      </c>
      <c r="S557">
        <v>65000</v>
      </c>
      <c r="T557">
        <v>20</v>
      </c>
      <c r="U557" t="str">
        <f t="shared" si="8"/>
        <v>Week 1</v>
      </c>
    </row>
    <row r="558" spans="1:21" x14ac:dyDescent="0.25">
      <c r="A558">
        <v>557</v>
      </c>
      <c r="B558" t="s">
        <v>1075</v>
      </c>
      <c r="C558" s="1">
        <v>46057</v>
      </c>
      <c r="D558" t="s">
        <v>1076</v>
      </c>
      <c r="E558" t="s">
        <v>205</v>
      </c>
      <c r="F558" t="s">
        <v>23</v>
      </c>
      <c r="G558" t="s">
        <v>24</v>
      </c>
      <c r="H558" s="2">
        <v>1</v>
      </c>
      <c r="I558" t="s">
        <v>1077</v>
      </c>
      <c r="J558" t="s">
        <v>26</v>
      </c>
      <c r="K558">
        <v>530000</v>
      </c>
      <c r="L558">
        <v>0</v>
      </c>
      <c r="M558">
        <v>0</v>
      </c>
      <c r="N558">
        <v>58300</v>
      </c>
      <c r="O558">
        <v>0</v>
      </c>
      <c r="P558">
        <v>0</v>
      </c>
      <c r="Q558">
        <v>0</v>
      </c>
      <c r="R558">
        <v>588300</v>
      </c>
      <c r="S558">
        <v>115810</v>
      </c>
      <c r="T558">
        <v>21.850943396226</v>
      </c>
      <c r="U558" t="str">
        <f t="shared" si="8"/>
        <v>Week 1</v>
      </c>
    </row>
    <row r="559" spans="1:21" x14ac:dyDescent="0.25">
      <c r="A559">
        <v>558</v>
      </c>
      <c r="B559" t="s">
        <v>1078</v>
      </c>
      <c r="C559" s="1">
        <v>46057</v>
      </c>
      <c r="D559" t="s">
        <v>21</v>
      </c>
      <c r="E559" t="s">
        <v>22</v>
      </c>
      <c r="F559" t="s">
        <v>23</v>
      </c>
      <c r="G559" t="s">
        <v>24</v>
      </c>
      <c r="H559" s="2">
        <v>1</v>
      </c>
      <c r="I559" t="s">
        <v>1079</v>
      </c>
      <c r="J559" t="s">
        <v>26</v>
      </c>
      <c r="K559">
        <v>15550000</v>
      </c>
      <c r="L559">
        <v>0</v>
      </c>
      <c r="M559">
        <v>0</v>
      </c>
      <c r="N559">
        <v>1710500</v>
      </c>
      <c r="O559">
        <v>0</v>
      </c>
      <c r="P559">
        <v>0</v>
      </c>
      <c r="Q559">
        <v>0</v>
      </c>
      <c r="R559">
        <v>17260500</v>
      </c>
      <c r="S559">
        <v>3250000</v>
      </c>
      <c r="T559">
        <v>20.900321543408001</v>
      </c>
      <c r="U559" t="str">
        <f t="shared" si="8"/>
        <v>Week 1</v>
      </c>
    </row>
    <row r="560" spans="1:21" x14ac:dyDescent="0.25">
      <c r="A560">
        <v>559</v>
      </c>
      <c r="B560" t="s">
        <v>1080</v>
      </c>
      <c r="C560" s="1">
        <v>46057</v>
      </c>
      <c r="D560" t="s">
        <v>255</v>
      </c>
      <c r="E560" t="s">
        <v>205</v>
      </c>
      <c r="F560" t="s">
        <v>30</v>
      </c>
      <c r="G560" t="s">
        <v>24</v>
      </c>
      <c r="H560" s="2">
        <v>1</v>
      </c>
      <c r="I560" t="s">
        <v>1081</v>
      </c>
      <c r="J560" t="s">
        <v>26</v>
      </c>
      <c r="K560">
        <v>321360000</v>
      </c>
      <c r="L560">
        <v>0</v>
      </c>
      <c r="M560">
        <v>0</v>
      </c>
      <c r="N560">
        <v>35349600</v>
      </c>
      <c r="O560">
        <v>0</v>
      </c>
      <c r="P560">
        <v>0</v>
      </c>
      <c r="Q560">
        <v>0</v>
      </c>
      <c r="R560">
        <v>356709600</v>
      </c>
      <c r="S560">
        <v>33360000</v>
      </c>
      <c r="T560">
        <v>10.380881254667999</v>
      </c>
      <c r="U560" t="str">
        <f t="shared" si="8"/>
        <v>Week 1</v>
      </c>
    </row>
    <row r="561" spans="1:21" x14ac:dyDescent="0.25">
      <c r="C561" s="1"/>
      <c r="H561" s="2"/>
    </row>
    <row r="562" spans="1:21" x14ac:dyDescent="0.25">
      <c r="A562">
        <v>561</v>
      </c>
      <c r="B562" t="s">
        <v>1082</v>
      </c>
      <c r="C562" s="1">
        <v>46057</v>
      </c>
      <c r="D562" t="s">
        <v>33</v>
      </c>
      <c r="E562" t="s">
        <v>38</v>
      </c>
      <c r="F562" t="s">
        <v>23</v>
      </c>
      <c r="G562" t="s">
        <v>24</v>
      </c>
      <c r="H562" s="2">
        <v>1</v>
      </c>
      <c r="I562" t="s">
        <v>1083</v>
      </c>
      <c r="K562">
        <v>8588760</v>
      </c>
      <c r="L562">
        <v>0</v>
      </c>
      <c r="M562">
        <v>0</v>
      </c>
      <c r="N562">
        <v>944763.6</v>
      </c>
      <c r="O562">
        <v>0</v>
      </c>
      <c r="P562">
        <v>0</v>
      </c>
      <c r="Q562">
        <v>0</v>
      </c>
      <c r="R562">
        <v>9533523.5999999996</v>
      </c>
      <c r="S562">
        <v>2006233</v>
      </c>
      <c r="T562">
        <v>23.358820132359</v>
      </c>
      <c r="U562" t="str">
        <f t="shared" si="8"/>
        <v>Week 1</v>
      </c>
    </row>
    <row r="563" spans="1:21" x14ac:dyDescent="0.25">
      <c r="A563">
        <v>562</v>
      </c>
      <c r="B563" t="s">
        <v>1084</v>
      </c>
      <c r="C563" s="1">
        <v>46057</v>
      </c>
      <c r="D563" t="s">
        <v>255</v>
      </c>
      <c r="E563" t="s">
        <v>205</v>
      </c>
      <c r="F563" t="s">
        <v>23</v>
      </c>
      <c r="G563" t="s">
        <v>24</v>
      </c>
      <c r="H563" s="2">
        <v>1</v>
      </c>
      <c r="I563" t="s">
        <v>1085</v>
      </c>
      <c r="J563" t="s">
        <v>26</v>
      </c>
      <c r="K563">
        <v>1173060</v>
      </c>
      <c r="L563">
        <v>0</v>
      </c>
      <c r="M563">
        <v>0</v>
      </c>
      <c r="N563">
        <v>129036.6</v>
      </c>
      <c r="O563">
        <v>0</v>
      </c>
      <c r="P563">
        <v>0</v>
      </c>
      <c r="Q563">
        <v>0</v>
      </c>
      <c r="R563">
        <v>1302096.6000000001</v>
      </c>
      <c r="S563">
        <v>513060</v>
      </c>
      <c r="T563">
        <v>43.736893253542</v>
      </c>
      <c r="U563" t="str">
        <f t="shared" si="8"/>
        <v>Week 1</v>
      </c>
    </row>
    <row r="564" spans="1:21" x14ac:dyDescent="0.25">
      <c r="A564">
        <v>563</v>
      </c>
      <c r="B564" t="s">
        <v>1086</v>
      </c>
      <c r="C564" s="1">
        <v>46056</v>
      </c>
      <c r="D564" t="s">
        <v>204</v>
      </c>
      <c r="E564" t="s">
        <v>205</v>
      </c>
      <c r="F564" t="s">
        <v>23</v>
      </c>
      <c r="G564" t="s">
        <v>24</v>
      </c>
      <c r="H564" s="2">
        <v>1</v>
      </c>
      <c r="I564" t="s">
        <v>1087</v>
      </c>
      <c r="J564" t="s">
        <v>26</v>
      </c>
      <c r="K564">
        <v>126579400</v>
      </c>
      <c r="L564">
        <v>0</v>
      </c>
      <c r="M564">
        <v>0</v>
      </c>
      <c r="N564">
        <v>13923734</v>
      </c>
      <c r="O564">
        <v>0</v>
      </c>
      <c r="P564">
        <v>0</v>
      </c>
      <c r="Q564">
        <v>0</v>
      </c>
      <c r="R564">
        <v>140503134</v>
      </c>
      <c r="S564">
        <v>50510109.573339</v>
      </c>
      <c r="T564">
        <v>39.903893977487002</v>
      </c>
      <c r="U564" t="str">
        <f t="shared" si="8"/>
        <v>Week 1</v>
      </c>
    </row>
    <row r="565" spans="1:21" x14ac:dyDescent="0.25">
      <c r="A565">
        <v>564</v>
      </c>
      <c r="B565" t="s">
        <v>1088</v>
      </c>
      <c r="C565" s="1">
        <v>46056</v>
      </c>
      <c r="D565" t="s">
        <v>204</v>
      </c>
      <c r="E565" t="s">
        <v>205</v>
      </c>
      <c r="F565" t="s">
        <v>265</v>
      </c>
      <c r="G565" t="s">
        <v>24</v>
      </c>
      <c r="H565" s="2">
        <v>1</v>
      </c>
      <c r="I565" t="s">
        <v>1089</v>
      </c>
      <c r="J565" t="s">
        <v>26</v>
      </c>
      <c r="K565">
        <v>21204193</v>
      </c>
      <c r="L565">
        <v>0</v>
      </c>
      <c r="M565">
        <v>0</v>
      </c>
      <c r="N565">
        <v>1513525.53</v>
      </c>
      <c r="O565">
        <v>0</v>
      </c>
      <c r="P565">
        <v>0</v>
      </c>
      <c r="Q565">
        <v>0</v>
      </c>
      <c r="R565">
        <v>22717718.530000001</v>
      </c>
      <c r="S565">
        <v>8168579.21</v>
      </c>
      <c r="T565">
        <v>38.523414732170998</v>
      </c>
      <c r="U565" t="str">
        <f t="shared" si="8"/>
        <v>Week 1</v>
      </c>
    </row>
    <row r="566" spans="1:21" x14ac:dyDescent="0.25">
      <c r="A566">
        <v>565</v>
      </c>
      <c r="B566" t="s">
        <v>1090</v>
      </c>
      <c r="C566" s="1">
        <v>46056</v>
      </c>
      <c r="D566" t="s">
        <v>33</v>
      </c>
      <c r="E566" t="s">
        <v>38</v>
      </c>
      <c r="F566" t="s">
        <v>30</v>
      </c>
      <c r="G566" t="s">
        <v>24</v>
      </c>
      <c r="H566" s="2">
        <v>1</v>
      </c>
      <c r="I566" t="s">
        <v>1091</v>
      </c>
      <c r="K566">
        <v>749553</v>
      </c>
      <c r="L566">
        <v>0</v>
      </c>
      <c r="M566">
        <v>0</v>
      </c>
      <c r="N566">
        <v>82450.83</v>
      </c>
      <c r="O566">
        <v>0</v>
      </c>
      <c r="P566">
        <v>0</v>
      </c>
      <c r="Q566">
        <v>0</v>
      </c>
      <c r="R566">
        <v>832003.83</v>
      </c>
      <c r="S566">
        <v>74553</v>
      </c>
      <c r="T566">
        <v>9.9463280114949004</v>
      </c>
      <c r="U566" t="str">
        <f t="shared" si="8"/>
        <v>Week 1</v>
      </c>
    </row>
    <row r="567" spans="1:21" x14ac:dyDescent="0.25">
      <c r="A567">
        <v>566</v>
      </c>
      <c r="B567" t="s">
        <v>1092</v>
      </c>
      <c r="C567" s="1">
        <v>46056</v>
      </c>
      <c r="D567" t="s">
        <v>252</v>
      </c>
      <c r="E567" t="s">
        <v>117</v>
      </c>
      <c r="F567" t="s">
        <v>23</v>
      </c>
      <c r="G567" t="s">
        <v>24</v>
      </c>
      <c r="H567" s="2">
        <v>1</v>
      </c>
      <c r="I567" t="s">
        <v>1093</v>
      </c>
      <c r="K567">
        <v>44949000</v>
      </c>
      <c r="L567">
        <v>0</v>
      </c>
      <c r="M567">
        <v>0</v>
      </c>
      <c r="N567">
        <v>617760</v>
      </c>
      <c r="O567">
        <v>0</v>
      </c>
      <c r="P567">
        <v>0</v>
      </c>
      <c r="Q567">
        <v>0</v>
      </c>
      <c r="R567">
        <v>45566760</v>
      </c>
      <c r="S567">
        <v>3518077</v>
      </c>
      <c r="T567">
        <v>7.8268192840774997</v>
      </c>
      <c r="U567" t="str">
        <f t="shared" si="8"/>
        <v>Week 1</v>
      </c>
    </row>
    <row r="568" spans="1:21" x14ac:dyDescent="0.25">
      <c r="A568">
        <v>567</v>
      </c>
      <c r="B568" t="s">
        <v>1094</v>
      </c>
      <c r="C568" s="1">
        <v>46056</v>
      </c>
      <c r="D568" t="s">
        <v>33</v>
      </c>
      <c r="E568" t="s">
        <v>38</v>
      </c>
      <c r="F568" t="s">
        <v>23</v>
      </c>
      <c r="G568" t="s">
        <v>24</v>
      </c>
      <c r="H568" s="2">
        <v>1</v>
      </c>
      <c r="I568" t="s">
        <v>1095</v>
      </c>
      <c r="K568">
        <v>10560000</v>
      </c>
      <c r="L568">
        <v>0</v>
      </c>
      <c r="M568">
        <v>0</v>
      </c>
      <c r="N568">
        <v>1161600</v>
      </c>
      <c r="O568">
        <v>0</v>
      </c>
      <c r="P568">
        <v>0</v>
      </c>
      <c r="Q568">
        <v>0</v>
      </c>
      <c r="R568">
        <v>11721600</v>
      </c>
      <c r="S568">
        <v>5669195.4954957003</v>
      </c>
      <c r="T568">
        <v>53.685563404314998</v>
      </c>
      <c r="U568" t="str">
        <f t="shared" si="8"/>
        <v>Week 1</v>
      </c>
    </row>
    <row r="569" spans="1:21" x14ac:dyDescent="0.25">
      <c r="A569">
        <v>568</v>
      </c>
      <c r="B569" t="s">
        <v>1096</v>
      </c>
      <c r="C569" s="1">
        <v>46056</v>
      </c>
      <c r="D569" t="s">
        <v>356</v>
      </c>
      <c r="E569" t="s">
        <v>205</v>
      </c>
      <c r="F569" t="s">
        <v>23</v>
      </c>
      <c r="G569" t="s">
        <v>24</v>
      </c>
      <c r="H569" s="2">
        <v>1</v>
      </c>
      <c r="I569" t="s">
        <v>1097</v>
      </c>
      <c r="K569">
        <v>42290000</v>
      </c>
      <c r="L569">
        <v>0</v>
      </c>
      <c r="M569">
        <v>0</v>
      </c>
      <c r="N569">
        <v>4651900</v>
      </c>
      <c r="O569">
        <v>0</v>
      </c>
      <c r="P569">
        <v>0</v>
      </c>
      <c r="Q569">
        <v>0</v>
      </c>
      <c r="R569">
        <v>46941900</v>
      </c>
      <c r="S569">
        <v>6407625.2252251999</v>
      </c>
      <c r="T569">
        <v>15.151632123965999</v>
      </c>
      <c r="U569" t="str">
        <f t="shared" si="8"/>
        <v>Week 1</v>
      </c>
    </row>
    <row r="570" spans="1:21" x14ac:dyDescent="0.25">
      <c r="A570">
        <v>569</v>
      </c>
      <c r="B570" t="s">
        <v>1098</v>
      </c>
      <c r="C570" s="1">
        <v>46056</v>
      </c>
      <c r="D570" t="s">
        <v>255</v>
      </c>
      <c r="E570" t="s">
        <v>205</v>
      </c>
      <c r="F570" t="s">
        <v>30</v>
      </c>
      <c r="G570" t="s">
        <v>24</v>
      </c>
      <c r="H570" s="2">
        <v>1</v>
      </c>
      <c r="I570" t="s">
        <v>1099</v>
      </c>
      <c r="J570" t="s">
        <v>26</v>
      </c>
      <c r="K570">
        <v>24205011</v>
      </c>
      <c r="L570">
        <v>0</v>
      </c>
      <c r="M570">
        <v>0</v>
      </c>
      <c r="N570">
        <v>2662551.21</v>
      </c>
      <c r="O570">
        <v>0</v>
      </c>
      <c r="P570">
        <v>0</v>
      </c>
      <c r="Q570">
        <v>0</v>
      </c>
      <c r="R570">
        <v>26867562.210000001</v>
      </c>
      <c r="S570">
        <v>2213119.1383783999</v>
      </c>
      <c r="T570">
        <v>9.1432271539904004</v>
      </c>
      <c r="U570" t="str">
        <f t="shared" si="8"/>
        <v>Week 1</v>
      </c>
    </row>
    <row r="571" spans="1:21" x14ac:dyDescent="0.25">
      <c r="A571">
        <v>570</v>
      </c>
      <c r="B571" t="s">
        <v>1100</v>
      </c>
      <c r="C571" s="1">
        <v>46056</v>
      </c>
      <c r="D571" t="s">
        <v>255</v>
      </c>
      <c r="E571" t="s">
        <v>205</v>
      </c>
      <c r="F571" t="s">
        <v>30</v>
      </c>
      <c r="G571" t="s">
        <v>24</v>
      </c>
      <c r="H571" s="2">
        <v>1</v>
      </c>
      <c r="I571" t="s">
        <v>1101</v>
      </c>
      <c r="J571" t="s">
        <v>57</v>
      </c>
      <c r="K571">
        <v>226463680</v>
      </c>
      <c r="L571">
        <v>0</v>
      </c>
      <c r="M571">
        <v>0</v>
      </c>
      <c r="N571">
        <v>24911004.800000001</v>
      </c>
      <c r="O571">
        <v>0</v>
      </c>
      <c r="P571">
        <v>0</v>
      </c>
      <c r="Q571">
        <v>0</v>
      </c>
      <c r="R571">
        <v>251374684.80000001</v>
      </c>
      <c r="S571">
        <v>58439591</v>
      </c>
      <c r="T571">
        <v>25.805281888909999</v>
      </c>
      <c r="U571" t="str">
        <f t="shared" si="8"/>
        <v>Week 1</v>
      </c>
    </row>
    <row r="572" spans="1:21" x14ac:dyDescent="0.25">
      <c r="A572">
        <v>571</v>
      </c>
      <c r="B572" t="s">
        <v>1102</v>
      </c>
      <c r="C572" s="1">
        <v>46056</v>
      </c>
      <c r="D572" t="s">
        <v>54</v>
      </c>
      <c r="E572" t="s">
        <v>55</v>
      </c>
      <c r="F572" t="s">
        <v>23</v>
      </c>
      <c r="G572" t="s">
        <v>24</v>
      </c>
      <c r="H572" s="2">
        <v>1</v>
      </c>
      <c r="I572" t="s">
        <v>1103</v>
      </c>
      <c r="K572">
        <v>11822000</v>
      </c>
      <c r="L572">
        <v>0</v>
      </c>
      <c r="M572">
        <v>0</v>
      </c>
      <c r="N572">
        <v>0</v>
      </c>
      <c r="O572">
        <v>0</v>
      </c>
      <c r="P572">
        <v>0</v>
      </c>
      <c r="Q572">
        <v>0</v>
      </c>
      <c r="R572">
        <v>11822000</v>
      </c>
      <c r="S572">
        <v>2826207.2972972998</v>
      </c>
      <c r="T572">
        <v>23.906338160187001</v>
      </c>
      <c r="U572" t="str">
        <f t="shared" si="8"/>
        <v>Week 1</v>
      </c>
    </row>
    <row r="573" spans="1:21" x14ac:dyDescent="0.25">
      <c r="A573">
        <v>572</v>
      </c>
      <c r="B573" t="s">
        <v>1104</v>
      </c>
      <c r="C573" s="1">
        <v>46056</v>
      </c>
      <c r="D573" t="s">
        <v>54</v>
      </c>
      <c r="E573" t="s">
        <v>55</v>
      </c>
      <c r="F573" t="s">
        <v>23</v>
      </c>
      <c r="G573" t="s">
        <v>24</v>
      </c>
      <c r="H573" s="2">
        <v>1</v>
      </c>
      <c r="I573" t="s">
        <v>944</v>
      </c>
      <c r="K573">
        <v>6498276</v>
      </c>
      <c r="L573">
        <v>0</v>
      </c>
      <c r="M573">
        <v>0</v>
      </c>
      <c r="N573">
        <v>0</v>
      </c>
      <c r="O573">
        <v>0</v>
      </c>
      <c r="P573">
        <v>0</v>
      </c>
      <c r="Q573">
        <v>0</v>
      </c>
      <c r="R573">
        <v>6498276</v>
      </c>
      <c r="S573">
        <v>1409171.1351351</v>
      </c>
      <c r="T573">
        <v>21.685307535955001</v>
      </c>
      <c r="U573" t="str">
        <f t="shared" si="8"/>
        <v>Week 1</v>
      </c>
    </row>
    <row r="574" spans="1:21" x14ac:dyDescent="0.25">
      <c r="A574">
        <v>573</v>
      </c>
      <c r="B574" t="s">
        <v>1105</v>
      </c>
      <c r="C574" s="1">
        <v>46056</v>
      </c>
      <c r="D574" t="s">
        <v>204</v>
      </c>
      <c r="E574" t="s">
        <v>205</v>
      </c>
      <c r="F574" t="s">
        <v>23</v>
      </c>
      <c r="G574" t="s">
        <v>24</v>
      </c>
      <c r="H574" s="2">
        <v>1</v>
      </c>
      <c r="I574" t="s">
        <v>602</v>
      </c>
      <c r="J574" t="s">
        <v>26</v>
      </c>
      <c r="K574">
        <v>20082790</v>
      </c>
      <c r="L574">
        <v>0</v>
      </c>
      <c r="M574">
        <v>0</v>
      </c>
      <c r="N574">
        <v>2209106.9</v>
      </c>
      <c r="O574">
        <v>0</v>
      </c>
      <c r="P574">
        <v>0</v>
      </c>
      <c r="Q574">
        <v>0</v>
      </c>
      <c r="R574">
        <v>22291896.899999999</v>
      </c>
      <c r="S574">
        <v>5899905.2199999997</v>
      </c>
      <c r="T574">
        <v>29.377916215825</v>
      </c>
      <c r="U574" t="str">
        <f t="shared" si="8"/>
        <v>Week 1</v>
      </c>
    </row>
    <row r="575" spans="1:21" x14ac:dyDescent="0.25">
      <c r="A575">
        <v>574</v>
      </c>
      <c r="B575" t="s">
        <v>1106</v>
      </c>
      <c r="C575" s="1">
        <v>46056</v>
      </c>
      <c r="D575" t="s">
        <v>54</v>
      </c>
      <c r="E575" t="s">
        <v>55</v>
      </c>
      <c r="F575" t="s">
        <v>23</v>
      </c>
      <c r="G575" t="s">
        <v>24</v>
      </c>
      <c r="H575" s="2">
        <v>1</v>
      </c>
      <c r="I575" t="s">
        <v>1107</v>
      </c>
      <c r="K575">
        <v>1708428.5714286</v>
      </c>
      <c r="L575">
        <v>0</v>
      </c>
      <c r="M575">
        <v>0</v>
      </c>
      <c r="N575">
        <v>0</v>
      </c>
      <c r="O575">
        <v>0</v>
      </c>
      <c r="P575">
        <v>0</v>
      </c>
      <c r="Q575">
        <v>0</v>
      </c>
      <c r="R575">
        <v>1708428.5714286</v>
      </c>
      <c r="S575">
        <v>929373.07350145001</v>
      </c>
      <c r="T575">
        <v>54.399293540515004</v>
      </c>
      <c r="U575" t="str">
        <f t="shared" si="8"/>
        <v>Week 1</v>
      </c>
    </row>
    <row r="576" spans="1:21" x14ac:dyDescent="0.25">
      <c r="A576">
        <v>575</v>
      </c>
      <c r="B576" t="s">
        <v>1108</v>
      </c>
      <c r="C576" s="1">
        <v>46056</v>
      </c>
      <c r="D576" t="s">
        <v>429</v>
      </c>
      <c r="E576" t="s">
        <v>205</v>
      </c>
      <c r="F576" t="s">
        <v>30</v>
      </c>
      <c r="G576" t="s">
        <v>24</v>
      </c>
      <c r="H576" s="2">
        <v>1</v>
      </c>
      <c r="I576" t="s">
        <v>1109</v>
      </c>
      <c r="J576" t="s">
        <v>26</v>
      </c>
      <c r="K576">
        <v>70000</v>
      </c>
      <c r="L576">
        <v>0</v>
      </c>
      <c r="M576">
        <v>0</v>
      </c>
      <c r="N576">
        <v>7700</v>
      </c>
      <c r="O576">
        <v>0</v>
      </c>
      <c r="P576">
        <v>0</v>
      </c>
      <c r="Q576">
        <v>0</v>
      </c>
      <c r="R576">
        <v>77700</v>
      </c>
      <c r="S576">
        <v>14800</v>
      </c>
      <c r="T576">
        <v>21.142857142857</v>
      </c>
      <c r="U576" t="str">
        <f t="shared" si="8"/>
        <v>Week 1</v>
      </c>
    </row>
    <row r="577" spans="1:21" x14ac:dyDescent="0.25">
      <c r="A577">
        <v>576</v>
      </c>
      <c r="B577" t="s">
        <v>1110</v>
      </c>
      <c r="C577" s="1">
        <v>46056</v>
      </c>
      <c r="D577" t="s">
        <v>21</v>
      </c>
      <c r="E577" t="s">
        <v>22</v>
      </c>
      <c r="F577" t="s">
        <v>30</v>
      </c>
      <c r="G577" t="s">
        <v>24</v>
      </c>
      <c r="H577" s="2">
        <v>1</v>
      </c>
      <c r="I577" t="s">
        <v>1111</v>
      </c>
      <c r="J577" t="s">
        <v>26</v>
      </c>
      <c r="K577">
        <v>56150500</v>
      </c>
      <c r="L577">
        <v>0</v>
      </c>
      <c r="M577">
        <v>0</v>
      </c>
      <c r="N577">
        <v>0</v>
      </c>
      <c r="O577">
        <v>0</v>
      </c>
      <c r="P577">
        <v>0</v>
      </c>
      <c r="Q577">
        <v>0</v>
      </c>
      <c r="R577">
        <v>56150500</v>
      </c>
      <c r="S577">
        <v>1681170</v>
      </c>
      <c r="T577">
        <v>2.9940427957007998</v>
      </c>
      <c r="U577" t="str">
        <f t="shared" si="8"/>
        <v>Week 1</v>
      </c>
    </row>
    <row r="578" spans="1:21" x14ac:dyDescent="0.25">
      <c r="A578">
        <v>577</v>
      </c>
      <c r="B578" t="s">
        <v>1112</v>
      </c>
      <c r="C578" s="1">
        <v>46056</v>
      </c>
      <c r="D578" t="s">
        <v>33</v>
      </c>
      <c r="E578" t="s">
        <v>38</v>
      </c>
      <c r="F578" t="s">
        <v>30</v>
      </c>
      <c r="G578" t="s">
        <v>24</v>
      </c>
      <c r="H578" s="2">
        <v>1</v>
      </c>
      <c r="I578" t="s">
        <v>1113</v>
      </c>
      <c r="K578">
        <v>14513800</v>
      </c>
      <c r="L578">
        <v>0</v>
      </c>
      <c r="M578">
        <v>0</v>
      </c>
      <c r="N578">
        <v>1596518</v>
      </c>
      <c r="O578">
        <v>0</v>
      </c>
      <c r="P578">
        <v>0</v>
      </c>
      <c r="Q578">
        <v>0</v>
      </c>
      <c r="R578">
        <v>16110318</v>
      </c>
      <c r="S578">
        <v>2663800</v>
      </c>
      <c r="T578">
        <v>18.353566950074999</v>
      </c>
      <c r="U578" t="str">
        <f t="shared" si="8"/>
        <v>Week 1</v>
      </c>
    </row>
    <row r="579" spans="1:21" x14ac:dyDescent="0.25">
      <c r="A579">
        <v>578</v>
      </c>
      <c r="B579" t="s">
        <v>1114</v>
      </c>
      <c r="C579" s="1">
        <v>46056</v>
      </c>
      <c r="D579" t="s">
        <v>186</v>
      </c>
      <c r="E579" t="s">
        <v>117</v>
      </c>
      <c r="F579" t="s">
        <v>23</v>
      </c>
      <c r="G579" t="s">
        <v>24</v>
      </c>
      <c r="H579" s="2">
        <v>1</v>
      </c>
      <c r="I579" t="s">
        <v>1115</v>
      </c>
      <c r="J579" t="s">
        <v>26</v>
      </c>
      <c r="K579">
        <v>996300</v>
      </c>
      <c r="L579">
        <v>0</v>
      </c>
      <c r="M579">
        <v>0</v>
      </c>
      <c r="N579">
        <v>0</v>
      </c>
      <c r="O579">
        <v>0</v>
      </c>
      <c r="P579">
        <v>0</v>
      </c>
      <c r="Q579">
        <v>0</v>
      </c>
      <c r="R579">
        <v>996300</v>
      </c>
      <c r="S579">
        <v>664200</v>
      </c>
      <c r="T579">
        <v>66.666666666666998</v>
      </c>
      <c r="U579" t="str">
        <f t="shared" ref="U579:U642" si="9">"Week " &amp;IF(DAY(C579)&gt;=24,4,INT((DAY(C579)-1)/7)+1)</f>
        <v>Week 1</v>
      </c>
    </row>
    <row r="580" spans="1:21" x14ac:dyDescent="0.25">
      <c r="A580">
        <v>579</v>
      </c>
      <c r="B580" t="s">
        <v>1116</v>
      </c>
      <c r="C580" s="1">
        <v>46056</v>
      </c>
      <c r="D580" t="s">
        <v>252</v>
      </c>
      <c r="E580" t="s">
        <v>117</v>
      </c>
      <c r="F580" t="s">
        <v>23</v>
      </c>
      <c r="G580" t="s">
        <v>24</v>
      </c>
      <c r="H580" s="2">
        <v>1</v>
      </c>
      <c r="I580" t="s">
        <v>1117</v>
      </c>
      <c r="J580" t="s">
        <v>26</v>
      </c>
      <c r="K580">
        <v>4295000</v>
      </c>
      <c r="L580">
        <v>0</v>
      </c>
      <c r="M580">
        <v>0</v>
      </c>
      <c r="N580">
        <v>0</v>
      </c>
      <c r="O580">
        <v>0</v>
      </c>
      <c r="P580">
        <v>0</v>
      </c>
      <c r="Q580">
        <v>0</v>
      </c>
      <c r="R580">
        <v>4295000</v>
      </c>
      <c r="S580">
        <v>1145000</v>
      </c>
      <c r="T580">
        <v>26.658905704306999</v>
      </c>
      <c r="U580" t="str">
        <f t="shared" si="9"/>
        <v>Week 1</v>
      </c>
    </row>
    <row r="581" spans="1:21" x14ac:dyDescent="0.25">
      <c r="A581">
        <v>580</v>
      </c>
      <c r="B581" t="s">
        <v>1118</v>
      </c>
      <c r="C581" s="1">
        <v>46056</v>
      </c>
      <c r="D581" t="s">
        <v>252</v>
      </c>
      <c r="E581" t="s">
        <v>117</v>
      </c>
      <c r="F581" t="s">
        <v>23</v>
      </c>
      <c r="G581" t="s">
        <v>24</v>
      </c>
      <c r="H581" s="2">
        <v>1</v>
      </c>
      <c r="I581" t="s">
        <v>1117</v>
      </c>
      <c r="J581" t="s">
        <v>26</v>
      </c>
      <c r="K581">
        <v>66935880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66935880</v>
      </c>
      <c r="S581">
        <v>13792880</v>
      </c>
      <c r="T581">
        <v>20.606108413007</v>
      </c>
      <c r="U581" t="str">
        <f t="shared" si="9"/>
        <v>Week 1</v>
      </c>
    </row>
    <row r="582" spans="1:21" x14ac:dyDescent="0.25">
      <c r="C582" s="1"/>
      <c r="H582" s="2"/>
    </row>
    <row r="583" spans="1:21" x14ac:dyDescent="0.25">
      <c r="C583" s="1"/>
      <c r="H583" s="2"/>
    </row>
    <row r="584" spans="1:21" x14ac:dyDescent="0.25">
      <c r="C584" s="1"/>
      <c r="H584" s="2"/>
    </row>
    <row r="585" spans="1:21" x14ac:dyDescent="0.25">
      <c r="A585">
        <v>584</v>
      </c>
      <c r="B585" t="s">
        <v>1119</v>
      </c>
      <c r="C585" s="1">
        <v>46055</v>
      </c>
      <c r="D585" t="s">
        <v>54</v>
      </c>
      <c r="E585" t="s">
        <v>55</v>
      </c>
      <c r="F585" t="s">
        <v>23</v>
      </c>
      <c r="G585" t="s">
        <v>24</v>
      </c>
      <c r="H585" s="2">
        <v>1</v>
      </c>
      <c r="I585" t="s">
        <v>1120</v>
      </c>
      <c r="K585">
        <v>4650000</v>
      </c>
      <c r="L585">
        <v>0</v>
      </c>
      <c r="M585">
        <v>0</v>
      </c>
      <c r="N585">
        <v>0</v>
      </c>
      <c r="O585">
        <v>0</v>
      </c>
      <c r="P585">
        <v>0</v>
      </c>
      <c r="Q585">
        <v>0</v>
      </c>
      <c r="R585">
        <v>4650000</v>
      </c>
      <c r="S585">
        <v>1100000</v>
      </c>
      <c r="T585">
        <v>23.655913978495001</v>
      </c>
      <c r="U585" t="str">
        <f t="shared" si="9"/>
        <v>Week 1</v>
      </c>
    </row>
    <row r="586" spans="1:21" x14ac:dyDescent="0.25">
      <c r="A586">
        <v>585</v>
      </c>
      <c r="B586" t="s">
        <v>1121</v>
      </c>
      <c r="C586" s="1">
        <v>46055</v>
      </c>
      <c r="D586" t="s">
        <v>520</v>
      </c>
      <c r="E586" t="s">
        <v>38</v>
      </c>
      <c r="F586" t="s">
        <v>23</v>
      </c>
      <c r="G586" t="s">
        <v>24</v>
      </c>
      <c r="H586" s="2">
        <v>1</v>
      </c>
      <c r="I586" t="s">
        <v>822</v>
      </c>
      <c r="J586" t="s">
        <v>26</v>
      </c>
      <c r="K586">
        <v>70790394.75</v>
      </c>
      <c r="L586">
        <v>0</v>
      </c>
      <c r="M586">
        <v>0</v>
      </c>
      <c r="N586">
        <v>7786943.4225000003</v>
      </c>
      <c r="O586">
        <v>0</v>
      </c>
      <c r="P586">
        <v>0</v>
      </c>
      <c r="Q586">
        <v>0</v>
      </c>
      <c r="R586">
        <v>78577338.172499999</v>
      </c>
      <c r="S586">
        <v>9830989.75</v>
      </c>
      <c r="T586">
        <v>13.887462818534001</v>
      </c>
      <c r="U586" t="str">
        <f t="shared" si="9"/>
        <v>Week 1</v>
      </c>
    </row>
    <row r="587" spans="1:21" x14ac:dyDescent="0.25">
      <c r="A587">
        <v>586</v>
      </c>
      <c r="B587" t="s">
        <v>1122</v>
      </c>
      <c r="C587" s="1">
        <v>46055</v>
      </c>
      <c r="D587" t="s">
        <v>252</v>
      </c>
      <c r="E587" t="s">
        <v>117</v>
      </c>
      <c r="F587" t="s">
        <v>23</v>
      </c>
      <c r="G587" t="s">
        <v>24</v>
      </c>
      <c r="H587" s="2">
        <v>1</v>
      </c>
      <c r="I587" t="s">
        <v>1123</v>
      </c>
      <c r="J587" t="s">
        <v>26</v>
      </c>
      <c r="K587">
        <v>3700000</v>
      </c>
      <c r="L587">
        <v>0</v>
      </c>
      <c r="M587">
        <v>0</v>
      </c>
      <c r="N587">
        <v>0</v>
      </c>
      <c r="O587">
        <v>0</v>
      </c>
      <c r="P587">
        <v>0</v>
      </c>
      <c r="Q587">
        <v>0</v>
      </c>
      <c r="R587">
        <v>3700000</v>
      </c>
      <c r="S587">
        <v>828500</v>
      </c>
      <c r="T587">
        <v>22.391891891892001</v>
      </c>
      <c r="U587" t="str">
        <f t="shared" si="9"/>
        <v>Week 1</v>
      </c>
    </row>
    <row r="588" spans="1:21" x14ac:dyDescent="0.25">
      <c r="C588" s="1"/>
      <c r="H588" s="2"/>
    </row>
    <row r="589" spans="1:21" x14ac:dyDescent="0.25">
      <c r="C589" s="1"/>
      <c r="H589" s="2"/>
    </row>
    <row r="590" spans="1:21" x14ac:dyDescent="0.25">
      <c r="A590">
        <v>589</v>
      </c>
      <c r="B590" t="s">
        <v>1124</v>
      </c>
      <c r="C590" s="1">
        <v>46055</v>
      </c>
      <c r="D590" t="s">
        <v>54</v>
      </c>
      <c r="E590" t="s">
        <v>55</v>
      </c>
      <c r="F590" t="s">
        <v>30</v>
      </c>
      <c r="G590" t="s">
        <v>24</v>
      </c>
      <c r="H590" s="2">
        <v>1</v>
      </c>
      <c r="I590" t="s">
        <v>1125</v>
      </c>
      <c r="K590">
        <v>21564900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21564900</v>
      </c>
      <c r="S590">
        <v>3794900</v>
      </c>
      <c r="T590">
        <v>17.597577544991999</v>
      </c>
      <c r="U590" t="str">
        <f t="shared" si="9"/>
        <v>Week 1</v>
      </c>
    </row>
    <row r="591" spans="1:21" x14ac:dyDescent="0.25">
      <c r="A591">
        <v>590</v>
      </c>
      <c r="B591" t="s">
        <v>1126</v>
      </c>
      <c r="C591" s="1">
        <v>46055</v>
      </c>
      <c r="D591" t="s">
        <v>252</v>
      </c>
      <c r="E591" t="s">
        <v>117</v>
      </c>
      <c r="F591" t="s">
        <v>23</v>
      </c>
      <c r="G591" t="s">
        <v>24</v>
      </c>
      <c r="H591" s="2">
        <v>1</v>
      </c>
      <c r="I591" t="s">
        <v>1123</v>
      </c>
      <c r="J591" t="s">
        <v>26</v>
      </c>
      <c r="K591">
        <v>15622200</v>
      </c>
      <c r="L591">
        <v>0</v>
      </c>
      <c r="M591">
        <v>0</v>
      </c>
      <c r="N591">
        <v>1718442</v>
      </c>
      <c r="O591">
        <v>0</v>
      </c>
      <c r="P591">
        <v>0</v>
      </c>
      <c r="Q591">
        <v>0</v>
      </c>
      <c r="R591">
        <v>17340642</v>
      </c>
      <c r="S591">
        <v>2995000</v>
      </c>
      <c r="T591">
        <v>19.171435521245002</v>
      </c>
      <c r="U591" t="str">
        <f t="shared" si="9"/>
        <v>Week 1</v>
      </c>
    </row>
    <row r="592" spans="1:21" x14ac:dyDescent="0.25">
      <c r="A592">
        <v>591</v>
      </c>
      <c r="B592" t="s">
        <v>1127</v>
      </c>
      <c r="C592" s="1">
        <v>46055</v>
      </c>
      <c r="D592" t="s">
        <v>21</v>
      </c>
      <c r="E592" t="s">
        <v>55</v>
      </c>
      <c r="F592" t="s">
        <v>30</v>
      </c>
      <c r="G592" t="s">
        <v>24</v>
      </c>
      <c r="H592" s="2">
        <v>1</v>
      </c>
      <c r="I592" t="s">
        <v>1128</v>
      </c>
      <c r="K592">
        <v>21564900</v>
      </c>
      <c r="L592">
        <v>0</v>
      </c>
      <c r="M592">
        <v>0</v>
      </c>
      <c r="N592">
        <v>2372139</v>
      </c>
      <c r="O592">
        <v>0</v>
      </c>
      <c r="P592">
        <v>0</v>
      </c>
      <c r="Q592">
        <v>0</v>
      </c>
      <c r="R592">
        <v>23937039</v>
      </c>
      <c r="S592">
        <v>3794900</v>
      </c>
      <c r="T592">
        <v>17.597577544991999</v>
      </c>
      <c r="U592" t="str">
        <f t="shared" si="9"/>
        <v>Week 1</v>
      </c>
    </row>
    <row r="593" spans="1:21" x14ac:dyDescent="0.25">
      <c r="A593">
        <v>592</v>
      </c>
      <c r="B593" t="s">
        <v>1129</v>
      </c>
      <c r="C593" s="1">
        <v>46055</v>
      </c>
      <c r="D593" t="s">
        <v>37</v>
      </c>
      <c r="E593" t="s">
        <v>38</v>
      </c>
      <c r="F593" t="s">
        <v>30</v>
      </c>
      <c r="G593" t="s">
        <v>24</v>
      </c>
      <c r="H593" s="2">
        <v>1</v>
      </c>
      <c r="I593" t="s">
        <v>775</v>
      </c>
      <c r="K593">
        <v>206170</v>
      </c>
      <c r="L593">
        <v>0</v>
      </c>
      <c r="M593">
        <v>0</v>
      </c>
      <c r="N593">
        <v>22678.7</v>
      </c>
      <c r="O593">
        <v>0</v>
      </c>
      <c r="P593">
        <v>0</v>
      </c>
      <c r="Q593">
        <v>0</v>
      </c>
      <c r="R593">
        <v>228848.7</v>
      </c>
      <c r="S593">
        <v>70359.189189190001</v>
      </c>
      <c r="T593">
        <v>34.126783328898</v>
      </c>
      <c r="U593" t="str">
        <f t="shared" si="9"/>
        <v>Week 1</v>
      </c>
    </row>
    <row r="594" spans="1:21" x14ac:dyDescent="0.25">
      <c r="A594">
        <v>593</v>
      </c>
      <c r="B594" t="s">
        <v>1130</v>
      </c>
      <c r="C594" s="1">
        <v>46055</v>
      </c>
      <c r="D594" t="s">
        <v>33</v>
      </c>
      <c r="E594" t="s">
        <v>38</v>
      </c>
      <c r="F594" t="s">
        <v>30</v>
      </c>
      <c r="G594" t="s">
        <v>24</v>
      </c>
      <c r="H594" s="2">
        <v>1</v>
      </c>
      <c r="I594" t="s">
        <v>1091</v>
      </c>
      <c r="K594">
        <v>1960000</v>
      </c>
      <c r="L594">
        <v>0</v>
      </c>
      <c r="M594">
        <v>0</v>
      </c>
      <c r="N594">
        <v>215600</v>
      </c>
      <c r="O594">
        <v>0</v>
      </c>
      <c r="P594">
        <v>0</v>
      </c>
      <c r="Q594">
        <v>0</v>
      </c>
      <c r="R594">
        <v>2175600</v>
      </c>
      <c r="S594">
        <v>387927.93</v>
      </c>
      <c r="T594">
        <v>19.792241326530998</v>
      </c>
      <c r="U594" t="str">
        <f t="shared" si="9"/>
        <v>Week 1</v>
      </c>
    </row>
    <row r="595" spans="1:21" x14ac:dyDescent="0.25">
      <c r="A595">
        <v>594</v>
      </c>
      <c r="B595" t="s">
        <v>1131</v>
      </c>
      <c r="C595" s="1">
        <v>46055</v>
      </c>
      <c r="D595" t="s">
        <v>404</v>
      </c>
      <c r="E595" t="s">
        <v>22</v>
      </c>
      <c r="F595" t="s">
        <v>23</v>
      </c>
      <c r="G595" t="s">
        <v>24</v>
      </c>
      <c r="H595" s="2">
        <v>1</v>
      </c>
      <c r="I595" t="s">
        <v>1132</v>
      </c>
      <c r="J595" t="s">
        <v>26</v>
      </c>
      <c r="K595">
        <v>1900000</v>
      </c>
      <c r="L595">
        <v>0</v>
      </c>
      <c r="M595">
        <v>0</v>
      </c>
      <c r="N595">
        <v>209000</v>
      </c>
      <c r="O595">
        <v>0</v>
      </c>
      <c r="P595">
        <v>0</v>
      </c>
      <c r="Q595">
        <v>0</v>
      </c>
      <c r="R595">
        <v>2109000</v>
      </c>
      <c r="S595">
        <v>510000</v>
      </c>
      <c r="T595">
        <v>26.842105263158</v>
      </c>
      <c r="U595" t="str">
        <f t="shared" si="9"/>
        <v>Week 1</v>
      </c>
    </row>
    <row r="596" spans="1:21" x14ac:dyDescent="0.25">
      <c r="A596">
        <v>595</v>
      </c>
      <c r="B596" t="s">
        <v>1133</v>
      </c>
      <c r="C596" s="1">
        <v>46055</v>
      </c>
      <c r="D596" t="s">
        <v>28</v>
      </c>
      <c r="E596" t="s">
        <v>205</v>
      </c>
      <c r="F596" t="s">
        <v>39</v>
      </c>
      <c r="G596" t="s">
        <v>24</v>
      </c>
      <c r="H596" s="2">
        <v>1</v>
      </c>
      <c r="I596" t="s">
        <v>1134</v>
      </c>
      <c r="J596" t="s">
        <v>26</v>
      </c>
      <c r="K596">
        <v>19154000</v>
      </c>
      <c r="L596">
        <v>0</v>
      </c>
      <c r="M596">
        <v>0</v>
      </c>
      <c r="N596">
        <v>2106940</v>
      </c>
      <c r="O596">
        <v>0</v>
      </c>
      <c r="P596">
        <v>0</v>
      </c>
      <c r="Q596">
        <v>0</v>
      </c>
      <c r="R596">
        <v>21260940</v>
      </c>
      <c r="S596">
        <v>4272000</v>
      </c>
      <c r="T596">
        <v>22.303435313773001</v>
      </c>
      <c r="U596" t="str">
        <f t="shared" si="9"/>
        <v>Week 1</v>
      </c>
    </row>
    <row r="597" spans="1:21" x14ac:dyDescent="0.25">
      <c r="A597">
        <v>596</v>
      </c>
      <c r="B597" t="s">
        <v>1135</v>
      </c>
      <c r="C597" s="1">
        <v>46055</v>
      </c>
      <c r="D597" t="s">
        <v>113</v>
      </c>
      <c r="E597" t="s">
        <v>38</v>
      </c>
      <c r="F597" t="s">
        <v>30</v>
      </c>
      <c r="G597" t="s">
        <v>24</v>
      </c>
      <c r="H597" s="2">
        <v>1</v>
      </c>
      <c r="I597" t="s">
        <v>1136</v>
      </c>
      <c r="K597">
        <v>39565616.439999998</v>
      </c>
      <c r="L597">
        <v>0</v>
      </c>
      <c r="M597">
        <v>0</v>
      </c>
      <c r="N597">
        <v>4352217.8084000004</v>
      </c>
      <c r="O597">
        <v>0</v>
      </c>
      <c r="P597">
        <v>0</v>
      </c>
      <c r="Q597">
        <v>0</v>
      </c>
      <c r="R597">
        <v>43917834.248400003</v>
      </c>
      <c r="S597">
        <v>10765129.439999999</v>
      </c>
      <c r="T597">
        <v>27.208294495613</v>
      </c>
      <c r="U597" t="str">
        <f t="shared" si="9"/>
        <v>Week 1</v>
      </c>
    </row>
    <row r="598" spans="1:21" x14ac:dyDescent="0.25">
      <c r="A598">
        <v>597</v>
      </c>
      <c r="B598" t="s">
        <v>1137</v>
      </c>
      <c r="C598" s="1">
        <v>46055</v>
      </c>
      <c r="D598" t="s">
        <v>1138</v>
      </c>
      <c r="E598" t="s">
        <v>194</v>
      </c>
      <c r="F598" t="s">
        <v>23</v>
      </c>
      <c r="G598" t="s">
        <v>24</v>
      </c>
      <c r="H598" s="2">
        <v>1</v>
      </c>
      <c r="I598" t="s">
        <v>1139</v>
      </c>
      <c r="J598" t="s">
        <v>57</v>
      </c>
      <c r="K598">
        <v>265491460</v>
      </c>
      <c r="L598">
        <v>0</v>
      </c>
      <c r="M598">
        <v>0</v>
      </c>
      <c r="N598">
        <v>29204060.600000001</v>
      </c>
      <c r="O598">
        <v>0</v>
      </c>
      <c r="P598">
        <v>0</v>
      </c>
      <c r="Q598">
        <v>0</v>
      </c>
      <c r="R598">
        <v>294695520.60000002</v>
      </c>
      <c r="S598">
        <v>115525541.11206999</v>
      </c>
      <c r="T598">
        <v>43.513844517663003</v>
      </c>
      <c r="U598" t="str">
        <f t="shared" si="9"/>
        <v>Week 1</v>
      </c>
    </row>
    <row r="599" spans="1:21" x14ac:dyDescent="0.25">
      <c r="A599">
        <v>598</v>
      </c>
      <c r="B599" t="s">
        <v>1140</v>
      </c>
      <c r="C599" s="1">
        <v>46055</v>
      </c>
      <c r="D599" t="s">
        <v>21</v>
      </c>
      <c r="E599" t="s">
        <v>22</v>
      </c>
      <c r="F599" t="s">
        <v>23</v>
      </c>
      <c r="G599" t="s">
        <v>24</v>
      </c>
      <c r="H599" s="2">
        <v>1</v>
      </c>
      <c r="I599" t="s">
        <v>1141</v>
      </c>
      <c r="J599" t="s">
        <v>26</v>
      </c>
      <c r="K599">
        <v>6126549</v>
      </c>
      <c r="L599">
        <v>0</v>
      </c>
      <c r="M599">
        <v>0</v>
      </c>
      <c r="N599">
        <v>673920.39</v>
      </c>
      <c r="O599">
        <v>0</v>
      </c>
      <c r="P599">
        <v>0</v>
      </c>
      <c r="Q599">
        <v>0</v>
      </c>
      <c r="R599">
        <v>6800469.3899999997</v>
      </c>
      <c r="S599">
        <v>1747550.6594597001</v>
      </c>
      <c r="T599">
        <v>28.524225619671</v>
      </c>
      <c r="U599" t="str">
        <f t="shared" si="9"/>
        <v>Week 1</v>
      </c>
    </row>
    <row r="600" spans="1:21" x14ac:dyDescent="0.25">
      <c r="A600">
        <v>599</v>
      </c>
      <c r="B600" t="s">
        <v>1142</v>
      </c>
      <c r="C600" s="1">
        <v>46055</v>
      </c>
      <c r="D600" t="s">
        <v>37</v>
      </c>
      <c r="E600" t="s">
        <v>38</v>
      </c>
      <c r="F600" t="s">
        <v>23</v>
      </c>
      <c r="G600" t="s">
        <v>24</v>
      </c>
      <c r="H600" s="2">
        <v>1</v>
      </c>
      <c r="I600" t="s">
        <v>1143</v>
      </c>
      <c r="K600">
        <v>3852200</v>
      </c>
      <c r="L600">
        <v>0</v>
      </c>
      <c r="M600">
        <v>0</v>
      </c>
      <c r="N600">
        <v>423742</v>
      </c>
      <c r="O600">
        <v>0</v>
      </c>
      <c r="P600">
        <v>0</v>
      </c>
      <c r="Q600">
        <v>0</v>
      </c>
      <c r="R600">
        <v>4275942</v>
      </c>
      <c r="S600">
        <v>1342290</v>
      </c>
      <c r="T600">
        <v>34.844764030942997</v>
      </c>
      <c r="U600" t="str">
        <f t="shared" si="9"/>
        <v>Week 1</v>
      </c>
    </row>
    <row r="601" spans="1:21" x14ac:dyDescent="0.25">
      <c r="A601">
        <v>600</v>
      </c>
      <c r="B601" t="s">
        <v>1144</v>
      </c>
      <c r="C601" s="1">
        <v>46055</v>
      </c>
      <c r="D601" t="s">
        <v>520</v>
      </c>
      <c r="E601" t="s">
        <v>38</v>
      </c>
      <c r="F601" t="s">
        <v>23</v>
      </c>
      <c r="G601" t="s">
        <v>24</v>
      </c>
      <c r="H601" s="2">
        <v>1</v>
      </c>
      <c r="I601" t="s">
        <v>822</v>
      </c>
      <c r="K601">
        <v>150000</v>
      </c>
      <c r="L601">
        <v>0</v>
      </c>
      <c r="M601">
        <v>0</v>
      </c>
      <c r="N601">
        <v>16500</v>
      </c>
      <c r="O601">
        <v>0</v>
      </c>
      <c r="P601">
        <v>0</v>
      </c>
      <c r="Q601">
        <v>0</v>
      </c>
      <c r="R601">
        <v>166500</v>
      </c>
      <c r="S601">
        <v>91441.4</v>
      </c>
      <c r="T601">
        <v>60.960933333333003</v>
      </c>
      <c r="U601" t="str">
        <f t="shared" si="9"/>
        <v>Week 1</v>
      </c>
    </row>
    <row r="602" spans="1:21" x14ac:dyDescent="0.25">
      <c r="A602">
        <v>601</v>
      </c>
      <c r="B602" t="s">
        <v>1145</v>
      </c>
      <c r="C602" s="1">
        <v>46055</v>
      </c>
      <c r="D602" t="s">
        <v>37</v>
      </c>
      <c r="E602" t="s">
        <v>38</v>
      </c>
      <c r="F602" t="s">
        <v>23</v>
      </c>
      <c r="G602" t="s">
        <v>24</v>
      </c>
      <c r="H602" s="2">
        <v>1</v>
      </c>
      <c r="I602" t="s">
        <v>1143</v>
      </c>
      <c r="K602">
        <v>635000</v>
      </c>
      <c r="L602">
        <v>0</v>
      </c>
      <c r="M602">
        <v>0</v>
      </c>
      <c r="N602">
        <v>69850</v>
      </c>
      <c r="O602">
        <v>0</v>
      </c>
      <c r="P602">
        <v>0</v>
      </c>
      <c r="Q602">
        <v>0</v>
      </c>
      <c r="R602">
        <v>704850</v>
      </c>
      <c r="S602">
        <v>162400</v>
      </c>
      <c r="T602">
        <v>25.574803149606002</v>
      </c>
      <c r="U602" t="str">
        <f t="shared" si="9"/>
        <v>Week 1</v>
      </c>
    </row>
    <row r="603" spans="1:21" x14ac:dyDescent="0.25">
      <c r="A603">
        <v>602</v>
      </c>
      <c r="B603" t="s">
        <v>1146</v>
      </c>
      <c r="C603" s="1">
        <v>46055</v>
      </c>
      <c r="D603" t="s">
        <v>537</v>
      </c>
      <c r="E603" t="s">
        <v>22</v>
      </c>
      <c r="F603" t="s">
        <v>23</v>
      </c>
      <c r="G603" t="s">
        <v>24</v>
      </c>
      <c r="H603" s="2">
        <v>1</v>
      </c>
      <c r="I603" t="s">
        <v>1147</v>
      </c>
      <c r="J603" t="s">
        <v>26</v>
      </c>
      <c r="K603">
        <v>2250000</v>
      </c>
      <c r="L603">
        <v>0</v>
      </c>
      <c r="M603">
        <v>0</v>
      </c>
      <c r="N603">
        <v>247500</v>
      </c>
      <c r="O603">
        <v>0</v>
      </c>
      <c r="P603">
        <v>0</v>
      </c>
      <c r="Q603">
        <v>0</v>
      </c>
      <c r="R603">
        <v>2497500</v>
      </c>
      <c r="S603">
        <v>450000</v>
      </c>
      <c r="T603">
        <v>20</v>
      </c>
      <c r="U603" t="str">
        <f t="shared" si="9"/>
        <v>Week 1</v>
      </c>
    </row>
    <row r="604" spans="1:21" x14ac:dyDescent="0.25">
      <c r="A604">
        <v>603</v>
      </c>
      <c r="B604" t="s">
        <v>1148</v>
      </c>
      <c r="C604" s="1">
        <v>46055</v>
      </c>
      <c r="D604" t="s">
        <v>33</v>
      </c>
      <c r="E604" t="s">
        <v>38</v>
      </c>
      <c r="F604" t="s">
        <v>30</v>
      </c>
      <c r="G604" t="s">
        <v>24</v>
      </c>
      <c r="H604" s="2">
        <v>1</v>
      </c>
      <c r="I604" t="s">
        <v>1149</v>
      </c>
      <c r="K604">
        <v>4183375</v>
      </c>
      <c r="L604">
        <v>0</v>
      </c>
      <c r="M604">
        <v>0</v>
      </c>
      <c r="N604">
        <v>460171.25</v>
      </c>
      <c r="O604">
        <v>0</v>
      </c>
      <c r="P604">
        <v>0</v>
      </c>
      <c r="Q604">
        <v>0</v>
      </c>
      <c r="R604">
        <v>4643546.25</v>
      </c>
      <c r="S604">
        <v>1269523.6499999999</v>
      </c>
      <c r="T604">
        <v>30.346876624735</v>
      </c>
      <c r="U604" t="str">
        <f t="shared" si="9"/>
        <v>Week 1</v>
      </c>
    </row>
    <row r="605" spans="1:21" x14ac:dyDescent="0.25">
      <c r="C605" s="1"/>
      <c r="H605" s="2"/>
    </row>
    <row r="606" spans="1:21" x14ac:dyDescent="0.25">
      <c r="A606">
        <v>605</v>
      </c>
      <c r="B606" t="s">
        <v>1150</v>
      </c>
      <c r="C606" s="1">
        <v>46053</v>
      </c>
      <c r="D606" t="s">
        <v>99</v>
      </c>
      <c r="E606" t="s">
        <v>117</v>
      </c>
      <c r="F606" t="s">
        <v>30</v>
      </c>
      <c r="G606" t="s">
        <v>24</v>
      </c>
      <c r="H606" s="2">
        <v>1</v>
      </c>
      <c r="I606" t="s">
        <v>1151</v>
      </c>
      <c r="K606">
        <v>5583115</v>
      </c>
      <c r="L606">
        <v>0</v>
      </c>
      <c r="M606">
        <v>0</v>
      </c>
      <c r="N606">
        <v>614142.65</v>
      </c>
      <c r="O606">
        <v>0</v>
      </c>
      <c r="P606">
        <v>0</v>
      </c>
      <c r="Q606">
        <v>0</v>
      </c>
      <c r="R606">
        <v>6197257.6500000004</v>
      </c>
      <c r="S606">
        <v>-8559085</v>
      </c>
      <c r="T606">
        <v>-153.30303961140001</v>
      </c>
      <c r="U606" t="str">
        <f t="shared" si="9"/>
        <v>Week 4</v>
      </c>
    </row>
    <row r="607" spans="1:21" x14ac:dyDescent="0.25">
      <c r="A607">
        <v>606</v>
      </c>
      <c r="B607" t="s">
        <v>1152</v>
      </c>
      <c r="C607" s="1">
        <v>46053</v>
      </c>
      <c r="D607" t="s">
        <v>21</v>
      </c>
      <c r="E607" t="s">
        <v>22</v>
      </c>
      <c r="F607" t="s">
        <v>23</v>
      </c>
      <c r="G607" t="s">
        <v>24</v>
      </c>
      <c r="H607" s="2">
        <v>1</v>
      </c>
      <c r="I607" t="s">
        <v>1153</v>
      </c>
      <c r="J607" t="s">
        <v>26</v>
      </c>
      <c r="K607">
        <v>116398412</v>
      </c>
      <c r="L607">
        <v>0</v>
      </c>
      <c r="M607">
        <v>0</v>
      </c>
      <c r="N607">
        <v>12803825.32</v>
      </c>
      <c r="O607">
        <v>0</v>
      </c>
      <c r="P607">
        <v>0</v>
      </c>
      <c r="Q607">
        <v>0</v>
      </c>
      <c r="R607">
        <v>129202237.31999999</v>
      </c>
      <c r="S607">
        <v>45162972.210000001</v>
      </c>
      <c r="T607">
        <v>38.800333642009001</v>
      </c>
      <c r="U607" t="str">
        <f t="shared" si="9"/>
        <v>Week 4</v>
      </c>
    </row>
    <row r="608" spans="1:21" x14ac:dyDescent="0.25">
      <c r="C608" s="1"/>
      <c r="H608" s="2"/>
    </row>
    <row r="609" spans="1:21" x14ac:dyDescent="0.25">
      <c r="A609">
        <v>608</v>
      </c>
      <c r="B609" t="s">
        <v>1154</v>
      </c>
      <c r="C609" s="1">
        <v>46053</v>
      </c>
      <c r="D609" t="s">
        <v>54</v>
      </c>
      <c r="E609" t="s">
        <v>55</v>
      </c>
      <c r="F609" t="s">
        <v>30</v>
      </c>
      <c r="G609" t="s">
        <v>24</v>
      </c>
      <c r="H609" s="2">
        <v>1</v>
      </c>
      <c r="I609" t="s">
        <v>1155</v>
      </c>
      <c r="K609">
        <v>3932000</v>
      </c>
      <c r="L609">
        <v>0</v>
      </c>
      <c r="M609">
        <v>0</v>
      </c>
      <c r="N609">
        <v>0</v>
      </c>
      <c r="O609">
        <v>0</v>
      </c>
      <c r="P609">
        <v>0</v>
      </c>
      <c r="Q609">
        <v>0</v>
      </c>
      <c r="R609">
        <v>3932000</v>
      </c>
      <c r="S609">
        <v>512180.18018016999</v>
      </c>
      <c r="T609">
        <v>13.025945579352999</v>
      </c>
      <c r="U609" t="str">
        <f t="shared" si="9"/>
        <v>Week 4</v>
      </c>
    </row>
    <row r="610" spans="1:21" x14ac:dyDescent="0.25">
      <c r="A610">
        <v>609</v>
      </c>
      <c r="B610" t="s">
        <v>1156</v>
      </c>
      <c r="C610" s="1">
        <v>46053</v>
      </c>
      <c r="D610" t="s">
        <v>99</v>
      </c>
      <c r="E610" t="s">
        <v>117</v>
      </c>
      <c r="F610" t="s">
        <v>30</v>
      </c>
      <c r="G610" t="s">
        <v>24</v>
      </c>
      <c r="H610" s="2">
        <v>1</v>
      </c>
      <c r="I610" t="s">
        <v>1157</v>
      </c>
      <c r="J610" t="s">
        <v>26</v>
      </c>
      <c r="K610">
        <v>2163000</v>
      </c>
      <c r="L610">
        <v>0</v>
      </c>
      <c r="M610">
        <v>0</v>
      </c>
      <c r="N610">
        <v>237930</v>
      </c>
      <c r="O610">
        <v>0</v>
      </c>
      <c r="P610">
        <v>0</v>
      </c>
      <c r="Q610">
        <v>0</v>
      </c>
      <c r="R610">
        <v>2400930</v>
      </c>
      <c r="S610">
        <v>13000</v>
      </c>
      <c r="T610">
        <v>0.60101710587146995</v>
      </c>
      <c r="U610" t="str">
        <f t="shared" si="9"/>
        <v>Week 4</v>
      </c>
    </row>
    <row r="611" spans="1:21" x14ac:dyDescent="0.25">
      <c r="A611">
        <v>610</v>
      </c>
      <c r="B611" t="s">
        <v>1158</v>
      </c>
      <c r="C611" s="1">
        <v>46053</v>
      </c>
      <c r="D611" t="s">
        <v>99</v>
      </c>
      <c r="E611" t="s">
        <v>117</v>
      </c>
      <c r="F611" t="s">
        <v>30</v>
      </c>
      <c r="G611" t="s">
        <v>24</v>
      </c>
      <c r="H611" s="2">
        <v>1</v>
      </c>
      <c r="I611" t="s">
        <v>1159</v>
      </c>
      <c r="K611">
        <v>75705000</v>
      </c>
      <c r="L611">
        <v>0</v>
      </c>
      <c r="M611">
        <v>0</v>
      </c>
      <c r="N611">
        <v>8327550</v>
      </c>
      <c r="O611">
        <v>0</v>
      </c>
      <c r="P611">
        <v>0</v>
      </c>
      <c r="Q611">
        <v>0</v>
      </c>
      <c r="R611">
        <v>84032550</v>
      </c>
      <c r="S611">
        <v>2205000</v>
      </c>
      <c r="T611">
        <v>2.9126213592233001</v>
      </c>
      <c r="U611" t="str">
        <f t="shared" si="9"/>
        <v>Week 4</v>
      </c>
    </row>
    <row r="612" spans="1:21" x14ac:dyDescent="0.25">
      <c r="A612">
        <v>611</v>
      </c>
      <c r="B612" t="s">
        <v>1160</v>
      </c>
      <c r="C612" s="1">
        <v>46053</v>
      </c>
      <c r="D612" t="s">
        <v>54</v>
      </c>
      <c r="E612" t="s">
        <v>55</v>
      </c>
      <c r="F612" t="s">
        <v>30</v>
      </c>
      <c r="G612" t="s">
        <v>24</v>
      </c>
      <c r="H612" s="2">
        <v>1</v>
      </c>
      <c r="I612" t="s">
        <v>1161</v>
      </c>
      <c r="K612">
        <v>9829988</v>
      </c>
      <c r="L612">
        <v>0</v>
      </c>
      <c r="M612">
        <v>0</v>
      </c>
      <c r="N612">
        <v>1081298.68</v>
      </c>
      <c r="O612">
        <v>0</v>
      </c>
      <c r="P612">
        <v>0</v>
      </c>
      <c r="Q612">
        <v>0</v>
      </c>
      <c r="R612">
        <v>10911286.68</v>
      </c>
      <c r="S612">
        <v>1280438.4504503999</v>
      </c>
      <c r="T612">
        <v>13.025839405403</v>
      </c>
      <c r="U612" t="str">
        <f t="shared" si="9"/>
        <v>Week 4</v>
      </c>
    </row>
    <row r="613" spans="1:21" x14ac:dyDescent="0.25">
      <c r="A613">
        <v>612</v>
      </c>
      <c r="B613" t="s">
        <v>1162</v>
      </c>
      <c r="C613" s="1">
        <v>46053</v>
      </c>
      <c r="D613" t="s">
        <v>99</v>
      </c>
      <c r="E613" t="s">
        <v>117</v>
      </c>
      <c r="F613" t="s">
        <v>30</v>
      </c>
      <c r="G613" t="s">
        <v>24</v>
      </c>
      <c r="H613" s="2">
        <v>1</v>
      </c>
      <c r="I613" t="s">
        <v>1157</v>
      </c>
      <c r="J613" t="s">
        <v>26</v>
      </c>
      <c r="K613">
        <v>8371840</v>
      </c>
      <c r="L613">
        <v>0</v>
      </c>
      <c r="M613">
        <v>0</v>
      </c>
      <c r="N613">
        <v>920902.4</v>
      </c>
      <c r="O613">
        <v>0</v>
      </c>
      <c r="P613">
        <v>0</v>
      </c>
      <c r="Q613">
        <v>0</v>
      </c>
      <c r="R613">
        <v>9292742.4000000004</v>
      </c>
      <c r="S613">
        <v>1549840</v>
      </c>
      <c r="T613">
        <v>18.512537267793</v>
      </c>
      <c r="U613" t="str">
        <f t="shared" si="9"/>
        <v>Week 4</v>
      </c>
    </row>
    <row r="614" spans="1:21" x14ac:dyDescent="0.25">
      <c r="A614">
        <v>613</v>
      </c>
      <c r="B614" t="s">
        <v>1163</v>
      </c>
      <c r="C614" s="1">
        <v>46053</v>
      </c>
      <c r="D614" t="s">
        <v>54</v>
      </c>
      <c r="E614" t="s">
        <v>55</v>
      </c>
      <c r="F614" t="s">
        <v>30</v>
      </c>
      <c r="G614" t="s">
        <v>24</v>
      </c>
      <c r="H614" s="2">
        <v>1</v>
      </c>
      <c r="I614" t="s">
        <v>1164</v>
      </c>
      <c r="K614">
        <v>45269240</v>
      </c>
      <c r="L614">
        <v>0</v>
      </c>
      <c r="M614">
        <v>0</v>
      </c>
      <c r="N614">
        <v>4979616.4000000004</v>
      </c>
      <c r="O614">
        <v>0</v>
      </c>
      <c r="P614">
        <v>0</v>
      </c>
      <c r="Q614">
        <v>0</v>
      </c>
      <c r="R614">
        <v>50248856.399999999</v>
      </c>
      <c r="S614">
        <v>5899870.6306352001</v>
      </c>
      <c r="T614">
        <v>13.032846654009001</v>
      </c>
      <c r="U614" t="str">
        <f t="shared" si="9"/>
        <v>Week 4</v>
      </c>
    </row>
    <row r="615" spans="1:21" x14ac:dyDescent="0.25">
      <c r="A615">
        <v>614</v>
      </c>
      <c r="B615" t="s">
        <v>1165</v>
      </c>
      <c r="C615" s="1">
        <v>46053</v>
      </c>
      <c r="D615" t="s">
        <v>255</v>
      </c>
      <c r="E615" t="s">
        <v>205</v>
      </c>
      <c r="F615" t="s">
        <v>39</v>
      </c>
      <c r="G615" t="s">
        <v>24</v>
      </c>
      <c r="H615" s="2">
        <v>1</v>
      </c>
      <c r="I615" t="s">
        <v>1166</v>
      </c>
      <c r="K615">
        <v>0</v>
      </c>
      <c r="L615">
        <v>0</v>
      </c>
      <c r="M615">
        <v>0</v>
      </c>
      <c r="N615">
        <v>0</v>
      </c>
      <c r="O615">
        <v>0</v>
      </c>
      <c r="P615">
        <v>0</v>
      </c>
      <c r="Q615">
        <v>0</v>
      </c>
      <c r="R615">
        <v>0</v>
      </c>
      <c r="S615">
        <v>0</v>
      </c>
      <c r="T615">
        <v>0</v>
      </c>
      <c r="U615" t="str">
        <f t="shared" si="9"/>
        <v>Week 4</v>
      </c>
    </row>
    <row r="616" spans="1:21" x14ac:dyDescent="0.25">
      <c r="A616">
        <v>615</v>
      </c>
      <c r="B616" t="s">
        <v>1167</v>
      </c>
      <c r="C616" s="1">
        <v>46053</v>
      </c>
      <c r="D616" t="s">
        <v>255</v>
      </c>
      <c r="E616" t="s">
        <v>205</v>
      </c>
      <c r="F616" t="s">
        <v>39</v>
      </c>
      <c r="G616" t="s">
        <v>24</v>
      </c>
      <c r="H616" s="2">
        <v>1</v>
      </c>
      <c r="I616" t="s">
        <v>1166</v>
      </c>
      <c r="K616">
        <v>35000</v>
      </c>
      <c r="L616">
        <v>0</v>
      </c>
      <c r="M616">
        <v>0</v>
      </c>
      <c r="N616">
        <v>3850</v>
      </c>
      <c r="O616">
        <v>0</v>
      </c>
      <c r="P616">
        <v>0</v>
      </c>
      <c r="Q616">
        <v>0</v>
      </c>
      <c r="R616">
        <v>38850</v>
      </c>
      <c r="S616">
        <v>7000</v>
      </c>
      <c r="T616">
        <v>20</v>
      </c>
      <c r="U616" t="str">
        <f t="shared" si="9"/>
        <v>Week 4</v>
      </c>
    </row>
    <row r="617" spans="1:21" x14ac:dyDescent="0.25">
      <c r="A617">
        <v>616</v>
      </c>
      <c r="B617" t="s">
        <v>1168</v>
      </c>
      <c r="C617" s="1">
        <v>46053</v>
      </c>
      <c r="D617" t="s">
        <v>356</v>
      </c>
      <c r="E617" t="s">
        <v>205</v>
      </c>
      <c r="F617" t="s">
        <v>30</v>
      </c>
      <c r="G617" t="s">
        <v>24</v>
      </c>
      <c r="H617" s="2">
        <v>1</v>
      </c>
      <c r="I617" t="s">
        <v>1169</v>
      </c>
      <c r="J617" t="s">
        <v>26</v>
      </c>
      <c r="K617">
        <v>5321400</v>
      </c>
      <c r="L617">
        <v>0</v>
      </c>
      <c r="M617">
        <v>0</v>
      </c>
      <c r="N617">
        <v>585354</v>
      </c>
      <c r="O617">
        <v>0</v>
      </c>
      <c r="P617">
        <v>0</v>
      </c>
      <c r="Q617">
        <v>0</v>
      </c>
      <c r="R617">
        <v>5906754</v>
      </c>
      <c r="S617">
        <v>1362611.4234233999</v>
      </c>
      <c r="T617">
        <v>25.606258191894</v>
      </c>
      <c r="U617" t="str">
        <f t="shared" si="9"/>
        <v>Week 4</v>
      </c>
    </row>
    <row r="618" spans="1:21" x14ac:dyDescent="0.25">
      <c r="A618">
        <v>617</v>
      </c>
      <c r="B618" t="s">
        <v>1170</v>
      </c>
      <c r="C618" s="1">
        <v>46053</v>
      </c>
      <c r="D618" t="s">
        <v>99</v>
      </c>
      <c r="E618" t="s">
        <v>117</v>
      </c>
      <c r="F618" t="s">
        <v>30</v>
      </c>
      <c r="G618" t="s">
        <v>24</v>
      </c>
      <c r="H618" s="2">
        <v>1</v>
      </c>
      <c r="I618" t="s">
        <v>1171</v>
      </c>
      <c r="K618">
        <v>3157160</v>
      </c>
      <c r="L618">
        <v>0</v>
      </c>
      <c r="M618">
        <v>0</v>
      </c>
      <c r="N618">
        <v>347287.6</v>
      </c>
      <c r="O618">
        <v>0</v>
      </c>
      <c r="P618">
        <v>0</v>
      </c>
      <c r="Q618">
        <v>0</v>
      </c>
      <c r="R618">
        <v>3504447.6</v>
      </c>
      <c r="S618">
        <v>357160</v>
      </c>
      <c r="T618">
        <v>11.312698754576999</v>
      </c>
      <c r="U618" t="str">
        <f t="shared" si="9"/>
        <v>Week 4</v>
      </c>
    </row>
    <row r="619" spans="1:21" x14ac:dyDescent="0.25">
      <c r="A619">
        <v>618</v>
      </c>
      <c r="B619" t="s">
        <v>1172</v>
      </c>
      <c r="C619" s="1">
        <v>46053</v>
      </c>
      <c r="D619" t="s">
        <v>54</v>
      </c>
      <c r="E619" t="s">
        <v>55</v>
      </c>
      <c r="F619" t="s">
        <v>30</v>
      </c>
      <c r="G619" t="s">
        <v>24</v>
      </c>
      <c r="H619" s="2">
        <v>1</v>
      </c>
      <c r="I619" t="s">
        <v>1173</v>
      </c>
      <c r="K619">
        <v>18783268</v>
      </c>
      <c r="L619">
        <v>0</v>
      </c>
      <c r="M619">
        <v>0</v>
      </c>
      <c r="N619">
        <v>2066159.48</v>
      </c>
      <c r="O619">
        <v>0</v>
      </c>
      <c r="P619">
        <v>0</v>
      </c>
      <c r="Q619">
        <v>0</v>
      </c>
      <c r="R619">
        <v>20849427.48</v>
      </c>
      <c r="S619">
        <v>5663144.3423423003</v>
      </c>
      <c r="T619">
        <v>30.149941652018999</v>
      </c>
      <c r="U619" t="str">
        <f t="shared" si="9"/>
        <v>Week 4</v>
      </c>
    </row>
    <row r="620" spans="1:21" x14ac:dyDescent="0.25">
      <c r="A620">
        <v>619</v>
      </c>
      <c r="B620" t="s">
        <v>1174</v>
      </c>
      <c r="C620" s="1">
        <v>46053</v>
      </c>
      <c r="D620" t="s">
        <v>99</v>
      </c>
      <c r="E620" t="s">
        <v>117</v>
      </c>
      <c r="F620" t="s">
        <v>30</v>
      </c>
      <c r="G620" t="s">
        <v>24</v>
      </c>
      <c r="H620" s="2">
        <v>1</v>
      </c>
      <c r="I620" t="s">
        <v>1175</v>
      </c>
      <c r="J620" t="s">
        <v>26</v>
      </c>
      <c r="K620">
        <v>1798380</v>
      </c>
      <c r="L620">
        <v>0</v>
      </c>
      <c r="M620">
        <v>0</v>
      </c>
      <c r="N620">
        <v>197821.8</v>
      </c>
      <c r="O620">
        <v>0</v>
      </c>
      <c r="P620">
        <v>0</v>
      </c>
      <c r="Q620">
        <v>0</v>
      </c>
      <c r="R620">
        <v>1996201.8</v>
      </c>
      <c r="S620">
        <v>1548380</v>
      </c>
      <c r="T620">
        <v>86.098599850976996</v>
      </c>
      <c r="U620" t="str">
        <f t="shared" si="9"/>
        <v>Week 4</v>
      </c>
    </row>
    <row r="621" spans="1:21" x14ac:dyDescent="0.25">
      <c r="A621">
        <v>620</v>
      </c>
      <c r="B621" t="s">
        <v>1176</v>
      </c>
      <c r="C621" s="1">
        <v>46053</v>
      </c>
      <c r="D621" t="s">
        <v>33</v>
      </c>
      <c r="E621" t="s">
        <v>38</v>
      </c>
      <c r="F621" t="s">
        <v>23</v>
      </c>
      <c r="G621" t="s">
        <v>24</v>
      </c>
      <c r="H621" s="2">
        <v>1</v>
      </c>
      <c r="I621" t="s">
        <v>1177</v>
      </c>
      <c r="K621">
        <v>14252511.261260999</v>
      </c>
      <c r="L621">
        <v>0</v>
      </c>
      <c r="M621">
        <v>0</v>
      </c>
      <c r="N621">
        <v>1567776.2387387</v>
      </c>
      <c r="O621">
        <v>0</v>
      </c>
      <c r="P621">
        <v>0</v>
      </c>
      <c r="Q621">
        <v>0</v>
      </c>
      <c r="R621">
        <v>15820287.5</v>
      </c>
      <c r="S621">
        <v>4078796.2522522002</v>
      </c>
      <c r="T621">
        <v>28.61808826167</v>
      </c>
      <c r="U621" t="str">
        <f t="shared" si="9"/>
        <v>Week 4</v>
      </c>
    </row>
    <row r="622" spans="1:21" x14ac:dyDescent="0.25">
      <c r="A622">
        <v>621</v>
      </c>
      <c r="B622" t="s">
        <v>1178</v>
      </c>
      <c r="C622" s="1">
        <v>46053</v>
      </c>
      <c r="D622" t="s">
        <v>99</v>
      </c>
      <c r="E622" t="s">
        <v>117</v>
      </c>
      <c r="F622" t="s">
        <v>30</v>
      </c>
      <c r="G622" t="s">
        <v>24</v>
      </c>
      <c r="H622" s="2">
        <v>1</v>
      </c>
      <c r="I622" t="s">
        <v>1179</v>
      </c>
      <c r="J622" t="s">
        <v>26</v>
      </c>
      <c r="K622">
        <v>8092620</v>
      </c>
      <c r="L622">
        <v>0</v>
      </c>
      <c r="M622">
        <v>0</v>
      </c>
      <c r="N622">
        <v>890188.2</v>
      </c>
      <c r="O622">
        <v>0</v>
      </c>
      <c r="P622">
        <v>0</v>
      </c>
      <c r="Q622">
        <v>0</v>
      </c>
      <c r="R622">
        <v>8982808.1999999993</v>
      </c>
      <c r="S622">
        <v>567620</v>
      </c>
      <c r="T622">
        <v>7.0140448952255001</v>
      </c>
      <c r="U622" t="str">
        <f t="shared" si="9"/>
        <v>Week 4</v>
      </c>
    </row>
    <row r="623" spans="1:21" x14ac:dyDescent="0.25">
      <c r="A623">
        <v>622</v>
      </c>
      <c r="B623" t="s">
        <v>1180</v>
      </c>
      <c r="C623" s="1">
        <v>46053</v>
      </c>
      <c r="D623" t="s">
        <v>99</v>
      </c>
      <c r="E623" t="s">
        <v>117</v>
      </c>
      <c r="F623" t="s">
        <v>30</v>
      </c>
      <c r="G623" t="s">
        <v>24</v>
      </c>
      <c r="H623" s="2">
        <v>1</v>
      </c>
      <c r="I623" t="s">
        <v>1181</v>
      </c>
      <c r="K623">
        <v>2545708</v>
      </c>
      <c r="L623">
        <v>0</v>
      </c>
      <c r="M623">
        <v>0</v>
      </c>
      <c r="N623">
        <v>280027.88</v>
      </c>
      <c r="O623">
        <v>0</v>
      </c>
      <c r="P623">
        <v>0</v>
      </c>
      <c r="Q623">
        <v>0</v>
      </c>
      <c r="R623">
        <v>2825735.88</v>
      </c>
      <c r="S623">
        <v>-2292</v>
      </c>
      <c r="T623">
        <v>-9.0033892339576996E-2</v>
      </c>
      <c r="U623" t="str">
        <f t="shared" si="9"/>
        <v>Week 4</v>
      </c>
    </row>
    <row r="624" spans="1:21" x14ac:dyDescent="0.25">
      <c r="A624">
        <v>623</v>
      </c>
      <c r="B624" t="s">
        <v>1182</v>
      </c>
      <c r="C624" s="1">
        <v>46053</v>
      </c>
      <c r="D624" t="s">
        <v>33</v>
      </c>
      <c r="E624" t="s">
        <v>34</v>
      </c>
      <c r="F624" t="s">
        <v>39</v>
      </c>
      <c r="G624" t="s">
        <v>24</v>
      </c>
      <c r="H624" s="2">
        <v>1</v>
      </c>
      <c r="I624" t="s">
        <v>1183</v>
      </c>
      <c r="K624">
        <v>30179</v>
      </c>
      <c r="L624">
        <v>0</v>
      </c>
      <c r="M624">
        <v>0</v>
      </c>
      <c r="N624">
        <v>3319.69</v>
      </c>
      <c r="O624">
        <v>0</v>
      </c>
      <c r="P624">
        <v>0</v>
      </c>
      <c r="Q624">
        <v>0</v>
      </c>
      <c r="R624">
        <v>33498.69</v>
      </c>
      <c r="S624">
        <v>905.37</v>
      </c>
      <c r="T624">
        <v>3</v>
      </c>
      <c r="U624" t="str">
        <f t="shared" si="9"/>
        <v>Week 4</v>
      </c>
    </row>
    <row r="625" spans="1:21" x14ac:dyDescent="0.25">
      <c r="A625">
        <v>624</v>
      </c>
      <c r="B625" t="s">
        <v>1184</v>
      </c>
      <c r="C625" s="1">
        <v>46053</v>
      </c>
      <c r="D625" t="s">
        <v>33</v>
      </c>
      <c r="E625" t="s">
        <v>34</v>
      </c>
      <c r="F625" t="s">
        <v>39</v>
      </c>
      <c r="G625" t="s">
        <v>24</v>
      </c>
      <c r="H625" s="2">
        <v>1</v>
      </c>
      <c r="I625" t="s">
        <v>1183</v>
      </c>
      <c r="K625">
        <v>30179</v>
      </c>
      <c r="L625">
        <v>0</v>
      </c>
      <c r="M625">
        <v>0</v>
      </c>
      <c r="N625">
        <v>3319.69</v>
      </c>
      <c r="O625">
        <v>0</v>
      </c>
      <c r="P625">
        <v>0</v>
      </c>
      <c r="Q625">
        <v>0</v>
      </c>
      <c r="R625">
        <v>33498.69</v>
      </c>
      <c r="S625">
        <v>905.37</v>
      </c>
      <c r="T625">
        <v>3</v>
      </c>
      <c r="U625" t="str">
        <f t="shared" si="9"/>
        <v>Week 4</v>
      </c>
    </row>
    <row r="626" spans="1:21" x14ac:dyDescent="0.25">
      <c r="A626">
        <v>625</v>
      </c>
      <c r="B626" t="s">
        <v>1185</v>
      </c>
      <c r="C626" s="1">
        <v>46053</v>
      </c>
      <c r="D626" t="s">
        <v>37</v>
      </c>
      <c r="E626" t="s">
        <v>38</v>
      </c>
      <c r="F626" t="s">
        <v>30</v>
      </c>
      <c r="G626" t="s">
        <v>24</v>
      </c>
      <c r="H626" s="2">
        <v>1</v>
      </c>
      <c r="I626" t="s">
        <v>775</v>
      </c>
      <c r="K626">
        <v>4602460</v>
      </c>
      <c r="L626">
        <v>0</v>
      </c>
      <c r="M626">
        <v>0</v>
      </c>
      <c r="N626">
        <v>506270.6</v>
      </c>
      <c r="O626">
        <v>0</v>
      </c>
      <c r="P626">
        <v>0</v>
      </c>
      <c r="Q626">
        <v>0</v>
      </c>
      <c r="R626">
        <v>5108730.5999999996</v>
      </c>
      <c r="S626">
        <v>1969162.7027026999</v>
      </c>
      <c r="T626">
        <v>42.785004165223</v>
      </c>
      <c r="U626" t="str">
        <f t="shared" si="9"/>
        <v>Week 4</v>
      </c>
    </row>
    <row r="627" spans="1:21" x14ac:dyDescent="0.25">
      <c r="A627">
        <v>626</v>
      </c>
      <c r="B627" t="s">
        <v>1186</v>
      </c>
      <c r="C627" s="1">
        <v>46053</v>
      </c>
      <c r="D627" t="s">
        <v>323</v>
      </c>
      <c r="E627" t="s">
        <v>38</v>
      </c>
      <c r="F627" t="s">
        <v>23</v>
      </c>
      <c r="G627" t="s">
        <v>24</v>
      </c>
      <c r="H627" s="2">
        <v>1</v>
      </c>
      <c r="I627" t="s">
        <v>1187</v>
      </c>
      <c r="K627">
        <v>3000000</v>
      </c>
      <c r="L627">
        <v>0</v>
      </c>
      <c r="M627">
        <v>0</v>
      </c>
      <c r="N627">
        <v>330000</v>
      </c>
      <c r="O627">
        <v>0</v>
      </c>
      <c r="P627">
        <v>0</v>
      </c>
      <c r="Q627">
        <v>0</v>
      </c>
      <c r="R627">
        <v>3330000</v>
      </c>
      <c r="S627">
        <v>500000</v>
      </c>
      <c r="T627">
        <v>16.666666666666998</v>
      </c>
      <c r="U627" t="str">
        <f t="shared" si="9"/>
        <v>Week 4</v>
      </c>
    </row>
    <row r="628" spans="1:21" x14ac:dyDescent="0.25">
      <c r="A628">
        <v>627</v>
      </c>
      <c r="B628" t="s">
        <v>1188</v>
      </c>
      <c r="C628" s="1">
        <v>46053</v>
      </c>
      <c r="D628" t="s">
        <v>28</v>
      </c>
      <c r="E628" t="s">
        <v>34</v>
      </c>
      <c r="F628" t="s">
        <v>23</v>
      </c>
      <c r="G628" t="s">
        <v>24</v>
      </c>
      <c r="H628" s="2">
        <v>1</v>
      </c>
      <c r="I628" t="s">
        <v>1189</v>
      </c>
      <c r="K628">
        <v>176040</v>
      </c>
      <c r="L628">
        <v>0</v>
      </c>
      <c r="M628">
        <v>0</v>
      </c>
      <c r="N628">
        <v>19364.400000000001</v>
      </c>
      <c r="O628">
        <v>0</v>
      </c>
      <c r="P628">
        <v>0</v>
      </c>
      <c r="Q628">
        <v>0</v>
      </c>
      <c r="R628">
        <v>195404.4</v>
      </c>
      <c r="S628">
        <v>5281.2</v>
      </c>
      <c r="T628">
        <v>3</v>
      </c>
      <c r="U628" t="str">
        <f t="shared" si="9"/>
        <v>Week 4</v>
      </c>
    </row>
    <row r="629" spans="1:21" x14ac:dyDescent="0.25">
      <c r="A629">
        <v>628</v>
      </c>
      <c r="B629" t="s">
        <v>1190</v>
      </c>
      <c r="C629" s="1">
        <v>46053</v>
      </c>
      <c r="D629" t="s">
        <v>28</v>
      </c>
      <c r="E629" t="s">
        <v>34</v>
      </c>
      <c r="F629" t="s">
        <v>30</v>
      </c>
      <c r="G629" t="s">
        <v>24</v>
      </c>
      <c r="H629" s="2">
        <v>1</v>
      </c>
      <c r="I629" t="s">
        <v>200</v>
      </c>
      <c r="K629">
        <v>176040</v>
      </c>
      <c r="L629">
        <v>0</v>
      </c>
      <c r="M629">
        <v>0</v>
      </c>
      <c r="N629">
        <v>19364.400000000001</v>
      </c>
      <c r="O629">
        <v>0</v>
      </c>
      <c r="P629">
        <v>0</v>
      </c>
      <c r="Q629">
        <v>0</v>
      </c>
      <c r="R629">
        <v>195404.4</v>
      </c>
      <c r="S629">
        <v>5281.2</v>
      </c>
      <c r="T629">
        <v>3</v>
      </c>
      <c r="U629" t="str">
        <f t="shared" si="9"/>
        <v>Week 4</v>
      </c>
    </row>
    <row r="630" spans="1:21" x14ac:dyDescent="0.25">
      <c r="A630">
        <v>629</v>
      </c>
      <c r="B630" t="s">
        <v>1191</v>
      </c>
      <c r="C630" s="1">
        <v>46053</v>
      </c>
      <c r="D630" t="s">
        <v>21</v>
      </c>
      <c r="E630" t="s">
        <v>22</v>
      </c>
      <c r="F630" t="s">
        <v>30</v>
      </c>
      <c r="G630" t="s">
        <v>24</v>
      </c>
      <c r="H630" s="2">
        <v>1</v>
      </c>
      <c r="I630" t="s">
        <v>1192</v>
      </c>
      <c r="J630" t="s">
        <v>26</v>
      </c>
      <c r="K630">
        <v>3231354</v>
      </c>
      <c r="L630">
        <v>0</v>
      </c>
      <c r="M630">
        <v>0</v>
      </c>
      <c r="N630">
        <v>355448.94</v>
      </c>
      <c r="O630">
        <v>0</v>
      </c>
      <c r="P630">
        <v>0</v>
      </c>
      <c r="Q630">
        <v>0</v>
      </c>
      <c r="R630">
        <v>3586802.94</v>
      </c>
      <c r="S630">
        <v>2212435.23</v>
      </c>
      <c r="T630">
        <v>68.467745409509007</v>
      </c>
      <c r="U630" t="str">
        <f t="shared" si="9"/>
        <v>Week 4</v>
      </c>
    </row>
    <row r="631" spans="1:21" x14ac:dyDescent="0.25">
      <c r="A631">
        <v>630</v>
      </c>
      <c r="B631" t="s">
        <v>1193</v>
      </c>
      <c r="C631" s="1">
        <v>46053</v>
      </c>
      <c r="D631" t="s">
        <v>54</v>
      </c>
      <c r="E631" t="s">
        <v>55</v>
      </c>
      <c r="F631" t="s">
        <v>30</v>
      </c>
      <c r="G631" t="s">
        <v>24</v>
      </c>
      <c r="H631" s="2">
        <v>1</v>
      </c>
      <c r="I631" t="s">
        <v>1194</v>
      </c>
      <c r="K631">
        <v>5468597.96</v>
      </c>
      <c r="L631">
        <v>0</v>
      </c>
      <c r="M631">
        <v>0</v>
      </c>
      <c r="N631">
        <v>601545.77560000005</v>
      </c>
      <c r="O631">
        <v>0</v>
      </c>
      <c r="P631">
        <v>0</v>
      </c>
      <c r="Q631">
        <v>0</v>
      </c>
      <c r="R631">
        <v>6070143.7356000002</v>
      </c>
      <c r="S631">
        <v>1119797.96</v>
      </c>
      <c r="T631">
        <v>20.476874844169</v>
      </c>
      <c r="U631" t="str">
        <f t="shared" si="9"/>
        <v>Week 4</v>
      </c>
    </row>
    <row r="632" spans="1:21" x14ac:dyDescent="0.25">
      <c r="A632">
        <v>631</v>
      </c>
      <c r="B632" t="s">
        <v>1195</v>
      </c>
      <c r="C632" s="1">
        <v>46052</v>
      </c>
      <c r="D632" t="s">
        <v>99</v>
      </c>
      <c r="E632" t="s">
        <v>117</v>
      </c>
      <c r="F632" t="s">
        <v>30</v>
      </c>
      <c r="G632" t="s">
        <v>24</v>
      </c>
      <c r="H632" s="2">
        <v>1</v>
      </c>
      <c r="I632" t="s">
        <v>1196</v>
      </c>
      <c r="J632" t="s">
        <v>26</v>
      </c>
      <c r="K632">
        <v>12780486</v>
      </c>
      <c r="L632">
        <v>0</v>
      </c>
      <c r="M632">
        <v>0</v>
      </c>
      <c r="N632">
        <v>1405853.46</v>
      </c>
      <c r="O632">
        <v>0</v>
      </c>
      <c r="P632">
        <v>0</v>
      </c>
      <c r="Q632">
        <v>0</v>
      </c>
      <c r="R632">
        <v>14186339.460000001</v>
      </c>
      <c r="S632">
        <v>-26338</v>
      </c>
      <c r="T632">
        <v>-0.20607980009523999</v>
      </c>
      <c r="U632" t="str">
        <f t="shared" si="9"/>
        <v>Week 4</v>
      </c>
    </row>
    <row r="633" spans="1:21" x14ac:dyDescent="0.25">
      <c r="A633">
        <v>632</v>
      </c>
      <c r="B633" t="s">
        <v>1197</v>
      </c>
      <c r="C633" s="1">
        <v>46052</v>
      </c>
      <c r="D633" t="s">
        <v>323</v>
      </c>
      <c r="E633" t="s">
        <v>38</v>
      </c>
      <c r="F633" t="s">
        <v>23</v>
      </c>
      <c r="G633" t="s">
        <v>24</v>
      </c>
      <c r="H633" s="2">
        <v>1</v>
      </c>
      <c r="I633" t="s">
        <v>1198</v>
      </c>
      <c r="K633">
        <v>8961384</v>
      </c>
      <c r="L633">
        <v>0</v>
      </c>
      <c r="M633">
        <v>0</v>
      </c>
      <c r="N633">
        <v>985752.24</v>
      </c>
      <c r="O633">
        <v>0</v>
      </c>
      <c r="P633">
        <v>0</v>
      </c>
      <c r="Q633">
        <v>0</v>
      </c>
      <c r="R633">
        <v>9947136.2400000002</v>
      </c>
      <c r="S633">
        <v>1671384</v>
      </c>
      <c r="T633">
        <v>18.650958378750001</v>
      </c>
      <c r="U633" t="str">
        <f t="shared" si="9"/>
        <v>Week 4</v>
      </c>
    </row>
    <row r="634" spans="1:21" x14ac:dyDescent="0.25">
      <c r="A634">
        <v>633</v>
      </c>
      <c r="B634" t="s">
        <v>1199</v>
      </c>
      <c r="C634" s="1">
        <v>46052</v>
      </c>
      <c r="D634" t="s">
        <v>186</v>
      </c>
      <c r="E634" t="s">
        <v>117</v>
      </c>
      <c r="F634" t="s">
        <v>23</v>
      </c>
      <c r="G634" t="s">
        <v>24</v>
      </c>
      <c r="H634" s="2">
        <v>1</v>
      </c>
      <c r="I634" t="s">
        <v>1200</v>
      </c>
      <c r="J634" t="s">
        <v>26</v>
      </c>
      <c r="K634">
        <v>19200000</v>
      </c>
      <c r="L634">
        <v>0</v>
      </c>
      <c r="M634">
        <v>0</v>
      </c>
      <c r="N634">
        <v>2112000</v>
      </c>
      <c r="O634">
        <v>0</v>
      </c>
      <c r="P634">
        <v>0</v>
      </c>
      <c r="Q634">
        <v>0</v>
      </c>
      <c r="R634">
        <v>21312000</v>
      </c>
      <c r="S634">
        <v>3488890</v>
      </c>
      <c r="T634">
        <v>18.171302083333</v>
      </c>
      <c r="U634" t="str">
        <f t="shared" si="9"/>
        <v>Week 4</v>
      </c>
    </row>
    <row r="635" spans="1:21" x14ac:dyDescent="0.25">
      <c r="A635">
        <v>634</v>
      </c>
      <c r="B635" t="s">
        <v>1201</v>
      </c>
      <c r="C635" s="1">
        <v>46052</v>
      </c>
      <c r="D635" t="s">
        <v>312</v>
      </c>
      <c r="E635" t="s">
        <v>117</v>
      </c>
      <c r="F635" t="s">
        <v>23</v>
      </c>
      <c r="G635" t="s">
        <v>24</v>
      </c>
      <c r="H635" s="2">
        <v>1</v>
      </c>
      <c r="I635" t="s">
        <v>1202</v>
      </c>
      <c r="J635" t="s">
        <v>26</v>
      </c>
      <c r="K635">
        <v>1655500</v>
      </c>
      <c r="L635">
        <v>0</v>
      </c>
      <c r="M635">
        <v>0</v>
      </c>
      <c r="N635">
        <v>182105</v>
      </c>
      <c r="O635">
        <v>0</v>
      </c>
      <c r="P635">
        <v>0</v>
      </c>
      <c r="Q635">
        <v>0</v>
      </c>
      <c r="R635">
        <v>1837605</v>
      </c>
      <c r="S635">
        <v>609300</v>
      </c>
      <c r="T635">
        <v>36.804590758079001</v>
      </c>
      <c r="U635" t="str">
        <f t="shared" si="9"/>
        <v>Week 4</v>
      </c>
    </row>
    <row r="636" spans="1:21" x14ac:dyDescent="0.25">
      <c r="A636">
        <v>635</v>
      </c>
      <c r="B636" t="s">
        <v>1203</v>
      </c>
      <c r="C636" s="1">
        <v>46052</v>
      </c>
      <c r="D636" t="s">
        <v>54</v>
      </c>
      <c r="E636" t="s">
        <v>55</v>
      </c>
      <c r="F636" t="s">
        <v>23</v>
      </c>
      <c r="G636" t="s">
        <v>24</v>
      </c>
      <c r="H636" s="2">
        <v>1</v>
      </c>
      <c r="I636" t="s">
        <v>1204</v>
      </c>
      <c r="K636">
        <v>558770</v>
      </c>
      <c r="L636">
        <v>0</v>
      </c>
      <c r="M636">
        <v>0</v>
      </c>
      <c r="N636">
        <v>61464.7</v>
      </c>
      <c r="O636">
        <v>0</v>
      </c>
      <c r="P636">
        <v>0</v>
      </c>
      <c r="Q636">
        <v>0</v>
      </c>
      <c r="R636">
        <v>620234.69999999995</v>
      </c>
      <c r="S636">
        <v>551370</v>
      </c>
      <c r="T636">
        <v>98.675662616102997</v>
      </c>
      <c r="U636" t="str">
        <f t="shared" si="9"/>
        <v>Week 4</v>
      </c>
    </row>
    <row r="637" spans="1:21" x14ac:dyDescent="0.25">
      <c r="A637">
        <v>636</v>
      </c>
      <c r="B637" t="s">
        <v>1205</v>
      </c>
      <c r="C637" s="1">
        <v>46052</v>
      </c>
      <c r="D637" t="s">
        <v>37</v>
      </c>
      <c r="E637" t="s">
        <v>38</v>
      </c>
      <c r="F637" t="s">
        <v>23</v>
      </c>
      <c r="G637" t="s">
        <v>24</v>
      </c>
      <c r="H637" s="2">
        <v>1</v>
      </c>
      <c r="I637" t="s">
        <v>1143</v>
      </c>
      <c r="K637">
        <v>34800000</v>
      </c>
      <c r="L637">
        <v>0</v>
      </c>
      <c r="M637">
        <v>0</v>
      </c>
      <c r="N637">
        <v>3828000</v>
      </c>
      <c r="O637">
        <v>0</v>
      </c>
      <c r="P637">
        <v>0</v>
      </c>
      <c r="Q637">
        <v>0</v>
      </c>
      <c r="R637">
        <v>38628000</v>
      </c>
      <c r="S637">
        <v>6690000</v>
      </c>
      <c r="T637">
        <v>19.224137931034001</v>
      </c>
      <c r="U637" t="str">
        <f t="shared" si="9"/>
        <v>Week 4</v>
      </c>
    </row>
    <row r="638" spans="1:21" x14ac:dyDescent="0.25">
      <c r="A638">
        <v>637</v>
      </c>
      <c r="B638" t="s">
        <v>1206</v>
      </c>
      <c r="C638" s="1">
        <v>46052</v>
      </c>
      <c r="D638" t="s">
        <v>33</v>
      </c>
      <c r="E638" t="s">
        <v>34</v>
      </c>
      <c r="F638" t="s">
        <v>30</v>
      </c>
      <c r="G638" t="s">
        <v>24</v>
      </c>
      <c r="H638" s="2">
        <v>1</v>
      </c>
      <c r="I638" t="s">
        <v>1207</v>
      </c>
      <c r="K638">
        <v>1581050</v>
      </c>
      <c r="L638">
        <v>0</v>
      </c>
      <c r="M638">
        <v>0</v>
      </c>
      <c r="N638">
        <v>173915.5</v>
      </c>
      <c r="O638">
        <v>0</v>
      </c>
      <c r="P638">
        <v>0</v>
      </c>
      <c r="Q638">
        <v>0</v>
      </c>
      <c r="R638">
        <v>1754965.5</v>
      </c>
      <c r="S638">
        <v>117368.5</v>
      </c>
      <c r="T638">
        <v>7.4234527687296001</v>
      </c>
      <c r="U638" t="str">
        <f t="shared" si="9"/>
        <v>Week 4</v>
      </c>
    </row>
    <row r="639" spans="1:21" x14ac:dyDescent="0.25">
      <c r="A639">
        <v>638</v>
      </c>
      <c r="B639" t="s">
        <v>1208</v>
      </c>
      <c r="C639" s="1">
        <v>46052</v>
      </c>
      <c r="D639" t="s">
        <v>21</v>
      </c>
      <c r="E639" t="s">
        <v>22</v>
      </c>
      <c r="F639" t="s">
        <v>30</v>
      </c>
      <c r="G639" t="s">
        <v>24</v>
      </c>
      <c r="H639" s="2">
        <v>1</v>
      </c>
      <c r="I639" t="s">
        <v>1209</v>
      </c>
      <c r="J639" t="s">
        <v>26</v>
      </c>
      <c r="K639">
        <v>1343000</v>
      </c>
      <c r="L639">
        <v>0</v>
      </c>
      <c r="M639">
        <v>0</v>
      </c>
      <c r="N639">
        <v>147730</v>
      </c>
      <c r="O639">
        <v>0</v>
      </c>
      <c r="P639">
        <v>0</v>
      </c>
      <c r="Q639">
        <v>0</v>
      </c>
      <c r="R639">
        <v>1490730</v>
      </c>
      <c r="S639">
        <v>193000</v>
      </c>
      <c r="T639">
        <v>14.370811615786</v>
      </c>
      <c r="U639" t="str">
        <f t="shared" si="9"/>
        <v>Week 4</v>
      </c>
    </row>
    <row r="640" spans="1:21" x14ac:dyDescent="0.25">
      <c r="A640">
        <v>639</v>
      </c>
      <c r="B640" t="s">
        <v>1210</v>
      </c>
      <c r="C640" s="1">
        <v>46052</v>
      </c>
      <c r="D640" t="s">
        <v>54</v>
      </c>
      <c r="E640" t="s">
        <v>55</v>
      </c>
      <c r="F640" t="s">
        <v>30</v>
      </c>
      <c r="G640" t="s">
        <v>24</v>
      </c>
      <c r="H640" s="2">
        <v>1</v>
      </c>
      <c r="I640" t="s">
        <v>1211</v>
      </c>
      <c r="K640">
        <v>17600000</v>
      </c>
      <c r="L640">
        <v>0</v>
      </c>
      <c r="M640">
        <v>0</v>
      </c>
      <c r="N640">
        <v>1936000</v>
      </c>
      <c r="O640">
        <v>0</v>
      </c>
      <c r="P640">
        <v>0</v>
      </c>
      <c r="Q640">
        <v>0</v>
      </c>
      <c r="R640">
        <v>19536000</v>
      </c>
      <c r="S640">
        <v>2284684.69</v>
      </c>
      <c r="T640">
        <v>12.981163011364</v>
      </c>
      <c r="U640" t="str">
        <f t="shared" si="9"/>
        <v>Week 4</v>
      </c>
    </row>
    <row r="641" spans="1:21" x14ac:dyDescent="0.25">
      <c r="A641">
        <v>640</v>
      </c>
      <c r="B641" t="s">
        <v>1212</v>
      </c>
      <c r="C641" s="1">
        <v>46052</v>
      </c>
      <c r="D641" t="s">
        <v>33</v>
      </c>
      <c r="E641" t="s">
        <v>38</v>
      </c>
      <c r="F641" t="s">
        <v>30</v>
      </c>
      <c r="G641" t="s">
        <v>24</v>
      </c>
      <c r="H641" s="2">
        <v>1</v>
      </c>
      <c r="I641" t="s">
        <v>1213</v>
      </c>
      <c r="K641">
        <v>14545960</v>
      </c>
      <c r="L641">
        <v>0</v>
      </c>
      <c r="M641">
        <v>0</v>
      </c>
      <c r="N641">
        <v>1600055.6</v>
      </c>
      <c r="O641">
        <v>0</v>
      </c>
      <c r="P641">
        <v>0</v>
      </c>
      <c r="Q641">
        <v>0</v>
      </c>
      <c r="R641">
        <v>16146015.6</v>
      </c>
      <c r="S641">
        <v>3994680.7207207</v>
      </c>
      <c r="T641">
        <v>27.462475633926999</v>
      </c>
      <c r="U641" t="str">
        <f t="shared" si="9"/>
        <v>Week 4</v>
      </c>
    </row>
    <row r="642" spans="1:21" x14ac:dyDescent="0.25">
      <c r="A642">
        <v>641</v>
      </c>
      <c r="B642" t="s">
        <v>1214</v>
      </c>
      <c r="C642" s="1">
        <v>46052</v>
      </c>
      <c r="D642" t="s">
        <v>21</v>
      </c>
      <c r="E642" t="s">
        <v>22</v>
      </c>
      <c r="F642" t="s">
        <v>30</v>
      </c>
      <c r="G642" t="s">
        <v>24</v>
      </c>
      <c r="H642" s="2">
        <v>1</v>
      </c>
      <c r="I642" t="s">
        <v>1215</v>
      </c>
      <c r="J642" t="s">
        <v>26</v>
      </c>
      <c r="K642">
        <v>1914000</v>
      </c>
      <c r="L642">
        <v>0</v>
      </c>
      <c r="M642">
        <v>0</v>
      </c>
      <c r="N642">
        <v>210540</v>
      </c>
      <c r="O642">
        <v>0</v>
      </c>
      <c r="P642">
        <v>0</v>
      </c>
      <c r="Q642">
        <v>0</v>
      </c>
      <c r="R642">
        <v>2124540</v>
      </c>
      <c r="S642">
        <v>195756.75675756999</v>
      </c>
      <c r="T642">
        <v>10.227625744909</v>
      </c>
      <c r="U642" t="str">
        <f t="shared" si="9"/>
        <v>Week 4</v>
      </c>
    </row>
    <row r="643" spans="1:21" x14ac:dyDescent="0.25">
      <c r="A643">
        <v>642</v>
      </c>
      <c r="B643" t="s">
        <v>1216</v>
      </c>
      <c r="C643" s="1">
        <v>46052</v>
      </c>
      <c r="D643" t="s">
        <v>33</v>
      </c>
      <c r="E643" t="s">
        <v>34</v>
      </c>
      <c r="F643" t="s">
        <v>23</v>
      </c>
      <c r="G643" t="s">
        <v>24</v>
      </c>
      <c r="H643" s="2">
        <v>1</v>
      </c>
      <c r="I643" t="s">
        <v>1217</v>
      </c>
      <c r="K643">
        <v>29000000</v>
      </c>
      <c r="L643">
        <v>0</v>
      </c>
      <c r="M643">
        <v>0</v>
      </c>
      <c r="N643">
        <v>3190000</v>
      </c>
      <c r="O643">
        <v>0</v>
      </c>
      <c r="P643">
        <v>0</v>
      </c>
      <c r="Q643">
        <v>0</v>
      </c>
      <c r="R643">
        <v>32190000</v>
      </c>
      <c r="S643">
        <v>6250000</v>
      </c>
      <c r="T643">
        <v>21.551724137931</v>
      </c>
      <c r="U643" t="str">
        <f t="shared" ref="U643:U706" si="10">"Week " &amp;IF(DAY(C643)&gt;=24,4,INT((DAY(C643)-1)/7)+1)</f>
        <v>Week 4</v>
      </c>
    </row>
    <row r="644" spans="1:21" x14ac:dyDescent="0.25">
      <c r="A644">
        <v>643</v>
      </c>
      <c r="B644" t="s">
        <v>1218</v>
      </c>
      <c r="C644" s="1">
        <v>46052</v>
      </c>
      <c r="D644" t="s">
        <v>37</v>
      </c>
      <c r="E644" t="s">
        <v>38</v>
      </c>
      <c r="F644" t="s">
        <v>30</v>
      </c>
      <c r="G644" t="s">
        <v>24</v>
      </c>
      <c r="H644" s="2">
        <v>1</v>
      </c>
      <c r="I644" t="s">
        <v>775</v>
      </c>
      <c r="K644">
        <v>4292465</v>
      </c>
      <c r="L644">
        <v>0</v>
      </c>
      <c r="M644">
        <v>0</v>
      </c>
      <c r="N644">
        <v>472171.15</v>
      </c>
      <c r="O644">
        <v>0</v>
      </c>
      <c r="P644">
        <v>0</v>
      </c>
      <c r="Q644">
        <v>0</v>
      </c>
      <c r="R644">
        <v>4764636.1500000004</v>
      </c>
      <c r="S644">
        <v>1871984.2493699</v>
      </c>
      <c r="T644">
        <v>43.610937989474998</v>
      </c>
      <c r="U644" t="str">
        <f t="shared" si="10"/>
        <v>Week 4</v>
      </c>
    </row>
    <row r="645" spans="1:21" x14ac:dyDescent="0.25">
      <c r="A645">
        <v>644</v>
      </c>
      <c r="B645" t="s">
        <v>1219</v>
      </c>
      <c r="C645" s="1">
        <v>46052</v>
      </c>
      <c r="D645" t="s">
        <v>21</v>
      </c>
      <c r="E645" t="s">
        <v>22</v>
      </c>
      <c r="F645" t="s">
        <v>30</v>
      </c>
      <c r="G645" t="s">
        <v>24</v>
      </c>
      <c r="H645" s="2">
        <v>1</v>
      </c>
      <c r="I645" t="s">
        <v>1220</v>
      </c>
      <c r="J645" t="s">
        <v>26</v>
      </c>
      <c r="K645">
        <v>484235.64</v>
      </c>
      <c r="L645">
        <v>0</v>
      </c>
      <c r="M645">
        <v>0</v>
      </c>
      <c r="N645">
        <v>53265.920400000003</v>
      </c>
      <c r="O645">
        <v>0</v>
      </c>
      <c r="P645">
        <v>0</v>
      </c>
      <c r="Q645">
        <v>0</v>
      </c>
      <c r="R645">
        <v>537501.56039999996</v>
      </c>
      <c r="S645">
        <v>64235.64</v>
      </c>
      <c r="T645">
        <v>13.265368075757999</v>
      </c>
      <c r="U645" t="str">
        <f t="shared" si="10"/>
        <v>Week 4</v>
      </c>
    </row>
    <row r="646" spans="1:21" x14ac:dyDescent="0.25">
      <c r="A646">
        <v>645</v>
      </c>
      <c r="B646" t="s">
        <v>1221</v>
      </c>
      <c r="C646" s="1">
        <v>46052</v>
      </c>
      <c r="D646" t="s">
        <v>33</v>
      </c>
      <c r="E646" t="s">
        <v>38</v>
      </c>
      <c r="F646" t="s">
        <v>30</v>
      </c>
      <c r="G646" t="s">
        <v>24</v>
      </c>
      <c r="H646" s="2">
        <v>1</v>
      </c>
      <c r="I646" t="s">
        <v>1091</v>
      </c>
      <c r="K646">
        <v>10396012.800000001</v>
      </c>
      <c r="L646">
        <v>0</v>
      </c>
      <c r="M646">
        <v>0</v>
      </c>
      <c r="N646">
        <v>1143561.4080000001</v>
      </c>
      <c r="O646">
        <v>0</v>
      </c>
      <c r="P646">
        <v>0</v>
      </c>
      <c r="Q646">
        <v>0</v>
      </c>
      <c r="R646">
        <v>11539574.208000001</v>
      </c>
      <c r="S646">
        <v>3827190.3225225001</v>
      </c>
      <c r="T646">
        <v>36.814020876565998</v>
      </c>
      <c r="U646" t="str">
        <f t="shared" si="10"/>
        <v>Week 4</v>
      </c>
    </row>
    <row r="647" spans="1:21" x14ac:dyDescent="0.25">
      <c r="A647">
        <v>646</v>
      </c>
      <c r="B647" t="s">
        <v>1222</v>
      </c>
      <c r="C647" s="1">
        <v>46052</v>
      </c>
      <c r="D647" t="s">
        <v>54</v>
      </c>
      <c r="E647" t="s">
        <v>55</v>
      </c>
      <c r="F647" t="s">
        <v>30</v>
      </c>
      <c r="G647" t="s">
        <v>24</v>
      </c>
      <c r="H647" s="2">
        <v>1</v>
      </c>
      <c r="I647" t="s">
        <v>1223</v>
      </c>
      <c r="K647">
        <v>1465691.92</v>
      </c>
      <c r="L647">
        <v>0</v>
      </c>
      <c r="M647">
        <v>0</v>
      </c>
      <c r="N647">
        <v>161226.11120000001</v>
      </c>
      <c r="O647">
        <v>0</v>
      </c>
      <c r="P647">
        <v>0</v>
      </c>
      <c r="Q647">
        <v>0</v>
      </c>
      <c r="R647">
        <v>1626918.0312000001</v>
      </c>
      <c r="S647">
        <v>715691.92</v>
      </c>
      <c r="T647">
        <v>48.829628534761</v>
      </c>
      <c r="U647" t="str">
        <f t="shared" si="10"/>
        <v>Week 4</v>
      </c>
    </row>
    <row r="648" spans="1:21" x14ac:dyDescent="0.25">
      <c r="A648">
        <v>647</v>
      </c>
      <c r="B648" t="s">
        <v>1224</v>
      </c>
      <c r="C648" s="1">
        <v>46052</v>
      </c>
      <c r="D648" t="s">
        <v>33</v>
      </c>
      <c r="E648" t="s">
        <v>34</v>
      </c>
      <c r="F648" t="s">
        <v>30</v>
      </c>
      <c r="G648" t="s">
        <v>24</v>
      </c>
      <c r="H648" s="2">
        <v>1</v>
      </c>
      <c r="I648" t="s">
        <v>1225</v>
      </c>
      <c r="K648">
        <v>31000000</v>
      </c>
      <c r="L648">
        <v>0</v>
      </c>
      <c r="M648">
        <v>0</v>
      </c>
      <c r="N648">
        <v>3410000</v>
      </c>
      <c r="O648">
        <v>0</v>
      </c>
      <c r="P648">
        <v>0</v>
      </c>
      <c r="Q648">
        <v>0</v>
      </c>
      <c r="R648">
        <v>34410000</v>
      </c>
      <c r="S648">
        <v>8000000</v>
      </c>
      <c r="T648">
        <v>25.806451612903</v>
      </c>
      <c r="U648" t="str">
        <f t="shared" si="10"/>
        <v>Week 4</v>
      </c>
    </row>
    <row r="649" spans="1:21" x14ac:dyDescent="0.25">
      <c r="A649">
        <v>648</v>
      </c>
      <c r="B649" t="s">
        <v>1226</v>
      </c>
      <c r="C649" s="1">
        <v>46052</v>
      </c>
      <c r="D649" t="s">
        <v>204</v>
      </c>
      <c r="E649" t="s">
        <v>205</v>
      </c>
      <c r="F649" t="s">
        <v>265</v>
      </c>
      <c r="G649" t="s">
        <v>24</v>
      </c>
      <c r="H649" s="2">
        <v>1</v>
      </c>
      <c r="I649" t="s">
        <v>1227</v>
      </c>
      <c r="J649" t="s">
        <v>26</v>
      </c>
      <c r="K649">
        <v>37360622</v>
      </c>
      <c r="L649">
        <v>0</v>
      </c>
      <c r="M649">
        <v>0</v>
      </c>
      <c r="N649">
        <v>4109668.42</v>
      </c>
      <c r="O649">
        <v>0</v>
      </c>
      <c r="P649">
        <v>0</v>
      </c>
      <c r="Q649">
        <v>0</v>
      </c>
      <c r="R649">
        <v>41470290.420000002</v>
      </c>
      <c r="S649">
        <v>6815073.5304504</v>
      </c>
      <c r="T649">
        <v>18.241327808864</v>
      </c>
      <c r="U649" t="str">
        <f t="shared" si="10"/>
        <v>Week 4</v>
      </c>
    </row>
    <row r="650" spans="1:21" x14ac:dyDescent="0.25">
      <c r="A650">
        <v>649</v>
      </c>
      <c r="B650" t="s">
        <v>1228</v>
      </c>
      <c r="C650" s="1">
        <v>46052</v>
      </c>
      <c r="D650" t="s">
        <v>21</v>
      </c>
      <c r="E650" t="s">
        <v>22</v>
      </c>
      <c r="F650" t="s">
        <v>30</v>
      </c>
      <c r="G650" t="s">
        <v>24</v>
      </c>
      <c r="H650" s="2">
        <v>1</v>
      </c>
      <c r="I650" t="s">
        <v>1229</v>
      </c>
      <c r="J650" t="s">
        <v>26</v>
      </c>
      <c r="K650">
        <v>7739001.4400000004</v>
      </c>
      <c r="L650">
        <v>0</v>
      </c>
      <c r="M650">
        <v>0</v>
      </c>
      <c r="N650">
        <v>851290.15839999996</v>
      </c>
      <c r="O650">
        <v>0</v>
      </c>
      <c r="P650">
        <v>0</v>
      </c>
      <c r="Q650">
        <v>0</v>
      </c>
      <c r="R650">
        <v>8590291.5984000005</v>
      </c>
      <c r="S650">
        <v>3733450.44</v>
      </c>
      <c r="T650">
        <v>48.242017642006999</v>
      </c>
      <c r="U650" t="str">
        <f t="shared" si="10"/>
        <v>Week 4</v>
      </c>
    </row>
    <row r="651" spans="1:21" x14ac:dyDescent="0.25">
      <c r="A651">
        <v>650</v>
      </c>
      <c r="B651" t="s">
        <v>1230</v>
      </c>
      <c r="C651" s="1">
        <v>46052</v>
      </c>
      <c r="D651" t="s">
        <v>21</v>
      </c>
      <c r="E651" t="s">
        <v>22</v>
      </c>
      <c r="F651" t="s">
        <v>23</v>
      </c>
      <c r="G651" t="s">
        <v>24</v>
      </c>
      <c r="H651" s="2">
        <v>1</v>
      </c>
      <c r="I651" t="s">
        <v>1231</v>
      </c>
      <c r="J651" t="s">
        <v>57</v>
      </c>
      <c r="K651">
        <v>54917500</v>
      </c>
      <c r="L651">
        <v>0</v>
      </c>
      <c r="M651">
        <v>0</v>
      </c>
      <c r="N651">
        <v>6040925</v>
      </c>
      <c r="O651">
        <v>0</v>
      </c>
      <c r="P651">
        <v>0</v>
      </c>
      <c r="Q651">
        <v>0</v>
      </c>
      <c r="R651">
        <v>60958425</v>
      </c>
      <c r="S651">
        <v>11187500</v>
      </c>
      <c r="T651">
        <v>20.371466290345001</v>
      </c>
      <c r="U651" t="str">
        <f t="shared" si="10"/>
        <v>Week 4</v>
      </c>
    </row>
    <row r="652" spans="1:21" x14ac:dyDescent="0.25">
      <c r="A652">
        <v>651</v>
      </c>
      <c r="B652" t="s">
        <v>1232</v>
      </c>
      <c r="C652" s="1">
        <v>46051</v>
      </c>
      <c r="D652" t="s">
        <v>21</v>
      </c>
      <c r="E652" t="s">
        <v>22</v>
      </c>
      <c r="F652" t="s">
        <v>30</v>
      </c>
      <c r="G652" t="s">
        <v>24</v>
      </c>
      <c r="H652" s="2">
        <v>1</v>
      </c>
      <c r="I652" t="s">
        <v>1233</v>
      </c>
      <c r="J652" t="s">
        <v>26</v>
      </c>
      <c r="K652">
        <v>13330741.060000001</v>
      </c>
      <c r="L652">
        <v>0</v>
      </c>
      <c r="M652">
        <v>0</v>
      </c>
      <c r="N652">
        <v>1466381.5166</v>
      </c>
      <c r="O652">
        <v>0</v>
      </c>
      <c r="P652">
        <v>0</v>
      </c>
      <c r="Q652">
        <v>0</v>
      </c>
      <c r="R652">
        <v>14797122.5766</v>
      </c>
      <c r="S652">
        <v>5669169.6072973004</v>
      </c>
      <c r="T652">
        <v>42.527040183145999</v>
      </c>
      <c r="U652" t="str">
        <f t="shared" si="10"/>
        <v>Week 4</v>
      </c>
    </row>
    <row r="653" spans="1:21" x14ac:dyDescent="0.25">
      <c r="A653">
        <v>652</v>
      </c>
      <c r="B653" t="s">
        <v>1234</v>
      </c>
      <c r="C653" s="1">
        <v>46051</v>
      </c>
      <c r="D653" t="s">
        <v>54</v>
      </c>
      <c r="E653" t="s">
        <v>55</v>
      </c>
      <c r="F653" t="s">
        <v>23</v>
      </c>
      <c r="G653" t="s">
        <v>24</v>
      </c>
      <c r="H653" s="2">
        <v>1</v>
      </c>
      <c r="I653" t="s">
        <v>1120</v>
      </c>
      <c r="K653">
        <v>4551350</v>
      </c>
      <c r="L653">
        <v>0</v>
      </c>
      <c r="M653">
        <v>0</v>
      </c>
      <c r="N653">
        <v>500648.5</v>
      </c>
      <c r="O653">
        <v>0</v>
      </c>
      <c r="P653">
        <v>0</v>
      </c>
      <c r="Q653">
        <v>0</v>
      </c>
      <c r="R653">
        <v>5051998.5</v>
      </c>
      <c r="S653">
        <v>901350</v>
      </c>
      <c r="T653">
        <v>19.804014193591001</v>
      </c>
      <c r="U653" t="str">
        <f t="shared" si="10"/>
        <v>Week 4</v>
      </c>
    </row>
    <row r="654" spans="1:21" x14ac:dyDescent="0.25">
      <c r="A654">
        <v>653</v>
      </c>
      <c r="B654" t="s">
        <v>1235</v>
      </c>
      <c r="C654" s="1">
        <v>46051</v>
      </c>
      <c r="D654" t="s">
        <v>37</v>
      </c>
      <c r="E654" t="s">
        <v>38</v>
      </c>
      <c r="F654" t="s">
        <v>30</v>
      </c>
      <c r="G654" t="s">
        <v>24</v>
      </c>
      <c r="H654" s="2">
        <v>1</v>
      </c>
      <c r="I654" t="s">
        <v>1236</v>
      </c>
      <c r="K654">
        <v>22443000</v>
      </c>
      <c r="L654">
        <v>0</v>
      </c>
      <c r="M654">
        <v>0</v>
      </c>
      <c r="N654">
        <v>2468730</v>
      </c>
      <c r="O654">
        <v>0</v>
      </c>
      <c r="P654">
        <v>0</v>
      </c>
      <c r="Q654">
        <v>0</v>
      </c>
      <c r="R654">
        <v>24911730</v>
      </c>
      <c r="S654">
        <v>-4637000</v>
      </c>
      <c r="T654">
        <v>-20.661230673260999</v>
      </c>
      <c r="U654" t="str">
        <f t="shared" si="10"/>
        <v>Week 4</v>
      </c>
    </row>
    <row r="655" spans="1:21" x14ac:dyDescent="0.25">
      <c r="A655">
        <v>654</v>
      </c>
      <c r="B655" t="s">
        <v>1237</v>
      </c>
      <c r="C655" s="1">
        <v>46051</v>
      </c>
      <c r="D655" t="s">
        <v>21</v>
      </c>
      <c r="E655" t="s">
        <v>22</v>
      </c>
      <c r="F655" t="s">
        <v>30</v>
      </c>
      <c r="G655" t="s">
        <v>24</v>
      </c>
      <c r="H655" s="2">
        <v>1</v>
      </c>
      <c r="I655" t="s">
        <v>1238</v>
      </c>
      <c r="J655" t="s">
        <v>26</v>
      </c>
      <c r="K655">
        <v>23486657.460000001</v>
      </c>
      <c r="L655">
        <v>0</v>
      </c>
      <c r="M655">
        <v>0</v>
      </c>
      <c r="N655">
        <v>2583532.3206000002</v>
      </c>
      <c r="O655">
        <v>0</v>
      </c>
      <c r="P655">
        <v>0</v>
      </c>
      <c r="Q655">
        <v>0</v>
      </c>
      <c r="R655">
        <v>26070189.7806</v>
      </c>
      <c r="S655">
        <v>7900315.9313514</v>
      </c>
      <c r="T655">
        <v>33.637463929493997</v>
      </c>
      <c r="U655" t="str">
        <f t="shared" si="10"/>
        <v>Week 4</v>
      </c>
    </row>
    <row r="656" spans="1:21" x14ac:dyDescent="0.25">
      <c r="C656" s="1"/>
      <c r="H656" s="2"/>
    </row>
    <row r="657" spans="1:21" x14ac:dyDescent="0.25">
      <c r="A657">
        <v>656</v>
      </c>
      <c r="B657" t="s">
        <v>1239</v>
      </c>
      <c r="C657" s="1">
        <v>46051</v>
      </c>
      <c r="D657" t="s">
        <v>33</v>
      </c>
      <c r="E657" t="s">
        <v>34</v>
      </c>
      <c r="F657" t="s">
        <v>30</v>
      </c>
      <c r="G657" t="s">
        <v>24</v>
      </c>
      <c r="H657" s="2">
        <v>1</v>
      </c>
      <c r="I657" t="s">
        <v>1240</v>
      </c>
      <c r="K657">
        <v>3587490</v>
      </c>
      <c r="L657">
        <v>0</v>
      </c>
      <c r="M657">
        <v>0</v>
      </c>
      <c r="N657">
        <v>394623.9</v>
      </c>
      <c r="O657">
        <v>0</v>
      </c>
      <c r="P657">
        <v>0</v>
      </c>
      <c r="Q657">
        <v>0</v>
      </c>
      <c r="R657">
        <v>3982113.9</v>
      </c>
      <c r="S657">
        <v>104490</v>
      </c>
      <c r="T657">
        <v>2.9126213592233001</v>
      </c>
      <c r="U657" t="str">
        <f t="shared" si="10"/>
        <v>Week 4</v>
      </c>
    </row>
    <row r="658" spans="1:21" x14ac:dyDescent="0.25">
      <c r="A658">
        <v>657</v>
      </c>
      <c r="B658" t="s">
        <v>1241</v>
      </c>
      <c r="C658" s="1">
        <v>46051</v>
      </c>
      <c r="D658" t="s">
        <v>33</v>
      </c>
      <c r="E658" t="s">
        <v>34</v>
      </c>
      <c r="F658" t="s">
        <v>30</v>
      </c>
      <c r="G658" t="s">
        <v>24</v>
      </c>
      <c r="H658" s="2">
        <v>1</v>
      </c>
      <c r="I658" t="s">
        <v>1242</v>
      </c>
      <c r="K658">
        <v>219520</v>
      </c>
      <c r="L658">
        <v>0</v>
      </c>
      <c r="M658">
        <v>0</v>
      </c>
      <c r="N658">
        <v>24147.200000000001</v>
      </c>
      <c r="O658">
        <v>0</v>
      </c>
      <c r="P658">
        <v>0</v>
      </c>
      <c r="Q658">
        <v>0</v>
      </c>
      <c r="R658">
        <v>243667.20000000001</v>
      </c>
      <c r="S658">
        <v>64320</v>
      </c>
      <c r="T658">
        <v>29.300291545189999</v>
      </c>
      <c r="U658" t="str">
        <f t="shared" si="10"/>
        <v>Week 4</v>
      </c>
    </row>
    <row r="659" spans="1:21" x14ac:dyDescent="0.25">
      <c r="A659">
        <v>658</v>
      </c>
      <c r="B659" t="s">
        <v>1243</v>
      </c>
      <c r="C659" s="1">
        <v>46051</v>
      </c>
      <c r="D659" t="s">
        <v>99</v>
      </c>
      <c r="E659" t="s">
        <v>117</v>
      </c>
      <c r="F659" t="s">
        <v>23</v>
      </c>
      <c r="G659" t="s">
        <v>24</v>
      </c>
      <c r="H659" s="2">
        <v>1</v>
      </c>
      <c r="I659" t="s">
        <v>1244</v>
      </c>
      <c r="K659">
        <v>4567600</v>
      </c>
      <c r="L659">
        <v>0</v>
      </c>
      <c r="M659">
        <v>0</v>
      </c>
      <c r="N659">
        <v>502436</v>
      </c>
      <c r="O659">
        <v>0</v>
      </c>
      <c r="P659">
        <v>0</v>
      </c>
      <c r="Q659">
        <v>0</v>
      </c>
      <c r="R659">
        <v>5070036</v>
      </c>
      <c r="S659">
        <v>1932582.3423423001</v>
      </c>
      <c r="T659">
        <v>42.310673928153001</v>
      </c>
      <c r="U659" t="str">
        <f t="shared" si="10"/>
        <v>Week 4</v>
      </c>
    </row>
    <row r="660" spans="1:21" x14ac:dyDescent="0.25">
      <c r="A660">
        <v>659</v>
      </c>
      <c r="B660" t="s">
        <v>1245</v>
      </c>
      <c r="C660" s="1">
        <v>46051</v>
      </c>
      <c r="D660" t="s">
        <v>99</v>
      </c>
      <c r="E660" t="s">
        <v>117</v>
      </c>
      <c r="F660" t="s">
        <v>23</v>
      </c>
      <c r="G660" t="s">
        <v>24</v>
      </c>
      <c r="H660" s="2">
        <v>1</v>
      </c>
      <c r="I660" t="s">
        <v>1246</v>
      </c>
      <c r="J660" t="s">
        <v>26</v>
      </c>
      <c r="K660">
        <v>7568550</v>
      </c>
      <c r="L660">
        <v>0</v>
      </c>
      <c r="M660">
        <v>0</v>
      </c>
      <c r="N660">
        <v>832540.5</v>
      </c>
      <c r="O660">
        <v>0</v>
      </c>
      <c r="P660">
        <v>0</v>
      </c>
      <c r="Q660">
        <v>0</v>
      </c>
      <c r="R660">
        <v>8401090.5</v>
      </c>
      <c r="S660">
        <v>4073813.46</v>
      </c>
      <c r="T660">
        <v>53.825547297699003</v>
      </c>
      <c r="U660" t="str">
        <f t="shared" si="10"/>
        <v>Week 4</v>
      </c>
    </row>
    <row r="661" spans="1:21" x14ac:dyDescent="0.25">
      <c r="A661">
        <v>660</v>
      </c>
      <c r="B661" t="s">
        <v>1247</v>
      </c>
      <c r="C661" s="1">
        <v>46051</v>
      </c>
      <c r="D661" t="s">
        <v>113</v>
      </c>
      <c r="E661" t="s">
        <v>34</v>
      </c>
      <c r="F661" t="s">
        <v>30</v>
      </c>
      <c r="G661" t="s">
        <v>24</v>
      </c>
      <c r="H661" s="2">
        <v>1</v>
      </c>
      <c r="I661" t="s">
        <v>1248</v>
      </c>
      <c r="K661">
        <v>4990356</v>
      </c>
      <c r="L661">
        <v>0</v>
      </c>
      <c r="M661">
        <v>0</v>
      </c>
      <c r="N661">
        <v>548939.16</v>
      </c>
      <c r="O661">
        <v>0</v>
      </c>
      <c r="P661">
        <v>0</v>
      </c>
      <c r="Q661">
        <v>0</v>
      </c>
      <c r="R661">
        <v>5539295.1600000001</v>
      </c>
      <c r="S661">
        <v>-109644</v>
      </c>
      <c r="T661">
        <v>-2.1971178008141998</v>
      </c>
      <c r="U661" t="str">
        <f t="shared" si="10"/>
        <v>Week 4</v>
      </c>
    </row>
    <row r="662" spans="1:21" x14ac:dyDescent="0.25">
      <c r="A662">
        <v>661</v>
      </c>
      <c r="B662" t="s">
        <v>1249</v>
      </c>
      <c r="C662" s="1">
        <v>46051</v>
      </c>
      <c r="D662" t="s">
        <v>21</v>
      </c>
      <c r="E662" t="s">
        <v>22</v>
      </c>
      <c r="F662" t="s">
        <v>30</v>
      </c>
      <c r="G662" t="s">
        <v>24</v>
      </c>
      <c r="H662" s="2">
        <v>1</v>
      </c>
      <c r="I662" t="s">
        <v>1250</v>
      </c>
      <c r="J662" t="s">
        <v>26</v>
      </c>
      <c r="K662">
        <v>37419049.200000003</v>
      </c>
      <c r="L662">
        <v>0</v>
      </c>
      <c r="M662">
        <v>0</v>
      </c>
      <c r="N662">
        <v>4116095.412</v>
      </c>
      <c r="O662">
        <v>0</v>
      </c>
      <c r="P662">
        <v>0</v>
      </c>
      <c r="Q662">
        <v>0</v>
      </c>
      <c r="R662">
        <v>41535144.612000003</v>
      </c>
      <c r="S662">
        <v>11390336.082919</v>
      </c>
      <c r="T662">
        <v>30.439939887405998</v>
      </c>
      <c r="U662" t="str">
        <f t="shared" si="10"/>
        <v>Week 4</v>
      </c>
    </row>
    <row r="663" spans="1:21" x14ac:dyDescent="0.25">
      <c r="A663">
        <v>662</v>
      </c>
      <c r="B663" t="s">
        <v>1251</v>
      </c>
      <c r="C663" s="1">
        <v>46051</v>
      </c>
      <c r="D663" t="s">
        <v>37</v>
      </c>
      <c r="E663" t="s">
        <v>38</v>
      </c>
      <c r="F663" t="s">
        <v>23</v>
      </c>
      <c r="G663" t="s">
        <v>24</v>
      </c>
      <c r="H663" s="2">
        <v>1</v>
      </c>
      <c r="I663" t="s">
        <v>1252</v>
      </c>
      <c r="K663">
        <v>15069949.98</v>
      </c>
      <c r="L663">
        <v>0</v>
      </c>
      <c r="M663">
        <v>0</v>
      </c>
      <c r="N663">
        <v>1657694.4978</v>
      </c>
      <c r="O663">
        <v>0</v>
      </c>
      <c r="P663">
        <v>0</v>
      </c>
      <c r="Q663">
        <v>0</v>
      </c>
      <c r="R663">
        <v>16727644.4778</v>
      </c>
      <c r="S663">
        <v>5466199.9800000004</v>
      </c>
      <c r="T663">
        <v>36.272183963811997</v>
      </c>
      <c r="U663" t="str">
        <f t="shared" si="10"/>
        <v>Week 4</v>
      </c>
    </row>
    <row r="664" spans="1:21" x14ac:dyDescent="0.25">
      <c r="A664">
        <v>663</v>
      </c>
      <c r="B664" t="s">
        <v>1253</v>
      </c>
      <c r="C664" s="1">
        <v>46051</v>
      </c>
      <c r="D664" t="s">
        <v>21</v>
      </c>
      <c r="E664" t="s">
        <v>55</v>
      </c>
      <c r="F664" t="s">
        <v>30</v>
      </c>
      <c r="G664" t="s">
        <v>24</v>
      </c>
      <c r="H664" s="2">
        <v>1</v>
      </c>
      <c r="I664" t="s">
        <v>1128</v>
      </c>
      <c r="K664">
        <v>9065000</v>
      </c>
      <c r="L664">
        <v>0</v>
      </c>
      <c r="M664">
        <v>0</v>
      </c>
      <c r="N664">
        <v>997150</v>
      </c>
      <c r="O664">
        <v>0</v>
      </c>
      <c r="P664">
        <v>0</v>
      </c>
      <c r="Q664">
        <v>0</v>
      </c>
      <c r="R664">
        <v>10062150</v>
      </c>
      <c r="S664">
        <v>3065000</v>
      </c>
      <c r="T664">
        <v>33.811362382791003</v>
      </c>
      <c r="U664" t="str">
        <f t="shared" si="10"/>
        <v>Week 4</v>
      </c>
    </row>
    <row r="665" spans="1:21" x14ac:dyDescent="0.25">
      <c r="A665">
        <v>664</v>
      </c>
      <c r="B665" t="s">
        <v>1254</v>
      </c>
      <c r="C665" s="1">
        <v>46051</v>
      </c>
      <c r="D665" t="s">
        <v>54</v>
      </c>
      <c r="E665" t="s">
        <v>55</v>
      </c>
      <c r="F665" t="s">
        <v>30</v>
      </c>
      <c r="G665" t="s">
        <v>24</v>
      </c>
      <c r="H665" s="2">
        <v>1</v>
      </c>
      <c r="I665" t="s">
        <v>1125</v>
      </c>
      <c r="K665">
        <v>9065000</v>
      </c>
      <c r="L665">
        <v>0</v>
      </c>
      <c r="M665">
        <v>0</v>
      </c>
      <c r="N665">
        <v>997150</v>
      </c>
      <c r="O665">
        <v>0</v>
      </c>
      <c r="P665">
        <v>0</v>
      </c>
      <c r="Q665">
        <v>0</v>
      </c>
      <c r="R665">
        <v>10062150</v>
      </c>
      <c r="S665">
        <v>3065000</v>
      </c>
      <c r="T665">
        <v>33.811362382791003</v>
      </c>
      <c r="U665" t="str">
        <f t="shared" si="10"/>
        <v>Week 4</v>
      </c>
    </row>
    <row r="666" spans="1:21" x14ac:dyDescent="0.25">
      <c r="A666">
        <v>665</v>
      </c>
      <c r="B666" t="s">
        <v>1255</v>
      </c>
      <c r="C666" s="1">
        <v>46051</v>
      </c>
      <c r="D666" t="s">
        <v>33</v>
      </c>
      <c r="E666" t="s">
        <v>38</v>
      </c>
      <c r="F666" t="s">
        <v>30</v>
      </c>
      <c r="G666" t="s">
        <v>24</v>
      </c>
      <c r="H666" s="2">
        <v>1</v>
      </c>
      <c r="I666" t="s">
        <v>1256</v>
      </c>
      <c r="K666">
        <v>29997800</v>
      </c>
      <c r="L666">
        <v>0</v>
      </c>
      <c r="M666">
        <v>0</v>
      </c>
      <c r="N666">
        <v>3299758</v>
      </c>
      <c r="O666">
        <v>0</v>
      </c>
      <c r="P666">
        <v>0</v>
      </c>
      <c r="Q666">
        <v>0</v>
      </c>
      <c r="R666">
        <v>33297558</v>
      </c>
      <c r="S666">
        <v>5607800</v>
      </c>
      <c r="T666">
        <v>18.694037562755</v>
      </c>
      <c r="U666" t="str">
        <f t="shared" si="10"/>
        <v>Week 4</v>
      </c>
    </row>
    <row r="667" spans="1:21" x14ac:dyDescent="0.25">
      <c r="A667">
        <v>666</v>
      </c>
      <c r="B667" t="s">
        <v>1257</v>
      </c>
      <c r="C667" s="1">
        <v>46051</v>
      </c>
      <c r="D667" t="s">
        <v>113</v>
      </c>
      <c r="E667" t="s">
        <v>38</v>
      </c>
      <c r="F667" t="s">
        <v>30</v>
      </c>
      <c r="G667" t="s">
        <v>24</v>
      </c>
      <c r="H667" s="2">
        <v>1</v>
      </c>
      <c r="I667" t="s">
        <v>1258</v>
      </c>
      <c r="K667">
        <v>14347264</v>
      </c>
      <c r="L667">
        <v>0</v>
      </c>
      <c r="M667">
        <v>0</v>
      </c>
      <c r="N667">
        <v>1578199.04</v>
      </c>
      <c r="O667">
        <v>0</v>
      </c>
      <c r="P667">
        <v>0</v>
      </c>
      <c r="Q667">
        <v>0</v>
      </c>
      <c r="R667">
        <v>15925463.039999999</v>
      </c>
      <c r="S667">
        <v>840639</v>
      </c>
      <c r="T667">
        <v>5.8592286306294996</v>
      </c>
      <c r="U667" t="str">
        <f t="shared" si="10"/>
        <v>Week 4</v>
      </c>
    </row>
    <row r="668" spans="1:21" x14ac:dyDescent="0.25">
      <c r="A668">
        <v>667</v>
      </c>
      <c r="B668" t="s">
        <v>1259</v>
      </c>
      <c r="C668" s="1">
        <v>46051</v>
      </c>
      <c r="D668" t="s">
        <v>37</v>
      </c>
      <c r="E668" t="s">
        <v>38</v>
      </c>
      <c r="F668" t="s">
        <v>23</v>
      </c>
      <c r="G668" t="s">
        <v>24</v>
      </c>
      <c r="H668" s="2">
        <v>1</v>
      </c>
      <c r="I668" t="s">
        <v>126</v>
      </c>
      <c r="K668">
        <v>770600</v>
      </c>
      <c r="L668">
        <v>0</v>
      </c>
      <c r="M668">
        <v>0</v>
      </c>
      <c r="N668">
        <v>84766</v>
      </c>
      <c r="O668">
        <v>0</v>
      </c>
      <c r="P668">
        <v>0</v>
      </c>
      <c r="Q668">
        <v>0</v>
      </c>
      <c r="R668">
        <v>855366</v>
      </c>
      <c r="S668">
        <v>600600</v>
      </c>
      <c r="T668">
        <v>77.939268102777007</v>
      </c>
      <c r="U668" t="str">
        <f t="shared" si="10"/>
        <v>Week 4</v>
      </c>
    </row>
    <row r="669" spans="1:21" x14ac:dyDescent="0.25">
      <c r="A669">
        <v>668</v>
      </c>
      <c r="B669" t="s">
        <v>1260</v>
      </c>
      <c r="C669" s="1">
        <v>46051</v>
      </c>
      <c r="D669" t="s">
        <v>37</v>
      </c>
      <c r="E669" t="s">
        <v>38</v>
      </c>
      <c r="F669" t="s">
        <v>23</v>
      </c>
      <c r="G669" t="s">
        <v>24</v>
      </c>
      <c r="H669" s="2">
        <v>1</v>
      </c>
      <c r="I669" t="s">
        <v>1074</v>
      </c>
      <c r="K669">
        <v>3960000</v>
      </c>
      <c r="L669">
        <v>0</v>
      </c>
      <c r="M669">
        <v>0</v>
      </c>
      <c r="N669">
        <v>435600</v>
      </c>
      <c r="O669">
        <v>0</v>
      </c>
      <c r="P669">
        <v>0</v>
      </c>
      <c r="Q669">
        <v>0</v>
      </c>
      <c r="R669">
        <v>4395600</v>
      </c>
      <c r="S669">
        <v>1632000</v>
      </c>
      <c r="T669">
        <v>41.212121212120998</v>
      </c>
      <c r="U669" t="str">
        <f t="shared" si="10"/>
        <v>Week 4</v>
      </c>
    </row>
    <row r="670" spans="1:21" x14ac:dyDescent="0.25">
      <c r="A670">
        <v>669</v>
      </c>
      <c r="B670" t="s">
        <v>1261</v>
      </c>
      <c r="C670" s="1">
        <v>46050</v>
      </c>
      <c r="D670" t="s">
        <v>54</v>
      </c>
      <c r="E670" t="s">
        <v>55</v>
      </c>
      <c r="F670" t="s">
        <v>30</v>
      </c>
      <c r="G670" t="s">
        <v>24</v>
      </c>
      <c r="H670" s="2">
        <v>1</v>
      </c>
      <c r="I670" t="s">
        <v>1262</v>
      </c>
      <c r="K670">
        <v>6732600</v>
      </c>
      <c r="L670">
        <v>0</v>
      </c>
      <c r="M670">
        <v>0</v>
      </c>
      <c r="N670">
        <v>740586</v>
      </c>
      <c r="O670">
        <v>0</v>
      </c>
      <c r="P670">
        <v>0</v>
      </c>
      <c r="Q670">
        <v>0</v>
      </c>
      <c r="R670">
        <v>7473186</v>
      </c>
      <c r="S670">
        <v>2392509.6800000002</v>
      </c>
      <c r="T670">
        <v>35.536192258562998</v>
      </c>
      <c r="U670" t="str">
        <f t="shared" si="10"/>
        <v>Week 4</v>
      </c>
    </row>
    <row r="671" spans="1:21" x14ac:dyDescent="0.25">
      <c r="A671">
        <v>670</v>
      </c>
      <c r="B671" t="s">
        <v>1263</v>
      </c>
      <c r="C671" s="1">
        <v>46050</v>
      </c>
      <c r="D671" t="s">
        <v>252</v>
      </c>
      <c r="E671" t="s">
        <v>117</v>
      </c>
      <c r="F671" t="s">
        <v>265</v>
      </c>
      <c r="G671" t="s">
        <v>24</v>
      </c>
      <c r="H671" s="2">
        <v>1</v>
      </c>
      <c r="I671" t="s">
        <v>1264</v>
      </c>
      <c r="J671" t="s">
        <v>26</v>
      </c>
      <c r="K671">
        <v>35545000</v>
      </c>
      <c r="L671">
        <v>0</v>
      </c>
      <c r="M671">
        <v>0</v>
      </c>
      <c r="N671">
        <v>3909950</v>
      </c>
      <c r="O671">
        <v>0</v>
      </c>
      <c r="P671">
        <v>0</v>
      </c>
      <c r="Q671">
        <v>0</v>
      </c>
      <c r="R671">
        <v>39454950</v>
      </c>
      <c r="S671">
        <v>10969032.252250001</v>
      </c>
      <c r="T671">
        <v>30.859564642706001</v>
      </c>
      <c r="U671" t="str">
        <f t="shared" si="10"/>
        <v>Week 4</v>
      </c>
    </row>
    <row r="672" spans="1:21" x14ac:dyDescent="0.25">
      <c r="A672">
        <v>671</v>
      </c>
      <c r="B672" t="s">
        <v>1265</v>
      </c>
      <c r="C672" s="1">
        <v>46050</v>
      </c>
      <c r="D672" t="s">
        <v>204</v>
      </c>
      <c r="E672" t="s">
        <v>205</v>
      </c>
      <c r="F672" t="s">
        <v>39</v>
      </c>
      <c r="G672" t="s">
        <v>24</v>
      </c>
      <c r="H672" s="2">
        <v>1</v>
      </c>
      <c r="I672" t="s">
        <v>1266</v>
      </c>
      <c r="J672" t="s">
        <v>26</v>
      </c>
      <c r="K672">
        <v>5723950</v>
      </c>
      <c r="L672">
        <v>0</v>
      </c>
      <c r="M672">
        <v>0</v>
      </c>
      <c r="N672">
        <v>629634.5</v>
      </c>
      <c r="O672">
        <v>0</v>
      </c>
      <c r="P672">
        <v>0</v>
      </c>
      <c r="Q672">
        <v>0</v>
      </c>
      <c r="R672">
        <v>6353584.5</v>
      </c>
      <c r="S672">
        <v>2062975.2252251999</v>
      </c>
      <c r="T672">
        <v>36.041111910921998</v>
      </c>
      <c r="U672" t="str">
        <f t="shared" si="10"/>
        <v>Week 4</v>
      </c>
    </row>
    <row r="673" spans="1:21" x14ac:dyDescent="0.25">
      <c r="A673">
        <v>672</v>
      </c>
      <c r="B673" t="s">
        <v>1267</v>
      </c>
      <c r="C673" s="1">
        <v>46050</v>
      </c>
      <c r="D673" t="s">
        <v>54</v>
      </c>
      <c r="E673" t="s">
        <v>55</v>
      </c>
      <c r="F673" t="s">
        <v>30</v>
      </c>
      <c r="G673" t="s">
        <v>24</v>
      </c>
      <c r="H673" s="2">
        <v>1</v>
      </c>
      <c r="I673" t="s">
        <v>1268</v>
      </c>
      <c r="K673">
        <v>45363046.539999999</v>
      </c>
      <c r="L673">
        <v>0</v>
      </c>
      <c r="M673">
        <v>0</v>
      </c>
      <c r="N673">
        <v>4989935.1194000002</v>
      </c>
      <c r="O673">
        <v>0</v>
      </c>
      <c r="P673">
        <v>0</v>
      </c>
      <c r="Q673">
        <v>0</v>
      </c>
      <c r="R673">
        <v>50352981.659400001</v>
      </c>
      <c r="S673">
        <v>5043046.54</v>
      </c>
      <c r="T673">
        <v>11.117080806186999</v>
      </c>
      <c r="U673" t="str">
        <f t="shared" si="10"/>
        <v>Week 4</v>
      </c>
    </row>
    <row r="674" spans="1:21" x14ac:dyDescent="0.25">
      <c r="A674">
        <v>673</v>
      </c>
      <c r="B674" t="s">
        <v>1269</v>
      </c>
      <c r="C674" s="1">
        <v>46050</v>
      </c>
      <c r="D674" t="s">
        <v>21</v>
      </c>
      <c r="E674" t="s">
        <v>55</v>
      </c>
      <c r="F674" t="s">
        <v>30</v>
      </c>
      <c r="G674" t="s">
        <v>24</v>
      </c>
      <c r="H674" s="2">
        <v>1</v>
      </c>
      <c r="I674" t="s">
        <v>1270</v>
      </c>
      <c r="K674">
        <v>7077560</v>
      </c>
      <c r="L674">
        <v>0</v>
      </c>
      <c r="M674">
        <v>0</v>
      </c>
      <c r="N674">
        <v>778531.6</v>
      </c>
      <c r="O674">
        <v>0</v>
      </c>
      <c r="P674">
        <v>0</v>
      </c>
      <c r="Q674">
        <v>0</v>
      </c>
      <c r="R674">
        <v>7856091.5999999996</v>
      </c>
      <c r="S674">
        <v>2601504.1081081</v>
      </c>
      <c r="T674">
        <v>36.757075999469997</v>
      </c>
      <c r="U674" t="str">
        <f t="shared" si="10"/>
        <v>Week 4</v>
      </c>
    </row>
    <row r="675" spans="1:21" x14ac:dyDescent="0.25">
      <c r="A675">
        <v>674</v>
      </c>
      <c r="B675" t="s">
        <v>1271</v>
      </c>
      <c r="C675" s="1">
        <v>46050</v>
      </c>
      <c r="D675" t="s">
        <v>54</v>
      </c>
      <c r="E675" t="s">
        <v>55</v>
      </c>
      <c r="F675" t="s">
        <v>30</v>
      </c>
      <c r="G675" t="s">
        <v>24</v>
      </c>
      <c r="H675" s="2">
        <v>1</v>
      </c>
      <c r="I675" t="s">
        <v>1272</v>
      </c>
      <c r="K675">
        <v>2276050</v>
      </c>
      <c r="L675">
        <v>0</v>
      </c>
      <c r="M675">
        <v>0</v>
      </c>
      <c r="N675">
        <v>250365.5</v>
      </c>
      <c r="O675">
        <v>0</v>
      </c>
      <c r="P675">
        <v>0</v>
      </c>
      <c r="Q675">
        <v>0</v>
      </c>
      <c r="R675">
        <v>2526415.5</v>
      </c>
      <c r="S675">
        <v>554368.29939940001</v>
      </c>
      <c r="T675">
        <v>24.356595830469001</v>
      </c>
      <c r="U675" t="str">
        <f t="shared" si="10"/>
        <v>Week 4</v>
      </c>
    </row>
    <row r="676" spans="1:21" x14ac:dyDescent="0.25">
      <c r="A676">
        <v>675</v>
      </c>
      <c r="B676" t="s">
        <v>1273</v>
      </c>
      <c r="C676" s="1">
        <v>46050</v>
      </c>
      <c r="D676" t="s">
        <v>54</v>
      </c>
      <c r="E676" t="s">
        <v>55</v>
      </c>
      <c r="F676" t="s">
        <v>30</v>
      </c>
      <c r="G676" t="s">
        <v>24</v>
      </c>
      <c r="H676" s="2">
        <v>1</v>
      </c>
      <c r="I676" t="s">
        <v>1274</v>
      </c>
      <c r="K676">
        <v>1008390.6</v>
      </c>
      <c r="L676">
        <v>0</v>
      </c>
      <c r="M676">
        <v>0</v>
      </c>
      <c r="N676">
        <v>110922.966</v>
      </c>
      <c r="O676">
        <v>0</v>
      </c>
      <c r="P676">
        <v>0</v>
      </c>
      <c r="Q676">
        <v>0</v>
      </c>
      <c r="R676">
        <v>1119313.5660000001</v>
      </c>
      <c r="S676">
        <v>668345.59999999998</v>
      </c>
      <c r="T676">
        <v>66.278444087042999</v>
      </c>
      <c r="U676" t="str">
        <f t="shared" si="10"/>
        <v>Week 4</v>
      </c>
    </row>
    <row r="677" spans="1:21" x14ac:dyDescent="0.25">
      <c r="A677">
        <v>676</v>
      </c>
      <c r="B677" t="s">
        <v>1275</v>
      </c>
      <c r="C677" s="1">
        <v>46050</v>
      </c>
      <c r="D677" t="s">
        <v>33</v>
      </c>
      <c r="E677" t="s">
        <v>38</v>
      </c>
      <c r="F677" t="s">
        <v>23</v>
      </c>
      <c r="G677" t="s">
        <v>24</v>
      </c>
      <c r="H677" s="2">
        <v>1</v>
      </c>
      <c r="I677" t="s">
        <v>1276</v>
      </c>
      <c r="K677">
        <v>18594293.918919001</v>
      </c>
      <c r="L677">
        <v>0</v>
      </c>
      <c r="M677">
        <v>0</v>
      </c>
      <c r="N677">
        <v>2045372.3310811</v>
      </c>
      <c r="O677">
        <v>0</v>
      </c>
      <c r="P677">
        <v>0</v>
      </c>
      <c r="Q677">
        <v>0</v>
      </c>
      <c r="R677">
        <v>20639666.25</v>
      </c>
      <c r="S677">
        <v>2319675.7387386998</v>
      </c>
      <c r="T677">
        <v>12.47520206389</v>
      </c>
      <c r="U677" t="str">
        <f t="shared" si="10"/>
        <v>Week 4</v>
      </c>
    </row>
    <row r="678" spans="1:21" x14ac:dyDescent="0.25">
      <c r="A678">
        <v>677</v>
      </c>
      <c r="B678" t="s">
        <v>1277</v>
      </c>
      <c r="C678" s="1">
        <v>46050</v>
      </c>
      <c r="D678" t="s">
        <v>54</v>
      </c>
      <c r="E678" t="s">
        <v>55</v>
      </c>
      <c r="F678" t="s">
        <v>30</v>
      </c>
      <c r="G678" t="s">
        <v>24</v>
      </c>
      <c r="H678" s="2">
        <v>1</v>
      </c>
      <c r="I678" t="s">
        <v>1194</v>
      </c>
      <c r="K678">
        <v>2881200</v>
      </c>
      <c r="L678">
        <v>0</v>
      </c>
      <c r="M678">
        <v>0</v>
      </c>
      <c r="N678">
        <v>316932</v>
      </c>
      <c r="O678">
        <v>0</v>
      </c>
      <c r="P678">
        <v>0</v>
      </c>
      <c r="Q678">
        <v>0</v>
      </c>
      <c r="R678">
        <v>3198132</v>
      </c>
      <c r="S678">
        <v>989308.10810810002</v>
      </c>
      <c r="T678">
        <v>34.336669030545998</v>
      </c>
      <c r="U678" t="str">
        <f t="shared" si="10"/>
        <v>Week 4</v>
      </c>
    </row>
    <row r="679" spans="1:21" x14ac:dyDescent="0.25">
      <c r="A679">
        <v>678</v>
      </c>
      <c r="B679" t="s">
        <v>1278</v>
      </c>
      <c r="C679" s="1">
        <v>46050</v>
      </c>
      <c r="D679" t="s">
        <v>21</v>
      </c>
      <c r="E679" t="s">
        <v>22</v>
      </c>
      <c r="F679" t="s">
        <v>30</v>
      </c>
      <c r="G679" t="s">
        <v>24</v>
      </c>
      <c r="H679" s="2">
        <v>1</v>
      </c>
      <c r="I679" t="s">
        <v>1279</v>
      </c>
      <c r="J679" t="s">
        <v>26</v>
      </c>
      <c r="K679">
        <v>2554370</v>
      </c>
      <c r="L679">
        <v>0</v>
      </c>
      <c r="M679">
        <v>0</v>
      </c>
      <c r="N679">
        <v>280980.7</v>
      </c>
      <c r="O679">
        <v>0</v>
      </c>
      <c r="P679">
        <v>0</v>
      </c>
      <c r="Q679">
        <v>0</v>
      </c>
      <c r="R679">
        <v>2835350.7</v>
      </c>
      <c r="S679">
        <v>329370</v>
      </c>
      <c r="T679">
        <v>12.894373172250001</v>
      </c>
      <c r="U679" t="str">
        <f t="shared" si="10"/>
        <v>Week 4</v>
      </c>
    </row>
    <row r="680" spans="1:21" x14ac:dyDescent="0.25">
      <c r="A680">
        <v>679</v>
      </c>
      <c r="B680" t="s">
        <v>1280</v>
      </c>
      <c r="C680" s="1">
        <v>46050</v>
      </c>
      <c r="D680" t="s">
        <v>21</v>
      </c>
      <c r="E680" t="s">
        <v>55</v>
      </c>
      <c r="F680" t="s">
        <v>30</v>
      </c>
      <c r="G680" t="s">
        <v>24</v>
      </c>
      <c r="H680" s="2">
        <v>1</v>
      </c>
      <c r="I680" t="s">
        <v>1281</v>
      </c>
      <c r="K680">
        <v>29046047.52</v>
      </c>
      <c r="L680">
        <v>0</v>
      </c>
      <c r="M680">
        <v>0</v>
      </c>
      <c r="N680">
        <v>3195065.2272000001</v>
      </c>
      <c r="O680">
        <v>0</v>
      </c>
      <c r="P680">
        <v>0</v>
      </c>
      <c r="Q680">
        <v>0</v>
      </c>
      <c r="R680">
        <v>32241112.747200001</v>
      </c>
      <c r="S680">
        <v>2046047.52</v>
      </c>
      <c r="T680">
        <v>7.0441512518740002</v>
      </c>
      <c r="U680" t="str">
        <f t="shared" si="10"/>
        <v>Week 4</v>
      </c>
    </row>
    <row r="681" spans="1:21" x14ac:dyDescent="0.25">
      <c r="A681">
        <v>680</v>
      </c>
      <c r="B681" t="s">
        <v>1282</v>
      </c>
      <c r="C681" s="1">
        <v>46050</v>
      </c>
      <c r="D681" t="s">
        <v>21</v>
      </c>
      <c r="E681" t="s">
        <v>22</v>
      </c>
      <c r="F681" t="s">
        <v>30</v>
      </c>
      <c r="G681" t="s">
        <v>24</v>
      </c>
      <c r="H681" s="2">
        <v>1</v>
      </c>
      <c r="I681" t="s">
        <v>1283</v>
      </c>
      <c r="J681" t="s">
        <v>26</v>
      </c>
      <c r="K681">
        <v>67950905</v>
      </c>
      <c r="L681">
        <v>0</v>
      </c>
      <c r="M681">
        <v>0</v>
      </c>
      <c r="N681">
        <v>7474599.5499999998</v>
      </c>
      <c r="O681">
        <v>0</v>
      </c>
      <c r="P681">
        <v>0</v>
      </c>
      <c r="Q681">
        <v>0</v>
      </c>
      <c r="R681">
        <v>75425504.549999997</v>
      </c>
      <c r="S681">
        <v>-4659308.71</v>
      </c>
      <c r="T681">
        <v>-6.8568751365415999</v>
      </c>
      <c r="U681" t="str">
        <f t="shared" si="10"/>
        <v>Week 4</v>
      </c>
    </row>
    <row r="682" spans="1:21" x14ac:dyDescent="0.25">
      <c r="A682">
        <v>681</v>
      </c>
      <c r="B682" t="s">
        <v>1284</v>
      </c>
      <c r="C682" s="1">
        <v>46050</v>
      </c>
      <c r="D682" t="s">
        <v>54</v>
      </c>
      <c r="E682" t="s">
        <v>55</v>
      </c>
      <c r="F682" t="s">
        <v>30</v>
      </c>
      <c r="G682" t="s">
        <v>24</v>
      </c>
      <c r="H682" s="2">
        <v>1</v>
      </c>
      <c r="I682" t="s">
        <v>1285</v>
      </c>
      <c r="K682">
        <v>24681635.16</v>
      </c>
      <c r="L682">
        <v>0</v>
      </c>
      <c r="M682">
        <v>0</v>
      </c>
      <c r="N682">
        <v>2714979.8676</v>
      </c>
      <c r="O682">
        <v>0</v>
      </c>
      <c r="P682">
        <v>0</v>
      </c>
      <c r="Q682">
        <v>0</v>
      </c>
      <c r="R682">
        <v>27396615.027600002</v>
      </c>
      <c r="S682">
        <v>5207761.16</v>
      </c>
      <c r="T682">
        <v>21.099741270140001</v>
      </c>
      <c r="U682" t="str">
        <f t="shared" si="10"/>
        <v>Week 4</v>
      </c>
    </row>
    <row r="683" spans="1:21" x14ac:dyDescent="0.25">
      <c r="A683">
        <v>682</v>
      </c>
      <c r="B683" t="s">
        <v>1286</v>
      </c>
      <c r="C683" s="1">
        <v>46050</v>
      </c>
      <c r="D683" t="s">
        <v>33</v>
      </c>
      <c r="E683" t="s">
        <v>38</v>
      </c>
      <c r="F683" t="s">
        <v>30</v>
      </c>
      <c r="G683" t="s">
        <v>24</v>
      </c>
      <c r="H683" s="2">
        <v>1</v>
      </c>
      <c r="I683" t="s">
        <v>1287</v>
      </c>
      <c r="K683">
        <v>2941960</v>
      </c>
      <c r="L683">
        <v>0</v>
      </c>
      <c r="M683">
        <v>0</v>
      </c>
      <c r="N683">
        <v>323615.59999999998</v>
      </c>
      <c r="O683">
        <v>0</v>
      </c>
      <c r="P683">
        <v>0</v>
      </c>
      <c r="Q683">
        <v>0</v>
      </c>
      <c r="R683">
        <v>3265575.6</v>
      </c>
      <c r="S683">
        <v>823960</v>
      </c>
      <c r="T683">
        <v>28.007178887544001</v>
      </c>
      <c r="U683" t="str">
        <f t="shared" si="10"/>
        <v>Week 4</v>
      </c>
    </row>
    <row r="684" spans="1:21" x14ac:dyDescent="0.25">
      <c r="A684">
        <v>683</v>
      </c>
      <c r="B684" t="s">
        <v>1288</v>
      </c>
      <c r="C684" s="1">
        <v>46050</v>
      </c>
      <c r="D684" t="s">
        <v>54</v>
      </c>
      <c r="E684" t="s">
        <v>55</v>
      </c>
      <c r="F684" t="s">
        <v>30</v>
      </c>
      <c r="G684" t="s">
        <v>24</v>
      </c>
      <c r="H684" s="2">
        <v>1</v>
      </c>
      <c r="I684" t="s">
        <v>1289</v>
      </c>
      <c r="K684">
        <v>24681635.16</v>
      </c>
      <c r="L684">
        <v>0</v>
      </c>
      <c r="M684">
        <v>0</v>
      </c>
      <c r="N684">
        <v>2714979.8676</v>
      </c>
      <c r="O684">
        <v>0</v>
      </c>
      <c r="P684">
        <v>0</v>
      </c>
      <c r="Q684">
        <v>0</v>
      </c>
      <c r="R684">
        <v>27396615.027600002</v>
      </c>
      <c r="S684">
        <v>5207761.16</v>
      </c>
      <c r="T684">
        <v>21.099741270140001</v>
      </c>
      <c r="U684" t="str">
        <f t="shared" si="10"/>
        <v>Week 4</v>
      </c>
    </row>
    <row r="685" spans="1:21" x14ac:dyDescent="0.25">
      <c r="A685">
        <v>684</v>
      </c>
      <c r="B685" t="s">
        <v>1290</v>
      </c>
      <c r="C685" s="1">
        <v>46050</v>
      </c>
      <c r="D685" t="s">
        <v>429</v>
      </c>
      <c r="E685" t="s">
        <v>205</v>
      </c>
      <c r="F685" t="s">
        <v>23</v>
      </c>
      <c r="G685" t="s">
        <v>24</v>
      </c>
      <c r="H685" s="2">
        <v>1</v>
      </c>
      <c r="I685" t="s">
        <v>1291</v>
      </c>
      <c r="J685" t="s">
        <v>26</v>
      </c>
      <c r="K685">
        <v>3471428.57</v>
      </c>
      <c r="L685">
        <v>0</v>
      </c>
      <c r="M685">
        <v>0</v>
      </c>
      <c r="N685">
        <v>381857.14270000003</v>
      </c>
      <c r="O685">
        <v>0</v>
      </c>
      <c r="P685">
        <v>0</v>
      </c>
      <c r="Q685">
        <v>0</v>
      </c>
      <c r="R685">
        <v>3853285.7127</v>
      </c>
      <c r="S685">
        <v>1041428.57</v>
      </c>
      <c r="T685">
        <v>29.999999971192999</v>
      </c>
      <c r="U685" t="str">
        <f t="shared" si="10"/>
        <v>Week 4</v>
      </c>
    </row>
    <row r="686" spans="1:21" x14ac:dyDescent="0.25">
      <c r="A686">
        <v>685</v>
      </c>
      <c r="B686" t="s">
        <v>1292</v>
      </c>
      <c r="C686" s="1">
        <v>46050</v>
      </c>
      <c r="D686" t="s">
        <v>37</v>
      </c>
      <c r="E686" t="s">
        <v>38</v>
      </c>
      <c r="F686" t="s">
        <v>23</v>
      </c>
      <c r="G686" t="s">
        <v>24</v>
      </c>
      <c r="H686" s="2">
        <v>1</v>
      </c>
      <c r="I686" t="s">
        <v>1293</v>
      </c>
      <c r="K686">
        <v>42300000</v>
      </c>
      <c r="L686">
        <v>0</v>
      </c>
      <c r="M686">
        <v>0</v>
      </c>
      <c r="N686">
        <v>4653000</v>
      </c>
      <c r="O686">
        <v>0</v>
      </c>
      <c r="P686">
        <v>0</v>
      </c>
      <c r="Q686">
        <v>0</v>
      </c>
      <c r="R686">
        <v>46953000</v>
      </c>
      <c r="S686">
        <v>8328000</v>
      </c>
      <c r="T686">
        <v>19.687943262411</v>
      </c>
      <c r="U686" t="str">
        <f t="shared" si="10"/>
        <v>Week 4</v>
      </c>
    </row>
    <row r="687" spans="1:21" x14ac:dyDescent="0.25">
      <c r="A687">
        <v>686</v>
      </c>
      <c r="B687" t="s">
        <v>1294</v>
      </c>
      <c r="C687" s="1">
        <v>46050</v>
      </c>
      <c r="D687" t="s">
        <v>171</v>
      </c>
      <c r="E687" t="s">
        <v>117</v>
      </c>
      <c r="F687" t="s">
        <v>23</v>
      </c>
      <c r="G687" t="s">
        <v>24</v>
      </c>
      <c r="H687" s="2">
        <v>1</v>
      </c>
      <c r="I687" t="s">
        <v>1295</v>
      </c>
      <c r="J687" t="s">
        <v>26</v>
      </c>
      <c r="K687">
        <v>17400000</v>
      </c>
      <c r="L687">
        <v>0</v>
      </c>
      <c r="M687">
        <v>0</v>
      </c>
      <c r="N687">
        <v>1914000</v>
      </c>
      <c r="O687">
        <v>0</v>
      </c>
      <c r="P687">
        <v>0</v>
      </c>
      <c r="Q687">
        <v>0</v>
      </c>
      <c r="R687">
        <v>19314000</v>
      </c>
      <c r="S687">
        <v>3687890</v>
      </c>
      <c r="T687">
        <v>21.194770114943001</v>
      </c>
      <c r="U687" t="str">
        <f t="shared" si="10"/>
        <v>Week 4</v>
      </c>
    </row>
    <row r="688" spans="1:21" x14ac:dyDescent="0.25">
      <c r="A688">
        <v>687</v>
      </c>
      <c r="B688" t="s">
        <v>1296</v>
      </c>
      <c r="C688" s="1">
        <v>46050</v>
      </c>
      <c r="D688" t="s">
        <v>21</v>
      </c>
      <c r="E688" t="s">
        <v>22</v>
      </c>
      <c r="F688" t="s">
        <v>30</v>
      </c>
      <c r="G688" t="s">
        <v>24</v>
      </c>
      <c r="H688" s="2">
        <v>1</v>
      </c>
      <c r="I688" t="s">
        <v>1297</v>
      </c>
      <c r="J688" t="s">
        <v>26</v>
      </c>
      <c r="K688">
        <v>62196224</v>
      </c>
      <c r="L688">
        <v>0</v>
      </c>
      <c r="M688">
        <v>0</v>
      </c>
      <c r="N688">
        <v>6841584.6399999997</v>
      </c>
      <c r="O688">
        <v>0</v>
      </c>
      <c r="P688">
        <v>0</v>
      </c>
      <c r="Q688">
        <v>0</v>
      </c>
      <c r="R688">
        <v>69037808.640000001</v>
      </c>
      <c r="S688">
        <v>2810927.98</v>
      </c>
      <c r="T688">
        <v>4.5194511808305</v>
      </c>
      <c r="U688" t="str">
        <f t="shared" si="10"/>
        <v>Week 4</v>
      </c>
    </row>
    <row r="689" spans="1:21" x14ac:dyDescent="0.25">
      <c r="A689">
        <v>688</v>
      </c>
      <c r="B689" t="s">
        <v>1298</v>
      </c>
      <c r="C689" s="1">
        <v>46050</v>
      </c>
      <c r="D689" t="s">
        <v>54</v>
      </c>
      <c r="E689" t="s">
        <v>55</v>
      </c>
      <c r="F689" t="s">
        <v>30</v>
      </c>
      <c r="G689" t="s">
        <v>24</v>
      </c>
      <c r="H689" s="2">
        <v>1</v>
      </c>
      <c r="I689" t="s">
        <v>1299</v>
      </c>
      <c r="K689">
        <v>1332000</v>
      </c>
      <c r="L689">
        <v>0</v>
      </c>
      <c r="M689">
        <v>0</v>
      </c>
      <c r="N689">
        <v>146520</v>
      </c>
      <c r="O689">
        <v>0</v>
      </c>
      <c r="P689">
        <v>0</v>
      </c>
      <c r="Q689">
        <v>0</v>
      </c>
      <c r="R689">
        <v>1478520</v>
      </c>
      <c r="S689">
        <v>882000</v>
      </c>
      <c r="T689">
        <v>66.216216216215997</v>
      </c>
      <c r="U689" t="str">
        <f t="shared" si="10"/>
        <v>Week 4</v>
      </c>
    </row>
    <row r="690" spans="1:21" x14ac:dyDescent="0.25">
      <c r="A690">
        <v>689</v>
      </c>
      <c r="B690" t="s">
        <v>1300</v>
      </c>
      <c r="C690" s="1">
        <v>46050</v>
      </c>
      <c r="D690" t="s">
        <v>33</v>
      </c>
      <c r="E690" t="s">
        <v>38</v>
      </c>
      <c r="F690" t="s">
        <v>23</v>
      </c>
      <c r="G690" t="s">
        <v>24</v>
      </c>
      <c r="H690" s="2">
        <v>1</v>
      </c>
      <c r="I690" t="s">
        <v>1301</v>
      </c>
      <c r="K690">
        <v>22124763.513599999</v>
      </c>
      <c r="L690">
        <v>0</v>
      </c>
      <c r="M690">
        <v>0</v>
      </c>
      <c r="N690">
        <v>2433723.9864960001</v>
      </c>
      <c r="O690">
        <v>0</v>
      </c>
      <c r="P690">
        <v>0</v>
      </c>
      <c r="Q690">
        <v>0</v>
      </c>
      <c r="R690">
        <v>24558487.500096001</v>
      </c>
      <c r="S690">
        <v>12258437.288375</v>
      </c>
      <c r="T690">
        <v>55.405958490084998</v>
      </c>
      <c r="U690" t="str">
        <f t="shared" si="10"/>
        <v>Week 4</v>
      </c>
    </row>
    <row r="691" spans="1:21" x14ac:dyDescent="0.25">
      <c r="A691">
        <v>690</v>
      </c>
      <c r="B691" t="s">
        <v>1302</v>
      </c>
      <c r="C691" s="1">
        <v>46050</v>
      </c>
      <c r="D691" t="s">
        <v>171</v>
      </c>
      <c r="E691" t="s">
        <v>1303</v>
      </c>
      <c r="F691" t="s">
        <v>23</v>
      </c>
      <c r="G691" t="s">
        <v>24</v>
      </c>
      <c r="H691" s="2">
        <v>1</v>
      </c>
      <c r="I691" t="s">
        <v>1304</v>
      </c>
      <c r="K691">
        <v>6674000</v>
      </c>
      <c r="L691">
        <v>0</v>
      </c>
      <c r="M691">
        <v>0</v>
      </c>
      <c r="N691">
        <v>734140</v>
      </c>
      <c r="O691">
        <v>0</v>
      </c>
      <c r="P691">
        <v>0</v>
      </c>
      <c r="Q691">
        <v>0</v>
      </c>
      <c r="R691">
        <v>7408140</v>
      </c>
      <c r="S691">
        <v>1845567.56</v>
      </c>
      <c r="T691">
        <v>27.653094995505</v>
      </c>
      <c r="U691" t="str">
        <f t="shared" si="10"/>
        <v>Week 4</v>
      </c>
    </row>
    <row r="692" spans="1:21" x14ac:dyDescent="0.25">
      <c r="A692">
        <v>691</v>
      </c>
      <c r="B692" t="s">
        <v>1305</v>
      </c>
      <c r="C692" s="1">
        <v>46050</v>
      </c>
      <c r="D692" t="s">
        <v>171</v>
      </c>
      <c r="E692" t="s">
        <v>117</v>
      </c>
      <c r="F692" t="s">
        <v>23</v>
      </c>
      <c r="G692" t="s">
        <v>24</v>
      </c>
      <c r="H692" s="2">
        <v>1</v>
      </c>
      <c r="I692" t="s">
        <v>1306</v>
      </c>
      <c r="J692" t="s">
        <v>26</v>
      </c>
      <c r="K692">
        <v>1679500</v>
      </c>
      <c r="L692">
        <v>0</v>
      </c>
      <c r="M692">
        <v>0</v>
      </c>
      <c r="N692">
        <v>184745</v>
      </c>
      <c r="O692">
        <v>0</v>
      </c>
      <c r="P692">
        <v>0</v>
      </c>
      <c r="Q692">
        <v>0</v>
      </c>
      <c r="R692">
        <v>1864245</v>
      </c>
      <c r="S692">
        <v>462884.89</v>
      </c>
      <c r="T692">
        <v>27.560874665079002</v>
      </c>
      <c r="U692" t="str">
        <f t="shared" si="10"/>
        <v>Week 4</v>
      </c>
    </row>
    <row r="693" spans="1:21" x14ac:dyDescent="0.25">
      <c r="A693">
        <v>692</v>
      </c>
      <c r="B693" t="s">
        <v>1307</v>
      </c>
      <c r="C693" s="1">
        <v>46050</v>
      </c>
      <c r="D693" t="s">
        <v>54</v>
      </c>
      <c r="E693" t="s">
        <v>55</v>
      </c>
      <c r="F693" t="s">
        <v>30</v>
      </c>
      <c r="G693" t="s">
        <v>24</v>
      </c>
      <c r="H693" s="2">
        <v>1</v>
      </c>
      <c r="I693" t="s">
        <v>1308</v>
      </c>
      <c r="K693">
        <v>4045440</v>
      </c>
      <c r="L693">
        <v>0</v>
      </c>
      <c r="M693">
        <v>0</v>
      </c>
      <c r="N693">
        <v>444998.40000000002</v>
      </c>
      <c r="O693">
        <v>0</v>
      </c>
      <c r="P693">
        <v>0</v>
      </c>
      <c r="Q693">
        <v>0</v>
      </c>
      <c r="R693">
        <v>4490438.4000000004</v>
      </c>
      <c r="S693">
        <v>-82560</v>
      </c>
      <c r="T693">
        <v>-2.0408163265305999</v>
      </c>
      <c r="U693" t="str">
        <f t="shared" si="10"/>
        <v>Week 4</v>
      </c>
    </row>
    <row r="694" spans="1:21" x14ac:dyDescent="0.25">
      <c r="A694">
        <v>693</v>
      </c>
      <c r="B694" t="s">
        <v>1309</v>
      </c>
      <c r="C694" s="1">
        <v>46050</v>
      </c>
      <c r="D694" t="s">
        <v>21</v>
      </c>
      <c r="E694" t="s">
        <v>22</v>
      </c>
      <c r="F694" t="s">
        <v>30</v>
      </c>
      <c r="G694" t="s">
        <v>24</v>
      </c>
      <c r="H694" s="2">
        <v>1</v>
      </c>
      <c r="I694" t="s">
        <v>1310</v>
      </c>
      <c r="J694" t="s">
        <v>26</v>
      </c>
      <c r="K694">
        <v>9081250</v>
      </c>
      <c r="L694">
        <v>0</v>
      </c>
      <c r="M694">
        <v>0</v>
      </c>
      <c r="N694">
        <v>998937.5</v>
      </c>
      <c r="O694">
        <v>0</v>
      </c>
      <c r="P694">
        <v>0</v>
      </c>
      <c r="Q694">
        <v>0</v>
      </c>
      <c r="R694">
        <v>10080187.5</v>
      </c>
      <c r="S694">
        <v>871750</v>
      </c>
      <c r="T694">
        <v>9.5994494150034004</v>
      </c>
      <c r="U694" t="str">
        <f t="shared" si="10"/>
        <v>Week 4</v>
      </c>
    </row>
    <row r="695" spans="1:21" x14ac:dyDescent="0.25">
      <c r="A695">
        <v>694</v>
      </c>
      <c r="B695" t="s">
        <v>1311</v>
      </c>
      <c r="C695" s="1">
        <v>46049</v>
      </c>
      <c r="D695" t="s">
        <v>33</v>
      </c>
      <c r="E695" t="s">
        <v>38</v>
      </c>
      <c r="F695" t="s">
        <v>23</v>
      </c>
      <c r="G695" t="s">
        <v>24</v>
      </c>
      <c r="H695" s="2">
        <v>1</v>
      </c>
      <c r="I695" t="s">
        <v>1312</v>
      </c>
      <c r="K695">
        <v>340030</v>
      </c>
      <c r="L695">
        <v>0</v>
      </c>
      <c r="M695">
        <v>0</v>
      </c>
      <c r="N695">
        <v>37403.300000000003</v>
      </c>
      <c r="O695">
        <v>0</v>
      </c>
      <c r="P695">
        <v>0</v>
      </c>
      <c r="Q695">
        <v>0</v>
      </c>
      <c r="R695">
        <v>377433.3</v>
      </c>
      <c r="S695">
        <v>197280</v>
      </c>
      <c r="T695">
        <v>58.018410140282</v>
      </c>
      <c r="U695" t="str">
        <f t="shared" si="10"/>
        <v>Week 4</v>
      </c>
    </row>
    <row r="696" spans="1:21" x14ac:dyDescent="0.25">
      <c r="A696">
        <v>695</v>
      </c>
      <c r="B696" t="s">
        <v>1313</v>
      </c>
      <c r="C696" s="1">
        <v>46049</v>
      </c>
      <c r="D696" t="s">
        <v>252</v>
      </c>
      <c r="E696" t="s">
        <v>117</v>
      </c>
      <c r="F696" t="s">
        <v>23</v>
      </c>
      <c r="G696" t="s">
        <v>24</v>
      </c>
      <c r="H696" s="2">
        <v>1</v>
      </c>
      <c r="I696" t="s">
        <v>1314</v>
      </c>
      <c r="J696" t="s">
        <v>26</v>
      </c>
      <c r="K696">
        <v>11879000</v>
      </c>
      <c r="L696">
        <v>0</v>
      </c>
      <c r="M696">
        <v>0</v>
      </c>
      <c r="N696">
        <v>1306690</v>
      </c>
      <c r="O696">
        <v>0</v>
      </c>
      <c r="P696">
        <v>0</v>
      </c>
      <c r="Q696">
        <v>0</v>
      </c>
      <c r="R696">
        <v>13185690</v>
      </c>
      <c r="S696">
        <v>1093102.71</v>
      </c>
      <c r="T696">
        <v>9.2019758397171003</v>
      </c>
      <c r="U696" t="str">
        <f t="shared" si="10"/>
        <v>Week 4</v>
      </c>
    </row>
    <row r="697" spans="1:21" x14ac:dyDescent="0.25">
      <c r="A697">
        <v>696</v>
      </c>
      <c r="B697" t="s">
        <v>1315</v>
      </c>
      <c r="C697" s="1">
        <v>46049</v>
      </c>
      <c r="D697" t="s">
        <v>33</v>
      </c>
      <c r="E697" t="s">
        <v>38</v>
      </c>
      <c r="F697" t="s">
        <v>23</v>
      </c>
      <c r="G697" t="s">
        <v>24</v>
      </c>
      <c r="H697" s="2">
        <v>1</v>
      </c>
      <c r="I697" t="s">
        <v>1316</v>
      </c>
      <c r="K697">
        <v>28033515</v>
      </c>
      <c r="L697">
        <v>0</v>
      </c>
      <c r="M697">
        <v>0</v>
      </c>
      <c r="N697">
        <v>3083686.65</v>
      </c>
      <c r="O697">
        <v>0</v>
      </c>
      <c r="P697">
        <v>0</v>
      </c>
      <c r="Q697">
        <v>0</v>
      </c>
      <c r="R697">
        <v>31117201.649999999</v>
      </c>
      <c r="S697">
        <v>-423110</v>
      </c>
      <c r="T697">
        <v>-1.5093005639856001</v>
      </c>
      <c r="U697" t="str">
        <f t="shared" si="10"/>
        <v>Week 4</v>
      </c>
    </row>
    <row r="698" spans="1:21" x14ac:dyDescent="0.25">
      <c r="A698">
        <v>697</v>
      </c>
      <c r="B698" t="s">
        <v>1317</v>
      </c>
      <c r="C698" s="1">
        <v>46049</v>
      </c>
      <c r="D698" t="s">
        <v>33</v>
      </c>
      <c r="E698" t="s">
        <v>38</v>
      </c>
      <c r="F698" t="s">
        <v>23</v>
      </c>
      <c r="G698" t="s">
        <v>24</v>
      </c>
      <c r="H698" s="2">
        <v>1</v>
      </c>
      <c r="I698" t="s">
        <v>1318</v>
      </c>
      <c r="K698">
        <v>38882502.499936</v>
      </c>
      <c r="L698">
        <v>0</v>
      </c>
      <c r="M698">
        <v>0</v>
      </c>
      <c r="N698">
        <v>4277075.2749929996</v>
      </c>
      <c r="O698">
        <v>0</v>
      </c>
      <c r="P698">
        <v>0</v>
      </c>
      <c r="Q698">
        <v>0</v>
      </c>
      <c r="R698">
        <v>43159577.774929002</v>
      </c>
      <c r="S698">
        <v>16430362.806289</v>
      </c>
      <c r="T698">
        <v>42.256443772659999</v>
      </c>
      <c r="U698" t="str">
        <f t="shared" si="10"/>
        <v>Week 4</v>
      </c>
    </row>
    <row r="699" spans="1:21" x14ac:dyDescent="0.25">
      <c r="A699">
        <v>698</v>
      </c>
      <c r="B699" t="s">
        <v>1319</v>
      </c>
      <c r="C699" s="1">
        <v>46049</v>
      </c>
      <c r="D699" t="s">
        <v>440</v>
      </c>
      <c r="E699" t="s">
        <v>117</v>
      </c>
      <c r="F699" t="s">
        <v>23</v>
      </c>
      <c r="G699" t="s">
        <v>24</v>
      </c>
      <c r="H699" s="2">
        <v>1</v>
      </c>
      <c r="I699" t="s">
        <v>1320</v>
      </c>
      <c r="J699" t="s">
        <v>26</v>
      </c>
      <c r="K699">
        <v>60686799.030000001</v>
      </c>
      <c r="L699">
        <v>0</v>
      </c>
      <c r="M699">
        <v>0</v>
      </c>
      <c r="N699">
        <v>6675547.8932999996</v>
      </c>
      <c r="O699">
        <v>0</v>
      </c>
      <c r="P699">
        <v>0</v>
      </c>
      <c r="Q699">
        <v>0</v>
      </c>
      <c r="R699">
        <v>67362346.923299998</v>
      </c>
      <c r="S699">
        <v>8936799.0299999993</v>
      </c>
      <c r="T699">
        <v>14.726100524073001</v>
      </c>
      <c r="U699" t="str">
        <f t="shared" si="10"/>
        <v>Week 4</v>
      </c>
    </row>
    <row r="700" spans="1:21" x14ac:dyDescent="0.25">
      <c r="A700">
        <v>699</v>
      </c>
      <c r="B700" t="s">
        <v>1321</v>
      </c>
      <c r="C700" s="1">
        <v>46049</v>
      </c>
      <c r="D700" t="s">
        <v>33</v>
      </c>
      <c r="E700" t="s">
        <v>38</v>
      </c>
      <c r="F700" t="s">
        <v>23</v>
      </c>
      <c r="G700" t="s">
        <v>24</v>
      </c>
      <c r="H700" s="2">
        <v>1</v>
      </c>
      <c r="I700" t="s">
        <v>1322</v>
      </c>
      <c r="K700">
        <v>17383621.875</v>
      </c>
      <c r="L700">
        <v>0</v>
      </c>
      <c r="M700">
        <v>0</v>
      </c>
      <c r="N700">
        <v>1912198.40625</v>
      </c>
      <c r="O700">
        <v>0</v>
      </c>
      <c r="P700">
        <v>0</v>
      </c>
      <c r="Q700">
        <v>0</v>
      </c>
      <c r="R700">
        <v>19295820.28125</v>
      </c>
      <c r="S700">
        <v>4498714.6677930001</v>
      </c>
      <c r="T700">
        <v>25.879041204082</v>
      </c>
      <c r="U700" t="str">
        <f t="shared" si="10"/>
        <v>Week 4</v>
      </c>
    </row>
    <row r="701" spans="1:21" x14ac:dyDescent="0.25">
      <c r="A701">
        <v>700</v>
      </c>
      <c r="B701" t="s">
        <v>1323</v>
      </c>
      <c r="C701" s="1">
        <v>46049</v>
      </c>
      <c r="D701" t="s">
        <v>54</v>
      </c>
      <c r="E701" t="s">
        <v>55</v>
      </c>
      <c r="F701" t="s">
        <v>23</v>
      </c>
      <c r="G701" t="s">
        <v>24</v>
      </c>
      <c r="H701" s="2">
        <v>1</v>
      </c>
      <c r="I701" t="s">
        <v>1324</v>
      </c>
      <c r="K701">
        <v>27420000</v>
      </c>
      <c r="L701">
        <v>0</v>
      </c>
      <c r="M701">
        <v>0</v>
      </c>
      <c r="N701">
        <v>3016200</v>
      </c>
      <c r="O701">
        <v>0</v>
      </c>
      <c r="P701">
        <v>0</v>
      </c>
      <c r="Q701">
        <v>0</v>
      </c>
      <c r="R701">
        <v>30436200</v>
      </c>
      <c r="S701">
        <v>6985890</v>
      </c>
      <c r="T701">
        <v>25.477352297593001</v>
      </c>
      <c r="U701" t="str">
        <f t="shared" si="10"/>
        <v>Week 4</v>
      </c>
    </row>
    <row r="702" spans="1:21" x14ac:dyDescent="0.25">
      <c r="A702">
        <v>701</v>
      </c>
      <c r="B702" t="s">
        <v>1325</v>
      </c>
      <c r="C702" s="1">
        <v>46049</v>
      </c>
      <c r="D702" t="s">
        <v>54</v>
      </c>
      <c r="E702" t="s">
        <v>205</v>
      </c>
      <c r="F702" t="s">
        <v>23</v>
      </c>
      <c r="G702" t="s">
        <v>24</v>
      </c>
      <c r="H702" s="2">
        <v>1</v>
      </c>
      <c r="I702" t="s">
        <v>1326</v>
      </c>
      <c r="J702" t="s">
        <v>26</v>
      </c>
      <c r="K702">
        <v>6445000</v>
      </c>
      <c r="L702">
        <v>0</v>
      </c>
      <c r="M702">
        <v>0</v>
      </c>
      <c r="N702">
        <v>708950</v>
      </c>
      <c r="O702">
        <v>0</v>
      </c>
      <c r="P702">
        <v>0</v>
      </c>
      <c r="Q702">
        <v>0</v>
      </c>
      <c r="R702">
        <v>7153950</v>
      </c>
      <c r="S702">
        <v>784080</v>
      </c>
      <c r="T702">
        <v>12.165709852599001</v>
      </c>
      <c r="U702" t="str">
        <f t="shared" si="10"/>
        <v>Week 4</v>
      </c>
    </row>
    <row r="703" spans="1:21" x14ac:dyDescent="0.25">
      <c r="A703">
        <v>702</v>
      </c>
      <c r="B703" t="s">
        <v>1327</v>
      </c>
      <c r="C703" s="1">
        <v>46049</v>
      </c>
      <c r="D703" t="s">
        <v>21</v>
      </c>
      <c r="E703" t="s">
        <v>22</v>
      </c>
      <c r="F703" t="s">
        <v>30</v>
      </c>
      <c r="G703" t="s">
        <v>24</v>
      </c>
      <c r="H703" s="2">
        <v>1</v>
      </c>
      <c r="I703" t="s">
        <v>1328</v>
      </c>
      <c r="J703" t="s">
        <v>26</v>
      </c>
      <c r="K703">
        <v>2434320</v>
      </c>
      <c r="L703">
        <v>0</v>
      </c>
      <c r="M703">
        <v>0</v>
      </c>
      <c r="N703">
        <v>267775.2</v>
      </c>
      <c r="O703">
        <v>0</v>
      </c>
      <c r="P703">
        <v>0</v>
      </c>
      <c r="Q703">
        <v>0</v>
      </c>
      <c r="R703">
        <v>2702095.2</v>
      </c>
      <c r="S703">
        <v>1173058.7387387</v>
      </c>
      <c r="T703">
        <v>48.188353985455002</v>
      </c>
      <c r="U703" t="str">
        <f t="shared" si="10"/>
        <v>Week 4</v>
      </c>
    </row>
    <row r="704" spans="1:21" x14ac:dyDescent="0.25">
      <c r="A704">
        <v>703</v>
      </c>
      <c r="B704" t="s">
        <v>1329</v>
      </c>
      <c r="C704" s="1">
        <v>46049</v>
      </c>
      <c r="D704" t="s">
        <v>21</v>
      </c>
      <c r="E704" t="s">
        <v>22</v>
      </c>
      <c r="F704" t="s">
        <v>30</v>
      </c>
      <c r="G704" t="s">
        <v>24</v>
      </c>
      <c r="H704" s="2">
        <v>1</v>
      </c>
      <c r="I704" t="s">
        <v>1330</v>
      </c>
      <c r="J704" t="s">
        <v>26</v>
      </c>
      <c r="K704">
        <v>5185620</v>
      </c>
      <c r="L704">
        <v>0</v>
      </c>
      <c r="M704">
        <v>0</v>
      </c>
      <c r="N704">
        <v>570418.19999999995</v>
      </c>
      <c r="O704">
        <v>0</v>
      </c>
      <c r="P704">
        <v>0</v>
      </c>
      <c r="Q704">
        <v>0</v>
      </c>
      <c r="R704">
        <v>5756038.2000000002</v>
      </c>
      <c r="S704">
        <v>1865349</v>
      </c>
      <c r="T704">
        <v>35.971571383943001</v>
      </c>
      <c r="U704" t="str">
        <f t="shared" si="10"/>
        <v>Week 4</v>
      </c>
    </row>
    <row r="705" spans="1:21" x14ac:dyDescent="0.25">
      <c r="A705">
        <v>704</v>
      </c>
      <c r="B705" t="s">
        <v>1331</v>
      </c>
      <c r="C705" s="1">
        <v>46049</v>
      </c>
      <c r="D705" t="s">
        <v>171</v>
      </c>
      <c r="E705" t="s">
        <v>1303</v>
      </c>
      <c r="F705" t="s">
        <v>23</v>
      </c>
      <c r="G705" t="s">
        <v>24</v>
      </c>
      <c r="H705" s="2">
        <v>1</v>
      </c>
      <c r="I705" t="s">
        <v>1332</v>
      </c>
      <c r="K705">
        <v>4175000</v>
      </c>
      <c r="L705">
        <v>0</v>
      </c>
      <c r="M705">
        <v>0</v>
      </c>
      <c r="N705">
        <v>459250</v>
      </c>
      <c r="O705">
        <v>0</v>
      </c>
      <c r="P705">
        <v>0</v>
      </c>
      <c r="Q705">
        <v>0</v>
      </c>
      <c r="R705">
        <v>4634250</v>
      </c>
      <c r="S705">
        <v>2436054.0540582002</v>
      </c>
      <c r="T705">
        <v>58.348600097202002</v>
      </c>
      <c r="U705" t="str">
        <f t="shared" si="10"/>
        <v>Week 4</v>
      </c>
    </row>
    <row r="706" spans="1:21" x14ac:dyDescent="0.25">
      <c r="A706">
        <v>705</v>
      </c>
      <c r="B706" t="s">
        <v>1333</v>
      </c>
      <c r="C706" s="1">
        <v>46049</v>
      </c>
      <c r="D706" t="s">
        <v>21</v>
      </c>
      <c r="E706" t="s">
        <v>22</v>
      </c>
      <c r="F706" t="s">
        <v>30</v>
      </c>
      <c r="G706" t="s">
        <v>24</v>
      </c>
      <c r="H706" s="2">
        <v>1</v>
      </c>
      <c r="I706" t="s">
        <v>1334</v>
      </c>
      <c r="J706" t="s">
        <v>26</v>
      </c>
      <c r="K706">
        <v>40884932.899999999</v>
      </c>
      <c r="L706">
        <v>0</v>
      </c>
      <c r="M706">
        <v>0</v>
      </c>
      <c r="N706">
        <v>4497342.6189999999</v>
      </c>
      <c r="O706">
        <v>0</v>
      </c>
      <c r="P706">
        <v>0</v>
      </c>
      <c r="Q706">
        <v>0</v>
      </c>
      <c r="R706">
        <v>45382275.519000001</v>
      </c>
      <c r="S706">
        <v>8896808.8009018991</v>
      </c>
      <c r="T706">
        <v>21.760605117446001</v>
      </c>
      <c r="U706" t="str">
        <f t="shared" si="10"/>
        <v>Week 4</v>
      </c>
    </row>
    <row r="707" spans="1:21" x14ac:dyDescent="0.25">
      <c r="A707">
        <v>706</v>
      </c>
      <c r="B707" t="s">
        <v>1335</v>
      </c>
      <c r="C707" s="1">
        <v>46049</v>
      </c>
      <c r="D707" t="s">
        <v>33</v>
      </c>
      <c r="E707" t="s">
        <v>38</v>
      </c>
      <c r="F707" t="s">
        <v>23</v>
      </c>
      <c r="G707" t="s">
        <v>24</v>
      </c>
      <c r="H707" s="2">
        <v>1</v>
      </c>
      <c r="I707" t="s">
        <v>1336</v>
      </c>
      <c r="K707">
        <v>141870900</v>
      </c>
      <c r="L707">
        <v>0</v>
      </c>
      <c r="M707">
        <v>0</v>
      </c>
      <c r="N707">
        <v>15605799</v>
      </c>
      <c r="O707">
        <v>0</v>
      </c>
      <c r="P707">
        <v>0</v>
      </c>
      <c r="Q707">
        <v>0</v>
      </c>
      <c r="R707">
        <v>157476699</v>
      </c>
      <c r="S707">
        <v>32799945.050000001</v>
      </c>
      <c r="T707">
        <v>23.119572125080001</v>
      </c>
      <c r="U707" t="str">
        <f t="shared" ref="U707:U770" si="11">"Week " &amp;IF(DAY(C707)&gt;=24,4,INT((DAY(C707)-1)/7)+1)</f>
        <v>Week 4</v>
      </c>
    </row>
    <row r="708" spans="1:21" x14ac:dyDescent="0.25">
      <c r="A708">
        <v>707</v>
      </c>
      <c r="B708" t="s">
        <v>1337</v>
      </c>
      <c r="C708" s="1">
        <v>46049</v>
      </c>
      <c r="D708" t="s">
        <v>1338</v>
      </c>
      <c r="E708" t="s">
        <v>194</v>
      </c>
      <c r="F708" t="s">
        <v>23</v>
      </c>
      <c r="G708" t="s">
        <v>24</v>
      </c>
      <c r="H708" s="2">
        <v>1</v>
      </c>
      <c r="I708" t="s">
        <v>1339</v>
      </c>
      <c r="J708" t="s">
        <v>26</v>
      </c>
      <c r="K708">
        <v>4775000</v>
      </c>
      <c r="L708">
        <v>0</v>
      </c>
      <c r="M708">
        <v>0</v>
      </c>
      <c r="N708">
        <v>525250</v>
      </c>
      <c r="O708">
        <v>0</v>
      </c>
      <c r="P708">
        <v>0</v>
      </c>
      <c r="Q708">
        <v>0</v>
      </c>
      <c r="R708">
        <v>5300250</v>
      </c>
      <c r="S708">
        <v>495721</v>
      </c>
      <c r="T708">
        <v>10.381591623037</v>
      </c>
      <c r="U708" t="str">
        <f t="shared" si="11"/>
        <v>Week 4</v>
      </c>
    </row>
    <row r="709" spans="1:21" x14ac:dyDescent="0.25">
      <c r="A709">
        <v>708</v>
      </c>
      <c r="B709" t="s">
        <v>1340</v>
      </c>
      <c r="C709" s="1">
        <v>46049</v>
      </c>
      <c r="D709" t="s">
        <v>1341</v>
      </c>
      <c r="E709" t="s">
        <v>205</v>
      </c>
      <c r="F709" t="s">
        <v>39</v>
      </c>
      <c r="G709" t="s">
        <v>24</v>
      </c>
      <c r="H709" s="2">
        <v>1</v>
      </c>
      <c r="I709" t="s">
        <v>1166</v>
      </c>
      <c r="J709" t="s">
        <v>26</v>
      </c>
      <c r="K709">
        <v>207900</v>
      </c>
      <c r="L709">
        <v>0</v>
      </c>
      <c r="M709">
        <v>0</v>
      </c>
      <c r="N709">
        <v>22869</v>
      </c>
      <c r="O709">
        <v>0</v>
      </c>
      <c r="P709">
        <v>0</v>
      </c>
      <c r="Q709">
        <v>0</v>
      </c>
      <c r="R709">
        <v>230769</v>
      </c>
      <c r="S709">
        <v>39900</v>
      </c>
      <c r="T709">
        <v>19.191919191918998</v>
      </c>
      <c r="U709" t="str">
        <f t="shared" si="11"/>
        <v>Week 4</v>
      </c>
    </row>
    <row r="710" spans="1:21" x14ac:dyDescent="0.25">
      <c r="A710">
        <v>709</v>
      </c>
      <c r="B710" t="s">
        <v>1342</v>
      </c>
      <c r="C710" s="1">
        <v>46049</v>
      </c>
      <c r="D710" t="s">
        <v>113</v>
      </c>
      <c r="E710" t="s">
        <v>38</v>
      </c>
      <c r="F710" t="s">
        <v>23</v>
      </c>
      <c r="G710" t="s">
        <v>24</v>
      </c>
      <c r="H710" s="2">
        <v>1</v>
      </c>
      <c r="I710" t="s">
        <v>1343</v>
      </c>
      <c r="K710">
        <v>20567010</v>
      </c>
      <c r="L710">
        <v>0</v>
      </c>
      <c r="M710">
        <v>0</v>
      </c>
      <c r="N710">
        <v>2262371.1</v>
      </c>
      <c r="O710">
        <v>0</v>
      </c>
      <c r="P710">
        <v>0</v>
      </c>
      <c r="Q710">
        <v>0</v>
      </c>
      <c r="R710">
        <v>22829381.100000001</v>
      </c>
      <c r="S710">
        <v>5392860</v>
      </c>
      <c r="T710">
        <v>26.220923702570001</v>
      </c>
      <c r="U710" t="str">
        <f t="shared" si="11"/>
        <v>Week 4</v>
      </c>
    </row>
    <row r="711" spans="1:21" x14ac:dyDescent="0.25">
      <c r="A711">
        <v>710</v>
      </c>
      <c r="B711" t="s">
        <v>1344</v>
      </c>
      <c r="C711" s="1">
        <v>46049</v>
      </c>
      <c r="D711" t="s">
        <v>54</v>
      </c>
      <c r="E711" t="s">
        <v>205</v>
      </c>
      <c r="F711" t="s">
        <v>23</v>
      </c>
      <c r="G711" t="s">
        <v>24</v>
      </c>
      <c r="H711" s="2">
        <v>1</v>
      </c>
      <c r="I711" t="s">
        <v>1326</v>
      </c>
      <c r="J711" t="s">
        <v>26</v>
      </c>
      <c r="K711">
        <v>81479344</v>
      </c>
      <c r="L711">
        <v>0</v>
      </c>
      <c r="M711">
        <v>0</v>
      </c>
      <c r="N711">
        <v>8962727.8399999999</v>
      </c>
      <c r="O711">
        <v>0</v>
      </c>
      <c r="P711">
        <v>0</v>
      </c>
      <c r="Q711">
        <v>0</v>
      </c>
      <c r="R711">
        <v>90442071.840000004</v>
      </c>
      <c r="S711">
        <v>15455106.199999999</v>
      </c>
      <c r="T711">
        <v>18.968127922090002</v>
      </c>
      <c r="U711" t="str">
        <f t="shared" si="11"/>
        <v>Week 4</v>
      </c>
    </row>
    <row r="712" spans="1:21" x14ac:dyDescent="0.25">
      <c r="A712">
        <v>711</v>
      </c>
      <c r="B712" t="s">
        <v>1345</v>
      </c>
      <c r="C712" s="1">
        <v>46049</v>
      </c>
      <c r="D712" t="s">
        <v>1341</v>
      </c>
      <c r="E712" t="s">
        <v>22</v>
      </c>
      <c r="F712" t="s">
        <v>30</v>
      </c>
      <c r="G712" t="s">
        <v>24</v>
      </c>
      <c r="H712" s="2">
        <v>1</v>
      </c>
      <c r="I712" t="s">
        <v>1346</v>
      </c>
      <c r="J712" t="s">
        <v>26</v>
      </c>
      <c r="K712">
        <v>207900</v>
      </c>
      <c r="L712">
        <v>0</v>
      </c>
      <c r="M712">
        <v>0</v>
      </c>
      <c r="N712">
        <v>22869</v>
      </c>
      <c r="O712">
        <v>0</v>
      </c>
      <c r="P712">
        <v>0</v>
      </c>
      <c r="Q712">
        <v>0</v>
      </c>
      <c r="R712">
        <v>230769</v>
      </c>
      <c r="S712">
        <v>39900</v>
      </c>
      <c r="T712">
        <v>19.191919191918998</v>
      </c>
      <c r="U712" t="str">
        <f t="shared" si="11"/>
        <v>Week 4</v>
      </c>
    </row>
    <row r="713" spans="1:21" x14ac:dyDescent="0.25">
      <c r="A713">
        <v>712</v>
      </c>
      <c r="B713" t="s">
        <v>1347</v>
      </c>
      <c r="C713" s="1">
        <v>46049</v>
      </c>
      <c r="D713" t="s">
        <v>54</v>
      </c>
      <c r="E713" t="s">
        <v>205</v>
      </c>
      <c r="F713" t="s">
        <v>23</v>
      </c>
      <c r="G713" t="s">
        <v>24</v>
      </c>
      <c r="H713" s="2">
        <v>1</v>
      </c>
      <c r="I713" t="s">
        <v>1326</v>
      </c>
      <c r="J713" t="s">
        <v>26</v>
      </c>
      <c r="K713">
        <v>293377368</v>
      </c>
      <c r="L713">
        <v>0</v>
      </c>
      <c r="M713">
        <v>0</v>
      </c>
      <c r="N713">
        <v>32271510.48</v>
      </c>
      <c r="O713">
        <v>0</v>
      </c>
      <c r="P713">
        <v>0</v>
      </c>
      <c r="Q713">
        <v>0</v>
      </c>
      <c r="R713">
        <v>325648878.48000002</v>
      </c>
      <c r="S713">
        <v>34777368</v>
      </c>
      <c r="T713">
        <v>11.854141386939</v>
      </c>
      <c r="U713" t="str">
        <f t="shared" si="11"/>
        <v>Week 4</v>
      </c>
    </row>
    <row r="714" spans="1:21" x14ac:dyDescent="0.25">
      <c r="A714">
        <v>713</v>
      </c>
      <c r="B714" t="s">
        <v>1348</v>
      </c>
      <c r="C714" s="1">
        <v>46049</v>
      </c>
      <c r="D714" t="s">
        <v>171</v>
      </c>
      <c r="E714" t="s">
        <v>1303</v>
      </c>
      <c r="F714" t="s">
        <v>30</v>
      </c>
      <c r="G714" t="s">
        <v>24</v>
      </c>
      <c r="H714" s="2">
        <v>1</v>
      </c>
      <c r="I714" t="s">
        <v>1349</v>
      </c>
      <c r="K714">
        <v>35000000</v>
      </c>
      <c r="L714">
        <v>0</v>
      </c>
      <c r="M714">
        <v>0</v>
      </c>
      <c r="N714">
        <v>3850000</v>
      </c>
      <c r="O714">
        <v>0</v>
      </c>
      <c r="P714">
        <v>0</v>
      </c>
      <c r="Q714">
        <v>0</v>
      </c>
      <c r="R714">
        <v>38850000</v>
      </c>
      <c r="S714">
        <v>8800000</v>
      </c>
      <c r="T714">
        <v>25.142857142857</v>
      </c>
      <c r="U714" t="str">
        <f t="shared" si="11"/>
        <v>Week 4</v>
      </c>
    </row>
    <row r="715" spans="1:21" x14ac:dyDescent="0.25">
      <c r="A715">
        <v>714</v>
      </c>
      <c r="B715" t="s">
        <v>1350</v>
      </c>
      <c r="C715" s="1">
        <v>46048</v>
      </c>
      <c r="D715" t="s">
        <v>54</v>
      </c>
      <c r="E715" t="s">
        <v>55</v>
      </c>
      <c r="F715" t="s">
        <v>30</v>
      </c>
      <c r="G715" t="s">
        <v>24</v>
      </c>
      <c r="H715" s="2">
        <v>1</v>
      </c>
      <c r="I715" t="s">
        <v>1351</v>
      </c>
      <c r="K715">
        <v>23151600</v>
      </c>
      <c r="L715">
        <v>0</v>
      </c>
      <c r="M715">
        <v>0</v>
      </c>
      <c r="N715">
        <v>2546676</v>
      </c>
      <c r="O715">
        <v>0</v>
      </c>
      <c r="P715">
        <v>0</v>
      </c>
      <c r="Q715">
        <v>0</v>
      </c>
      <c r="R715">
        <v>25698276</v>
      </c>
      <c r="S715">
        <v>16751600</v>
      </c>
      <c r="T715">
        <v>72.356122255049002</v>
      </c>
      <c r="U715" t="str">
        <f t="shared" si="11"/>
        <v>Week 4</v>
      </c>
    </row>
    <row r="716" spans="1:21" x14ac:dyDescent="0.25">
      <c r="A716">
        <v>715</v>
      </c>
      <c r="B716" t="s">
        <v>1352</v>
      </c>
      <c r="C716" s="1">
        <v>46048</v>
      </c>
      <c r="D716" t="s">
        <v>54</v>
      </c>
      <c r="E716" t="s">
        <v>55</v>
      </c>
      <c r="F716" t="s">
        <v>23</v>
      </c>
      <c r="G716" t="s">
        <v>24</v>
      </c>
      <c r="H716" s="2">
        <v>1</v>
      </c>
      <c r="I716" t="s">
        <v>1353</v>
      </c>
      <c r="K716">
        <v>54027268.694954</v>
      </c>
      <c r="L716">
        <v>0</v>
      </c>
      <c r="M716">
        <v>0</v>
      </c>
      <c r="N716">
        <v>5942999.5564449001</v>
      </c>
      <c r="O716">
        <v>0</v>
      </c>
      <c r="P716">
        <v>0</v>
      </c>
      <c r="Q716">
        <v>0</v>
      </c>
      <c r="R716">
        <v>59970268.251399003</v>
      </c>
      <c r="S716">
        <v>19117884.813331999</v>
      </c>
      <c r="T716">
        <v>35.385621511379</v>
      </c>
      <c r="U716" t="str">
        <f t="shared" si="11"/>
        <v>Week 4</v>
      </c>
    </row>
    <row r="717" spans="1:21" x14ac:dyDescent="0.25">
      <c r="A717">
        <v>716</v>
      </c>
      <c r="B717" t="s">
        <v>1354</v>
      </c>
      <c r="C717" s="1">
        <v>46048</v>
      </c>
      <c r="D717" t="s">
        <v>33</v>
      </c>
      <c r="E717" t="s">
        <v>38</v>
      </c>
      <c r="F717" t="s">
        <v>23</v>
      </c>
      <c r="G717" t="s">
        <v>24</v>
      </c>
      <c r="H717" s="2">
        <v>1</v>
      </c>
      <c r="I717" t="s">
        <v>1355</v>
      </c>
      <c r="K717">
        <v>57422550</v>
      </c>
      <c r="L717">
        <v>0</v>
      </c>
      <c r="M717">
        <v>0</v>
      </c>
      <c r="N717">
        <v>6316480.5</v>
      </c>
      <c r="O717">
        <v>0</v>
      </c>
      <c r="P717">
        <v>0</v>
      </c>
      <c r="Q717">
        <v>0</v>
      </c>
      <c r="R717">
        <v>63739030.5</v>
      </c>
      <c r="S717">
        <v>16702550</v>
      </c>
      <c r="T717">
        <v>29.087092091870002</v>
      </c>
      <c r="U717" t="str">
        <f t="shared" si="11"/>
        <v>Week 4</v>
      </c>
    </row>
    <row r="718" spans="1:21" x14ac:dyDescent="0.25">
      <c r="A718">
        <v>717</v>
      </c>
      <c r="B718" t="s">
        <v>1356</v>
      </c>
      <c r="C718" s="1">
        <v>46048</v>
      </c>
      <c r="D718" t="s">
        <v>33</v>
      </c>
      <c r="E718" t="s">
        <v>34</v>
      </c>
      <c r="F718" t="s">
        <v>30</v>
      </c>
      <c r="G718" t="s">
        <v>24</v>
      </c>
      <c r="H718" s="2">
        <v>1</v>
      </c>
      <c r="I718" t="s">
        <v>1357</v>
      </c>
      <c r="K718">
        <v>12012742</v>
      </c>
      <c r="L718">
        <v>0</v>
      </c>
      <c r="M718">
        <v>0</v>
      </c>
      <c r="N718">
        <v>1321401.6200000001</v>
      </c>
      <c r="O718">
        <v>0</v>
      </c>
      <c r="P718">
        <v>0</v>
      </c>
      <c r="Q718">
        <v>0</v>
      </c>
      <c r="R718">
        <v>13334143.619999999</v>
      </c>
      <c r="S718">
        <v>4682742</v>
      </c>
      <c r="T718">
        <v>38.981458188314001</v>
      </c>
      <c r="U718" t="str">
        <f t="shared" si="11"/>
        <v>Week 4</v>
      </c>
    </row>
    <row r="719" spans="1:21" x14ac:dyDescent="0.25">
      <c r="A719">
        <v>718</v>
      </c>
      <c r="B719" t="s">
        <v>1358</v>
      </c>
      <c r="C719" s="1">
        <v>46048</v>
      </c>
      <c r="D719" t="s">
        <v>37</v>
      </c>
      <c r="E719" t="s">
        <v>38</v>
      </c>
      <c r="F719" t="s">
        <v>23</v>
      </c>
      <c r="G719" t="s">
        <v>24</v>
      </c>
      <c r="H719" s="2">
        <v>1</v>
      </c>
      <c r="I719" t="s">
        <v>1359</v>
      </c>
      <c r="K719">
        <v>13940813.558603</v>
      </c>
      <c r="L719">
        <v>0</v>
      </c>
      <c r="M719">
        <v>0</v>
      </c>
      <c r="N719">
        <v>1533489.4914462999</v>
      </c>
      <c r="O719">
        <v>0</v>
      </c>
      <c r="P719">
        <v>0</v>
      </c>
      <c r="Q719">
        <v>0</v>
      </c>
      <c r="R719">
        <v>15474303.050048999</v>
      </c>
      <c r="S719">
        <v>3954665.8466826999</v>
      </c>
      <c r="T719">
        <v>28.367539886094999</v>
      </c>
      <c r="U719" t="str">
        <f t="shared" si="11"/>
        <v>Week 4</v>
      </c>
    </row>
    <row r="720" spans="1:21" x14ac:dyDescent="0.25">
      <c r="C720" s="1"/>
      <c r="H720" s="2"/>
    </row>
    <row r="721" spans="1:21" x14ac:dyDescent="0.25">
      <c r="A721">
        <v>720</v>
      </c>
      <c r="B721" t="s">
        <v>1360</v>
      </c>
      <c r="C721" s="1">
        <v>46048</v>
      </c>
      <c r="D721" t="s">
        <v>504</v>
      </c>
      <c r="E721" t="s">
        <v>194</v>
      </c>
      <c r="F721" t="s">
        <v>30</v>
      </c>
      <c r="G721" t="s">
        <v>24</v>
      </c>
      <c r="H721" s="2">
        <v>1</v>
      </c>
      <c r="I721" t="s">
        <v>1361</v>
      </c>
      <c r="J721" t="s">
        <v>57</v>
      </c>
      <c r="K721">
        <v>4505000</v>
      </c>
      <c r="L721">
        <v>0</v>
      </c>
      <c r="M721">
        <v>0</v>
      </c>
      <c r="N721">
        <v>495550</v>
      </c>
      <c r="O721">
        <v>0</v>
      </c>
      <c r="P721">
        <v>0</v>
      </c>
      <c r="Q721">
        <v>0</v>
      </c>
      <c r="R721">
        <v>5000550</v>
      </c>
      <c r="S721">
        <v>225721</v>
      </c>
      <c r="T721">
        <v>5.0104550499445004</v>
      </c>
      <c r="U721" t="str">
        <f t="shared" si="11"/>
        <v>Week 4</v>
      </c>
    </row>
    <row r="722" spans="1:21" x14ac:dyDescent="0.25">
      <c r="A722">
        <v>721</v>
      </c>
      <c r="B722" t="s">
        <v>1362</v>
      </c>
      <c r="C722" s="1">
        <v>46048</v>
      </c>
      <c r="D722" t="s">
        <v>204</v>
      </c>
      <c r="E722" t="s">
        <v>205</v>
      </c>
      <c r="F722" t="s">
        <v>30</v>
      </c>
      <c r="G722" t="s">
        <v>24</v>
      </c>
      <c r="H722" s="2">
        <v>1</v>
      </c>
      <c r="I722" t="s">
        <v>1363</v>
      </c>
      <c r="J722" t="s">
        <v>26</v>
      </c>
      <c r="K722">
        <v>1323000</v>
      </c>
      <c r="L722">
        <v>0</v>
      </c>
      <c r="M722">
        <v>0</v>
      </c>
      <c r="N722">
        <v>145530</v>
      </c>
      <c r="O722">
        <v>0</v>
      </c>
      <c r="P722">
        <v>0</v>
      </c>
      <c r="Q722">
        <v>0</v>
      </c>
      <c r="R722">
        <v>1468530</v>
      </c>
      <c r="S722">
        <v>183000</v>
      </c>
      <c r="T722">
        <v>13.832199546485</v>
      </c>
      <c r="U722" t="str">
        <f t="shared" si="11"/>
        <v>Week 4</v>
      </c>
    </row>
    <row r="723" spans="1:21" x14ac:dyDescent="0.25">
      <c r="A723">
        <v>722</v>
      </c>
      <c r="B723" t="s">
        <v>1364</v>
      </c>
      <c r="C723" s="1">
        <v>46048</v>
      </c>
      <c r="D723" t="s">
        <v>21</v>
      </c>
      <c r="E723" t="s">
        <v>22</v>
      </c>
      <c r="F723" t="s">
        <v>30</v>
      </c>
      <c r="G723" t="s">
        <v>24</v>
      </c>
      <c r="H723" s="2">
        <v>1</v>
      </c>
      <c r="I723" t="s">
        <v>1365</v>
      </c>
      <c r="J723" t="s">
        <v>26</v>
      </c>
      <c r="K723">
        <v>7454030</v>
      </c>
      <c r="L723">
        <v>0</v>
      </c>
      <c r="M723">
        <v>0</v>
      </c>
      <c r="N723">
        <v>819943.3</v>
      </c>
      <c r="O723">
        <v>0</v>
      </c>
      <c r="P723">
        <v>0</v>
      </c>
      <c r="Q723">
        <v>0</v>
      </c>
      <c r="R723">
        <v>8273973.2999999998</v>
      </c>
      <c r="S723">
        <v>521782.1</v>
      </c>
      <c r="T723">
        <v>7</v>
      </c>
      <c r="U723" t="str">
        <f t="shared" si="11"/>
        <v>Week 4</v>
      </c>
    </row>
    <row r="724" spans="1:21" x14ac:dyDescent="0.25">
      <c r="A724">
        <v>723</v>
      </c>
      <c r="B724" t="s">
        <v>1366</v>
      </c>
      <c r="C724" s="1">
        <v>46048</v>
      </c>
      <c r="D724" t="s">
        <v>21</v>
      </c>
      <c r="E724" t="s">
        <v>22</v>
      </c>
      <c r="F724" t="s">
        <v>30</v>
      </c>
      <c r="G724" t="s">
        <v>24</v>
      </c>
      <c r="H724" s="2">
        <v>1</v>
      </c>
      <c r="I724" t="s">
        <v>1367</v>
      </c>
      <c r="J724" t="s">
        <v>26</v>
      </c>
      <c r="K724">
        <v>8109740.0999999996</v>
      </c>
      <c r="L724">
        <v>0</v>
      </c>
      <c r="M724">
        <v>0</v>
      </c>
      <c r="N724">
        <v>892071.41099999996</v>
      </c>
      <c r="O724">
        <v>0</v>
      </c>
      <c r="P724">
        <v>0</v>
      </c>
      <c r="Q724">
        <v>0</v>
      </c>
      <c r="R724">
        <v>9001811.5109999999</v>
      </c>
      <c r="S724">
        <v>1056361.7216216</v>
      </c>
      <c r="T724">
        <v>13.025839405403</v>
      </c>
      <c r="U724" t="str">
        <f t="shared" si="11"/>
        <v>Week 4</v>
      </c>
    </row>
    <row r="725" spans="1:21" x14ac:dyDescent="0.25">
      <c r="A725">
        <v>724</v>
      </c>
      <c r="B725" t="s">
        <v>1368</v>
      </c>
      <c r="C725" s="1">
        <v>46048</v>
      </c>
      <c r="D725" t="s">
        <v>21</v>
      </c>
      <c r="E725" t="s">
        <v>22</v>
      </c>
      <c r="F725" t="s">
        <v>30</v>
      </c>
      <c r="G725" t="s">
        <v>24</v>
      </c>
      <c r="H725" s="2">
        <v>1</v>
      </c>
      <c r="I725" t="s">
        <v>1369</v>
      </c>
      <c r="J725" t="s">
        <v>26</v>
      </c>
      <c r="K725">
        <v>3940972</v>
      </c>
      <c r="L725">
        <v>0</v>
      </c>
      <c r="M725">
        <v>0</v>
      </c>
      <c r="N725">
        <v>433506.92</v>
      </c>
      <c r="O725">
        <v>0</v>
      </c>
      <c r="P725">
        <v>0</v>
      </c>
      <c r="Q725">
        <v>0</v>
      </c>
      <c r="R725">
        <v>4374478.92</v>
      </c>
      <c r="S725">
        <v>595372</v>
      </c>
      <c r="T725">
        <v>15.107237503844001</v>
      </c>
      <c r="U725" t="str">
        <f t="shared" si="11"/>
        <v>Week 4</v>
      </c>
    </row>
    <row r="726" spans="1:21" x14ac:dyDescent="0.25">
      <c r="A726">
        <v>725</v>
      </c>
      <c r="B726" t="s">
        <v>1370</v>
      </c>
      <c r="C726" s="1">
        <v>46048</v>
      </c>
      <c r="D726" t="s">
        <v>21</v>
      </c>
      <c r="E726" t="s">
        <v>22</v>
      </c>
      <c r="F726" t="s">
        <v>30</v>
      </c>
      <c r="G726" t="s">
        <v>24</v>
      </c>
      <c r="H726" s="2">
        <v>1</v>
      </c>
      <c r="I726" t="s">
        <v>1371</v>
      </c>
      <c r="J726" t="s">
        <v>26</v>
      </c>
      <c r="K726">
        <v>2481727.5</v>
      </c>
      <c r="L726">
        <v>0</v>
      </c>
      <c r="M726">
        <v>0</v>
      </c>
      <c r="N726">
        <v>272990.02500000002</v>
      </c>
      <c r="O726">
        <v>0</v>
      </c>
      <c r="P726">
        <v>0</v>
      </c>
      <c r="Q726">
        <v>0</v>
      </c>
      <c r="R726">
        <v>2754717.5249999999</v>
      </c>
      <c r="S726">
        <v>762841.7</v>
      </c>
      <c r="T726">
        <v>30.738334486764</v>
      </c>
      <c r="U726" t="str">
        <f t="shared" si="11"/>
        <v>Week 4</v>
      </c>
    </row>
    <row r="727" spans="1:21" x14ac:dyDescent="0.25">
      <c r="A727">
        <v>726</v>
      </c>
      <c r="B727" t="s">
        <v>1372</v>
      </c>
      <c r="C727" s="1">
        <v>46048</v>
      </c>
      <c r="D727" t="s">
        <v>33</v>
      </c>
      <c r="E727" t="s">
        <v>34</v>
      </c>
      <c r="F727" t="s">
        <v>30</v>
      </c>
      <c r="G727" t="s">
        <v>24</v>
      </c>
      <c r="H727" s="2">
        <v>1</v>
      </c>
      <c r="I727" t="s">
        <v>1373</v>
      </c>
      <c r="K727">
        <v>4116000</v>
      </c>
      <c r="L727">
        <v>0</v>
      </c>
      <c r="M727">
        <v>0</v>
      </c>
      <c r="N727">
        <v>452760</v>
      </c>
      <c r="O727">
        <v>0</v>
      </c>
      <c r="P727">
        <v>0</v>
      </c>
      <c r="Q727">
        <v>0</v>
      </c>
      <c r="R727">
        <v>4568760</v>
      </c>
      <c r="S727">
        <v>2306000</v>
      </c>
      <c r="T727">
        <v>56.025267249757</v>
      </c>
      <c r="U727" t="str">
        <f t="shared" si="11"/>
        <v>Week 4</v>
      </c>
    </row>
    <row r="728" spans="1:21" x14ac:dyDescent="0.25">
      <c r="A728">
        <v>727</v>
      </c>
      <c r="B728" t="s">
        <v>1374</v>
      </c>
      <c r="C728" s="1">
        <v>46048</v>
      </c>
      <c r="D728" t="s">
        <v>33</v>
      </c>
      <c r="E728" t="s">
        <v>34</v>
      </c>
      <c r="F728" t="s">
        <v>30</v>
      </c>
      <c r="G728" t="s">
        <v>24</v>
      </c>
      <c r="H728" s="2">
        <v>1</v>
      </c>
      <c r="I728" t="s">
        <v>1375</v>
      </c>
      <c r="K728">
        <v>4380600</v>
      </c>
      <c r="L728">
        <v>0</v>
      </c>
      <c r="M728">
        <v>0</v>
      </c>
      <c r="N728">
        <v>481866</v>
      </c>
      <c r="O728">
        <v>0</v>
      </c>
      <c r="P728">
        <v>0</v>
      </c>
      <c r="Q728">
        <v>0</v>
      </c>
      <c r="R728">
        <v>4862466</v>
      </c>
      <c r="S728">
        <v>2425600</v>
      </c>
      <c r="T728">
        <v>55.371410309090002</v>
      </c>
      <c r="U728" t="str">
        <f t="shared" si="11"/>
        <v>Week 4</v>
      </c>
    </row>
    <row r="729" spans="1:21" x14ac:dyDescent="0.25">
      <c r="A729">
        <v>728</v>
      </c>
      <c r="B729" t="s">
        <v>1376</v>
      </c>
      <c r="C729" s="1">
        <v>46048</v>
      </c>
      <c r="D729" t="s">
        <v>21</v>
      </c>
      <c r="E729" t="s">
        <v>22</v>
      </c>
      <c r="F729" t="s">
        <v>30</v>
      </c>
      <c r="G729" t="s">
        <v>24</v>
      </c>
      <c r="H729" s="2">
        <v>1</v>
      </c>
      <c r="I729" t="s">
        <v>1377</v>
      </c>
      <c r="J729" t="s">
        <v>26</v>
      </c>
      <c r="K729">
        <v>2689610</v>
      </c>
      <c r="L729">
        <v>0</v>
      </c>
      <c r="M729">
        <v>0</v>
      </c>
      <c r="N729">
        <v>295857.09999999998</v>
      </c>
      <c r="O729">
        <v>0</v>
      </c>
      <c r="P729">
        <v>0</v>
      </c>
      <c r="Q729">
        <v>0</v>
      </c>
      <c r="R729">
        <v>2985467.1</v>
      </c>
      <c r="S729">
        <v>362610</v>
      </c>
      <c r="T729">
        <v>13.481880272605</v>
      </c>
      <c r="U729" t="str">
        <f t="shared" si="11"/>
        <v>Week 4</v>
      </c>
    </row>
    <row r="730" spans="1:21" x14ac:dyDescent="0.25">
      <c r="A730">
        <v>729</v>
      </c>
      <c r="B730" t="s">
        <v>1378</v>
      </c>
      <c r="C730" s="1">
        <v>46048</v>
      </c>
      <c r="D730" t="s">
        <v>21</v>
      </c>
      <c r="E730" t="s">
        <v>22</v>
      </c>
      <c r="F730" t="s">
        <v>30</v>
      </c>
      <c r="G730" t="s">
        <v>24</v>
      </c>
      <c r="H730" s="2">
        <v>1</v>
      </c>
      <c r="I730" t="s">
        <v>1379</v>
      </c>
      <c r="J730" t="s">
        <v>26</v>
      </c>
      <c r="K730">
        <v>433160</v>
      </c>
      <c r="L730">
        <v>0</v>
      </c>
      <c r="M730">
        <v>0</v>
      </c>
      <c r="N730">
        <v>47647.6</v>
      </c>
      <c r="O730">
        <v>0</v>
      </c>
      <c r="P730">
        <v>0</v>
      </c>
      <c r="Q730">
        <v>0</v>
      </c>
      <c r="R730">
        <v>480807.6</v>
      </c>
      <c r="S730">
        <v>263160</v>
      </c>
      <c r="T730">
        <v>60.753532182104003</v>
      </c>
      <c r="U730" t="str">
        <f t="shared" si="11"/>
        <v>Week 4</v>
      </c>
    </row>
    <row r="731" spans="1:21" x14ac:dyDescent="0.25">
      <c r="A731">
        <v>730</v>
      </c>
      <c r="B731" t="s">
        <v>1380</v>
      </c>
      <c r="C731" s="1">
        <v>46048</v>
      </c>
      <c r="D731" t="s">
        <v>21</v>
      </c>
      <c r="E731" t="s">
        <v>22</v>
      </c>
      <c r="F731" t="s">
        <v>30</v>
      </c>
      <c r="G731" t="s">
        <v>24</v>
      </c>
      <c r="H731" s="2">
        <v>1</v>
      </c>
      <c r="I731" t="s">
        <v>1381</v>
      </c>
      <c r="J731" t="s">
        <v>26</v>
      </c>
      <c r="K731">
        <v>17040240</v>
      </c>
      <c r="L731">
        <v>0</v>
      </c>
      <c r="M731">
        <v>0</v>
      </c>
      <c r="N731">
        <v>1874426.4</v>
      </c>
      <c r="O731">
        <v>0</v>
      </c>
      <c r="P731">
        <v>0</v>
      </c>
      <c r="Q731">
        <v>0</v>
      </c>
      <c r="R731">
        <v>18914666.399999999</v>
      </c>
      <c r="S731">
        <v>8211411.1711712005</v>
      </c>
      <c r="T731">
        <v>48.188353985455002</v>
      </c>
      <c r="U731" t="str">
        <f t="shared" si="11"/>
        <v>Week 4</v>
      </c>
    </row>
    <row r="732" spans="1:21" x14ac:dyDescent="0.25">
      <c r="A732">
        <v>731</v>
      </c>
      <c r="B732" t="s">
        <v>1382</v>
      </c>
      <c r="C732" s="1">
        <v>46048</v>
      </c>
      <c r="D732" t="s">
        <v>37</v>
      </c>
      <c r="E732" t="s">
        <v>34</v>
      </c>
      <c r="F732" t="s">
        <v>23</v>
      </c>
      <c r="G732" t="s">
        <v>24</v>
      </c>
      <c r="H732" s="2">
        <v>1</v>
      </c>
      <c r="I732" t="s">
        <v>1383</v>
      </c>
      <c r="K732">
        <v>85000</v>
      </c>
      <c r="L732">
        <v>0</v>
      </c>
      <c r="M732">
        <v>0</v>
      </c>
      <c r="N732">
        <v>9350</v>
      </c>
      <c r="O732">
        <v>0</v>
      </c>
      <c r="P732">
        <v>0</v>
      </c>
      <c r="Q732">
        <v>0</v>
      </c>
      <c r="R732">
        <v>94350</v>
      </c>
      <c r="S732">
        <v>85000</v>
      </c>
      <c r="T732">
        <v>100</v>
      </c>
      <c r="U732" t="str">
        <f t="shared" si="11"/>
        <v>Week 4</v>
      </c>
    </row>
    <row r="733" spans="1:21" x14ac:dyDescent="0.25">
      <c r="A733">
        <v>732</v>
      </c>
      <c r="B733" t="s">
        <v>1384</v>
      </c>
      <c r="C733" s="1">
        <v>46046</v>
      </c>
      <c r="D733" t="s">
        <v>21</v>
      </c>
      <c r="E733" t="s">
        <v>22</v>
      </c>
      <c r="F733" t="s">
        <v>23</v>
      </c>
      <c r="G733" t="s">
        <v>24</v>
      </c>
      <c r="H733" s="2">
        <v>1</v>
      </c>
      <c r="I733" t="s">
        <v>149</v>
      </c>
      <c r="J733" t="s">
        <v>26</v>
      </c>
      <c r="K733">
        <v>385000</v>
      </c>
      <c r="L733">
        <v>0</v>
      </c>
      <c r="M733">
        <v>0</v>
      </c>
      <c r="N733">
        <v>42350</v>
      </c>
      <c r="O733">
        <v>0</v>
      </c>
      <c r="P733">
        <v>0</v>
      </c>
      <c r="Q733">
        <v>0</v>
      </c>
      <c r="R733">
        <v>427350</v>
      </c>
      <c r="S733">
        <v>19019</v>
      </c>
      <c r="T733">
        <v>4.9400000000000004</v>
      </c>
      <c r="U733" t="str">
        <f t="shared" si="11"/>
        <v>Week 4</v>
      </c>
    </row>
    <row r="734" spans="1:21" x14ac:dyDescent="0.25">
      <c r="A734">
        <v>733</v>
      </c>
      <c r="B734" t="s">
        <v>1385</v>
      </c>
      <c r="C734" s="1">
        <v>46046</v>
      </c>
      <c r="D734" t="s">
        <v>37</v>
      </c>
      <c r="E734" t="s">
        <v>34</v>
      </c>
      <c r="F734" t="s">
        <v>23</v>
      </c>
      <c r="G734" t="s">
        <v>24</v>
      </c>
      <c r="H734" s="2">
        <v>1</v>
      </c>
      <c r="I734" t="s">
        <v>1386</v>
      </c>
      <c r="K734">
        <v>43653413</v>
      </c>
      <c r="L734">
        <v>0</v>
      </c>
      <c r="M734">
        <v>0</v>
      </c>
      <c r="N734">
        <v>4801875.43</v>
      </c>
      <c r="O734">
        <v>0</v>
      </c>
      <c r="P734">
        <v>0</v>
      </c>
      <c r="Q734">
        <v>0</v>
      </c>
      <c r="R734">
        <v>48455288.43</v>
      </c>
      <c r="S734">
        <v>12404895.666666999</v>
      </c>
      <c r="T734">
        <v>28.416783051229</v>
      </c>
      <c r="U734" t="str">
        <f t="shared" si="11"/>
        <v>Week 4</v>
      </c>
    </row>
    <row r="735" spans="1:21" x14ac:dyDescent="0.25">
      <c r="A735">
        <v>734</v>
      </c>
      <c r="B735" t="s">
        <v>1387</v>
      </c>
      <c r="C735" s="1">
        <v>46046</v>
      </c>
      <c r="D735" t="s">
        <v>171</v>
      </c>
      <c r="E735" t="s">
        <v>117</v>
      </c>
      <c r="F735" t="s">
        <v>23</v>
      </c>
      <c r="G735" t="s">
        <v>24</v>
      </c>
      <c r="H735" s="2">
        <v>1</v>
      </c>
      <c r="I735" t="s">
        <v>1388</v>
      </c>
      <c r="J735" t="s">
        <v>26</v>
      </c>
      <c r="K735">
        <v>2157000</v>
      </c>
      <c r="L735">
        <v>0</v>
      </c>
      <c r="M735">
        <v>0</v>
      </c>
      <c r="N735">
        <v>237270</v>
      </c>
      <c r="O735">
        <v>0</v>
      </c>
      <c r="P735">
        <v>0</v>
      </c>
      <c r="Q735">
        <v>0</v>
      </c>
      <c r="R735">
        <v>2394270</v>
      </c>
      <c r="S735">
        <v>1023544.6126122</v>
      </c>
      <c r="T735">
        <v>47.452230533714001</v>
      </c>
      <c r="U735" t="str">
        <f t="shared" si="11"/>
        <v>Week 4</v>
      </c>
    </row>
    <row r="736" spans="1:21" x14ac:dyDescent="0.25">
      <c r="A736">
        <v>735</v>
      </c>
      <c r="B736" t="s">
        <v>1389</v>
      </c>
      <c r="C736" s="1">
        <v>46046</v>
      </c>
      <c r="D736" t="s">
        <v>255</v>
      </c>
      <c r="E736" t="s">
        <v>205</v>
      </c>
      <c r="F736" t="s">
        <v>23</v>
      </c>
      <c r="G736" t="s">
        <v>24</v>
      </c>
      <c r="H736" s="2">
        <v>1</v>
      </c>
      <c r="I736" t="s">
        <v>1390</v>
      </c>
      <c r="J736" t="s">
        <v>26</v>
      </c>
      <c r="K736">
        <v>23122498.375</v>
      </c>
      <c r="L736">
        <v>0</v>
      </c>
      <c r="M736">
        <v>0</v>
      </c>
      <c r="N736">
        <v>2543474.82125</v>
      </c>
      <c r="O736">
        <v>0</v>
      </c>
      <c r="P736">
        <v>0</v>
      </c>
      <c r="Q736">
        <v>0</v>
      </c>
      <c r="R736">
        <v>25665973.196249999</v>
      </c>
      <c r="S736">
        <v>5203605.0833702004</v>
      </c>
      <c r="T736">
        <v>22.504510537651999</v>
      </c>
      <c r="U736" t="str">
        <f t="shared" si="11"/>
        <v>Week 4</v>
      </c>
    </row>
    <row r="737" spans="1:21" x14ac:dyDescent="0.25">
      <c r="A737">
        <v>736</v>
      </c>
      <c r="B737" t="s">
        <v>1391</v>
      </c>
      <c r="C737" s="1">
        <v>46046</v>
      </c>
      <c r="D737" t="s">
        <v>312</v>
      </c>
      <c r="E737" t="s">
        <v>100</v>
      </c>
      <c r="F737" t="s">
        <v>23</v>
      </c>
      <c r="G737" t="s">
        <v>24</v>
      </c>
      <c r="H737" s="2">
        <v>1</v>
      </c>
      <c r="I737" t="s">
        <v>702</v>
      </c>
      <c r="K737">
        <v>85431000</v>
      </c>
      <c r="L737">
        <v>0</v>
      </c>
      <c r="M737">
        <v>0</v>
      </c>
      <c r="N737">
        <v>9397410</v>
      </c>
      <c r="O737">
        <v>0</v>
      </c>
      <c r="P737">
        <v>0</v>
      </c>
      <c r="Q737">
        <v>0</v>
      </c>
      <c r="R737">
        <v>94828410</v>
      </c>
      <c r="S737">
        <v>31052892.600359999</v>
      </c>
      <c r="T737">
        <v>36.348506514451003</v>
      </c>
      <c r="U737" t="str">
        <f t="shared" si="11"/>
        <v>Week 4</v>
      </c>
    </row>
    <row r="738" spans="1:21" x14ac:dyDescent="0.25">
      <c r="A738">
        <v>737</v>
      </c>
      <c r="B738" t="s">
        <v>1392</v>
      </c>
      <c r="C738" s="1">
        <v>46046</v>
      </c>
      <c r="D738" t="s">
        <v>54</v>
      </c>
      <c r="E738" t="s">
        <v>55</v>
      </c>
      <c r="F738" t="s">
        <v>30</v>
      </c>
      <c r="G738" t="s">
        <v>24</v>
      </c>
      <c r="H738" s="2">
        <v>1</v>
      </c>
      <c r="I738" t="s">
        <v>1393</v>
      </c>
      <c r="K738">
        <v>4782600</v>
      </c>
      <c r="L738">
        <v>0</v>
      </c>
      <c r="M738">
        <v>0</v>
      </c>
      <c r="N738">
        <v>526086</v>
      </c>
      <c r="O738">
        <v>0</v>
      </c>
      <c r="P738">
        <v>0</v>
      </c>
      <c r="Q738">
        <v>0</v>
      </c>
      <c r="R738">
        <v>5308686</v>
      </c>
      <c r="S738">
        <v>1031265</v>
      </c>
      <c r="T738">
        <v>21.562852841550999</v>
      </c>
      <c r="U738" t="str">
        <f t="shared" si="11"/>
        <v>Week 4</v>
      </c>
    </row>
    <row r="739" spans="1:21" x14ac:dyDescent="0.25">
      <c r="A739">
        <v>738</v>
      </c>
      <c r="B739" t="s">
        <v>1394</v>
      </c>
      <c r="C739" s="1">
        <v>46046</v>
      </c>
      <c r="D739" t="s">
        <v>54</v>
      </c>
      <c r="E739" t="s">
        <v>55</v>
      </c>
      <c r="F739" t="s">
        <v>30</v>
      </c>
      <c r="G739" t="s">
        <v>24</v>
      </c>
      <c r="H739" s="2">
        <v>1</v>
      </c>
      <c r="I739" t="s">
        <v>1395</v>
      </c>
      <c r="K739">
        <v>61727176</v>
      </c>
      <c r="L739">
        <v>0</v>
      </c>
      <c r="M739">
        <v>0</v>
      </c>
      <c r="N739">
        <v>6789989.3600000003</v>
      </c>
      <c r="O739">
        <v>0</v>
      </c>
      <c r="P739">
        <v>0</v>
      </c>
      <c r="Q739">
        <v>0</v>
      </c>
      <c r="R739">
        <v>68517165.359999999</v>
      </c>
      <c r="S739">
        <v>7058460.5</v>
      </c>
      <c r="T739">
        <v>11.434931836182001</v>
      </c>
      <c r="U739" t="str">
        <f t="shared" si="11"/>
        <v>Week 4</v>
      </c>
    </row>
    <row r="740" spans="1:21" x14ac:dyDescent="0.25">
      <c r="A740">
        <v>739</v>
      </c>
      <c r="B740" t="s">
        <v>1396</v>
      </c>
      <c r="C740" s="1">
        <v>46046</v>
      </c>
      <c r="D740" t="s">
        <v>99</v>
      </c>
      <c r="E740" t="s">
        <v>100</v>
      </c>
      <c r="F740" t="s">
        <v>30</v>
      </c>
      <c r="G740" t="s">
        <v>24</v>
      </c>
      <c r="H740" s="2">
        <v>1</v>
      </c>
      <c r="I740" t="s">
        <v>1397</v>
      </c>
      <c r="J740" t="s">
        <v>26</v>
      </c>
      <c r="K740">
        <v>9702000</v>
      </c>
      <c r="L740">
        <v>0</v>
      </c>
      <c r="M740">
        <v>0</v>
      </c>
      <c r="N740">
        <v>1067220</v>
      </c>
      <c r="O740">
        <v>0</v>
      </c>
      <c r="P740">
        <v>0</v>
      </c>
      <c r="Q740">
        <v>0</v>
      </c>
      <c r="R740">
        <v>10769220</v>
      </c>
      <c r="S740">
        <v>2010043.2432432</v>
      </c>
      <c r="T740">
        <v>20.717823574966001</v>
      </c>
      <c r="U740" t="str">
        <f t="shared" si="11"/>
        <v>Week 4</v>
      </c>
    </row>
    <row r="741" spans="1:21" x14ac:dyDescent="0.25">
      <c r="A741">
        <v>740</v>
      </c>
      <c r="B741" t="s">
        <v>1398</v>
      </c>
      <c r="C741" s="1">
        <v>46046</v>
      </c>
      <c r="D741" t="s">
        <v>54</v>
      </c>
      <c r="E741" t="s">
        <v>55</v>
      </c>
      <c r="F741" t="s">
        <v>30</v>
      </c>
      <c r="G741" t="s">
        <v>24</v>
      </c>
      <c r="H741" s="2">
        <v>1</v>
      </c>
      <c r="I741" t="s">
        <v>1399</v>
      </c>
      <c r="K741">
        <v>249825</v>
      </c>
      <c r="L741">
        <v>0</v>
      </c>
      <c r="M741">
        <v>0</v>
      </c>
      <c r="N741">
        <v>27480.75</v>
      </c>
      <c r="O741">
        <v>0</v>
      </c>
      <c r="P741">
        <v>0</v>
      </c>
      <c r="Q741">
        <v>0</v>
      </c>
      <c r="R741">
        <v>277305.75</v>
      </c>
      <c r="S741">
        <v>137212.4</v>
      </c>
      <c r="T741">
        <v>54.923406384468997</v>
      </c>
      <c r="U741" t="str">
        <f t="shared" si="11"/>
        <v>Week 4</v>
      </c>
    </row>
    <row r="742" spans="1:21" x14ac:dyDescent="0.25">
      <c r="A742">
        <v>741</v>
      </c>
      <c r="B742" t="s">
        <v>1400</v>
      </c>
      <c r="C742" s="1">
        <v>46046</v>
      </c>
      <c r="D742" t="s">
        <v>54</v>
      </c>
      <c r="E742" t="s">
        <v>55</v>
      </c>
      <c r="F742" t="s">
        <v>30</v>
      </c>
      <c r="G742" t="s">
        <v>24</v>
      </c>
      <c r="H742" s="2">
        <v>1</v>
      </c>
      <c r="I742" t="s">
        <v>1401</v>
      </c>
      <c r="K742">
        <v>423840</v>
      </c>
      <c r="L742">
        <v>0</v>
      </c>
      <c r="M742">
        <v>0</v>
      </c>
      <c r="N742">
        <v>46622.400000000001</v>
      </c>
      <c r="O742">
        <v>0</v>
      </c>
      <c r="P742">
        <v>0</v>
      </c>
      <c r="Q742">
        <v>0</v>
      </c>
      <c r="R742">
        <v>470462.4</v>
      </c>
      <c r="S742">
        <v>43840</v>
      </c>
      <c r="T742">
        <v>10.343525858814999</v>
      </c>
      <c r="U742" t="str">
        <f t="shared" si="11"/>
        <v>Week 4</v>
      </c>
    </row>
    <row r="743" spans="1:21" x14ac:dyDescent="0.25">
      <c r="A743">
        <v>742</v>
      </c>
      <c r="B743" t="s">
        <v>1402</v>
      </c>
      <c r="C743" s="1">
        <v>46046</v>
      </c>
      <c r="D743" t="s">
        <v>171</v>
      </c>
      <c r="E743" t="s">
        <v>100</v>
      </c>
      <c r="F743" t="s">
        <v>23</v>
      </c>
      <c r="G743" t="s">
        <v>24</v>
      </c>
      <c r="H743" s="2">
        <v>1</v>
      </c>
      <c r="I743" t="s">
        <v>1403</v>
      </c>
      <c r="K743">
        <v>305550500</v>
      </c>
      <c r="L743">
        <v>0</v>
      </c>
      <c r="M743">
        <v>0</v>
      </c>
      <c r="N743">
        <v>33610555</v>
      </c>
      <c r="O743">
        <v>0</v>
      </c>
      <c r="P743">
        <v>0</v>
      </c>
      <c r="Q743">
        <v>0</v>
      </c>
      <c r="R743">
        <v>339161055</v>
      </c>
      <c r="S743">
        <v>46683500</v>
      </c>
      <c r="T743">
        <v>15.278489153183999</v>
      </c>
      <c r="U743" t="str">
        <f t="shared" si="11"/>
        <v>Week 4</v>
      </c>
    </row>
    <row r="744" spans="1:21" x14ac:dyDescent="0.25">
      <c r="A744">
        <v>743</v>
      </c>
      <c r="B744" t="s">
        <v>1404</v>
      </c>
      <c r="C744" s="1">
        <v>46046</v>
      </c>
      <c r="D744" t="s">
        <v>33</v>
      </c>
      <c r="E744" t="s">
        <v>34</v>
      </c>
      <c r="F744" t="s">
        <v>23</v>
      </c>
      <c r="G744" t="s">
        <v>24</v>
      </c>
      <c r="H744" s="2">
        <v>1</v>
      </c>
      <c r="I744" t="s">
        <v>1405</v>
      </c>
      <c r="K744">
        <v>6449031.25</v>
      </c>
      <c r="L744">
        <v>0</v>
      </c>
      <c r="M744">
        <v>0</v>
      </c>
      <c r="N744">
        <v>709393.4375</v>
      </c>
      <c r="O744">
        <v>0</v>
      </c>
      <c r="P744">
        <v>0</v>
      </c>
      <c r="Q744">
        <v>0</v>
      </c>
      <c r="R744">
        <v>7158424.6875</v>
      </c>
      <c r="S744">
        <v>1855531.25</v>
      </c>
      <c r="T744">
        <v>28.772247769772001</v>
      </c>
      <c r="U744" t="str">
        <f t="shared" si="11"/>
        <v>Week 4</v>
      </c>
    </row>
    <row r="745" spans="1:21" x14ac:dyDescent="0.25">
      <c r="A745">
        <v>744</v>
      </c>
      <c r="B745" t="s">
        <v>1406</v>
      </c>
      <c r="C745" s="1">
        <v>46046</v>
      </c>
      <c r="D745" t="s">
        <v>33</v>
      </c>
      <c r="E745" t="s">
        <v>34</v>
      </c>
      <c r="F745" t="s">
        <v>23</v>
      </c>
      <c r="G745" t="s">
        <v>24</v>
      </c>
      <c r="H745" s="2">
        <v>1</v>
      </c>
      <c r="I745" t="s">
        <v>1407</v>
      </c>
      <c r="K745">
        <v>1675200</v>
      </c>
      <c r="L745">
        <v>0</v>
      </c>
      <c r="M745">
        <v>0</v>
      </c>
      <c r="N745">
        <v>184272</v>
      </c>
      <c r="O745">
        <v>0</v>
      </c>
      <c r="P745">
        <v>0</v>
      </c>
      <c r="Q745">
        <v>0</v>
      </c>
      <c r="R745">
        <v>1859472</v>
      </c>
      <c r="S745">
        <v>507200</v>
      </c>
      <c r="T745">
        <v>30.276981852913</v>
      </c>
      <c r="U745" t="str">
        <f t="shared" si="11"/>
        <v>Week 4</v>
      </c>
    </row>
    <row r="746" spans="1:21" x14ac:dyDescent="0.25">
      <c r="A746">
        <v>745</v>
      </c>
      <c r="B746" t="s">
        <v>1408</v>
      </c>
      <c r="C746" s="1">
        <v>46046</v>
      </c>
      <c r="D746" t="s">
        <v>21</v>
      </c>
      <c r="E746" t="s">
        <v>55</v>
      </c>
      <c r="F746" t="s">
        <v>30</v>
      </c>
      <c r="G746" t="s">
        <v>24</v>
      </c>
      <c r="H746" s="2">
        <v>1</v>
      </c>
      <c r="I746" t="s">
        <v>1409</v>
      </c>
      <c r="K746">
        <v>90194962</v>
      </c>
      <c r="L746">
        <v>0</v>
      </c>
      <c r="M746">
        <v>0</v>
      </c>
      <c r="N746">
        <v>9921445.8200000003</v>
      </c>
      <c r="O746">
        <v>0</v>
      </c>
      <c r="P746">
        <v>0</v>
      </c>
      <c r="Q746">
        <v>0</v>
      </c>
      <c r="R746">
        <v>100116407.81999999</v>
      </c>
      <c r="S746">
        <v>3357958</v>
      </c>
      <c r="T746">
        <v>3.7229995174232</v>
      </c>
      <c r="U746" t="str">
        <f t="shared" si="11"/>
        <v>Week 4</v>
      </c>
    </row>
    <row r="747" spans="1:21" x14ac:dyDescent="0.25">
      <c r="A747">
        <v>746</v>
      </c>
      <c r="B747" t="s">
        <v>1410</v>
      </c>
      <c r="C747" s="1">
        <v>46046</v>
      </c>
      <c r="D747" t="s">
        <v>113</v>
      </c>
      <c r="E747" t="s">
        <v>34</v>
      </c>
      <c r="F747" t="s">
        <v>23</v>
      </c>
      <c r="G747" t="s">
        <v>24</v>
      </c>
      <c r="H747" s="2">
        <v>1</v>
      </c>
      <c r="I747" t="s">
        <v>1411</v>
      </c>
      <c r="K747">
        <v>35579875</v>
      </c>
      <c r="L747">
        <v>0</v>
      </c>
      <c r="M747">
        <v>0</v>
      </c>
      <c r="N747">
        <v>3913786.25</v>
      </c>
      <c r="O747">
        <v>0</v>
      </c>
      <c r="P747">
        <v>0</v>
      </c>
      <c r="Q747">
        <v>0</v>
      </c>
      <c r="R747">
        <v>39493661.25</v>
      </c>
      <c r="S747">
        <v>12611556.85</v>
      </c>
      <c r="T747">
        <v>35.445759295107003</v>
      </c>
      <c r="U747" t="str">
        <f t="shared" si="11"/>
        <v>Week 4</v>
      </c>
    </row>
    <row r="748" spans="1:21" x14ac:dyDescent="0.25">
      <c r="A748">
        <v>747</v>
      </c>
      <c r="B748" t="s">
        <v>1412</v>
      </c>
      <c r="C748" s="1">
        <v>46046</v>
      </c>
      <c r="D748" t="s">
        <v>21</v>
      </c>
      <c r="E748" t="s">
        <v>22</v>
      </c>
      <c r="F748" t="s">
        <v>30</v>
      </c>
      <c r="G748" t="s">
        <v>24</v>
      </c>
      <c r="H748" s="2">
        <v>1</v>
      </c>
      <c r="I748" t="s">
        <v>1413</v>
      </c>
      <c r="J748" t="s">
        <v>26</v>
      </c>
      <c r="K748">
        <v>34921383.600000001</v>
      </c>
      <c r="L748">
        <v>0</v>
      </c>
      <c r="M748">
        <v>0</v>
      </c>
      <c r="N748">
        <v>3841352.196</v>
      </c>
      <c r="O748">
        <v>0</v>
      </c>
      <c r="P748">
        <v>0</v>
      </c>
      <c r="Q748">
        <v>0</v>
      </c>
      <c r="R748">
        <v>38762735.795999996</v>
      </c>
      <c r="S748">
        <v>12924059.638108</v>
      </c>
      <c r="T748">
        <v>37.009013692425</v>
      </c>
      <c r="U748" t="str">
        <f t="shared" si="11"/>
        <v>Week 4</v>
      </c>
    </row>
    <row r="749" spans="1:21" x14ac:dyDescent="0.25">
      <c r="A749">
        <v>748</v>
      </c>
      <c r="B749" t="s">
        <v>1414</v>
      </c>
      <c r="C749" s="1">
        <v>46045</v>
      </c>
      <c r="D749" t="s">
        <v>99</v>
      </c>
      <c r="E749" t="s">
        <v>100</v>
      </c>
      <c r="F749" t="s">
        <v>23</v>
      </c>
      <c r="G749" t="s">
        <v>24</v>
      </c>
      <c r="H749" s="2">
        <v>1</v>
      </c>
      <c r="I749" t="s">
        <v>1415</v>
      </c>
      <c r="K749">
        <v>5835000</v>
      </c>
      <c r="L749">
        <v>0</v>
      </c>
      <c r="M749">
        <v>0</v>
      </c>
      <c r="N749">
        <v>641850</v>
      </c>
      <c r="O749">
        <v>0</v>
      </c>
      <c r="P749">
        <v>0</v>
      </c>
      <c r="Q749">
        <v>0</v>
      </c>
      <c r="R749">
        <v>6476850</v>
      </c>
      <c r="S749">
        <v>1635000</v>
      </c>
      <c r="T749">
        <v>28.020565552699001</v>
      </c>
      <c r="U749" t="str">
        <f t="shared" si="11"/>
        <v>Week 4</v>
      </c>
    </row>
    <row r="750" spans="1:21" x14ac:dyDescent="0.25">
      <c r="A750">
        <v>749</v>
      </c>
      <c r="B750" t="s">
        <v>1416</v>
      </c>
      <c r="C750" s="1">
        <v>46045</v>
      </c>
      <c r="D750" t="s">
        <v>186</v>
      </c>
      <c r="E750" t="s">
        <v>117</v>
      </c>
      <c r="F750" t="s">
        <v>23</v>
      </c>
      <c r="G750" t="s">
        <v>24</v>
      </c>
      <c r="H750" s="2">
        <v>1</v>
      </c>
      <c r="I750" t="s">
        <v>989</v>
      </c>
      <c r="J750" t="s">
        <v>26</v>
      </c>
      <c r="K750">
        <v>4522000</v>
      </c>
      <c r="L750">
        <v>0</v>
      </c>
      <c r="M750">
        <v>0</v>
      </c>
      <c r="N750">
        <v>497420</v>
      </c>
      <c r="O750">
        <v>0</v>
      </c>
      <c r="P750">
        <v>0</v>
      </c>
      <c r="Q750">
        <v>0</v>
      </c>
      <c r="R750">
        <v>5019420</v>
      </c>
      <c r="S750">
        <v>1009747.74775</v>
      </c>
      <c r="T750">
        <v>22.329671555728002</v>
      </c>
      <c r="U750" t="str">
        <f t="shared" si="11"/>
        <v>Week 4</v>
      </c>
    </row>
    <row r="751" spans="1:21" x14ac:dyDescent="0.25">
      <c r="C751" s="1"/>
      <c r="H751" s="2"/>
    </row>
    <row r="752" spans="1:21" x14ac:dyDescent="0.25">
      <c r="A752">
        <v>751</v>
      </c>
      <c r="B752" t="s">
        <v>1417</v>
      </c>
      <c r="C752" s="1">
        <v>46045</v>
      </c>
      <c r="D752" t="s">
        <v>33</v>
      </c>
      <c r="E752" t="s">
        <v>34</v>
      </c>
      <c r="F752" t="s">
        <v>23</v>
      </c>
      <c r="G752" t="s">
        <v>24</v>
      </c>
      <c r="H752" s="2">
        <v>1</v>
      </c>
      <c r="I752" t="s">
        <v>1418</v>
      </c>
      <c r="K752">
        <v>148944853.81757</v>
      </c>
      <c r="L752">
        <v>0</v>
      </c>
      <c r="M752">
        <v>0</v>
      </c>
      <c r="N752">
        <v>16383933.919932</v>
      </c>
      <c r="O752">
        <v>0</v>
      </c>
      <c r="P752">
        <v>0</v>
      </c>
      <c r="Q752">
        <v>0</v>
      </c>
      <c r="R752">
        <v>165328787.73750001</v>
      </c>
      <c r="S752">
        <v>36720799.763513997</v>
      </c>
      <c r="T752">
        <v>24.653956697618</v>
      </c>
      <c r="U752" t="str">
        <f t="shared" si="11"/>
        <v>Week 4</v>
      </c>
    </row>
    <row r="753" spans="1:21" x14ac:dyDescent="0.25">
      <c r="A753">
        <v>752</v>
      </c>
      <c r="B753" t="s">
        <v>1419</v>
      </c>
      <c r="C753" s="1">
        <v>46045</v>
      </c>
      <c r="D753" t="s">
        <v>356</v>
      </c>
      <c r="E753" t="s">
        <v>1303</v>
      </c>
      <c r="F753" t="s">
        <v>23</v>
      </c>
      <c r="G753" t="s">
        <v>24</v>
      </c>
      <c r="H753" s="2">
        <v>1</v>
      </c>
      <c r="I753" t="s">
        <v>1420</v>
      </c>
      <c r="K753">
        <v>17511000</v>
      </c>
      <c r="L753">
        <v>0</v>
      </c>
      <c r="M753">
        <v>0</v>
      </c>
      <c r="N753">
        <v>1926210</v>
      </c>
      <c r="O753">
        <v>0</v>
      </c>
      <c r="P753">
        <v>0</v>
      </c>
      <c r="Q753">
        <v>0</v>
      </c>
      <c r="R753">
        <v>19437210</v>
      </c>
      <c r="S753">
        <v>11409717.719159</v>
      </c>
      <c r="T753">
        <v>65.157430867222004</v>
      </c>
      <c r="U753" t="str">
        <f t="shared" si="11"/>
        <v>Week 4</v>
      </c>
    </row>
    <row r="754" spans="1:21" x14ac:dyDescent="0.25">
      <c r="A754">
        <v>753</v>
      </c>
      <c r="B754" t="s">
        <v>1421</v>
      </c>
      <c r="C754" s="1">
        <v>46045</v>
      </c>
      <c r="D754" t="s">
        <v>255</v>
      </c>
      <c r="E754" t="s">
        <v>205</v>
      </c>
      <c r="F754" t="s">
        <v>30</v>
      </c>
      <c r="G754" t="s">
        <v>24</v>
      </c>
      <c r="H754" s="2">
        <v>1</v>
      </c>
      <c r="I754" t="s">
        <v>1422</v>
      </c>
      <c r="K754">
        <v>16146410</v>
      </c>
      <c r="L754">
        <v>0</v>
      </c>
      <c r="M754">
        <v>0</v>
      </c>
      <c r="N754">
        <v>1776105.1</v>
      </c>
      <c r="O754">
        <v>0</v>
      </c>
      <c r="P754">
        <v>0</v>
      </c>
      <c r="Q754">
        <v>0</v>
      </c>
      <c r="R754">
        <v>17922515.100000001</v>
      </c>
      <c r="S754">
        <v>-5748590</v>
      </c>
      <c r="T754">
        <v>-35.602898724855997</v>
      </c>
      <c r="U754" t="str">
        <f t="shared" si="11"/>
        <v>Week 4</v>
      </c>
    </row>
    <row r="755" spans="1:21" x14ac:dyDescent="0.25">
      <c r="A755">
        <v>754</v>
      </c>
      <c r="B755" t="s">
        <v>1423</v>
      </c>
      <c r="C755" s="1">
        <v>46045</v>
      </c>
      <c r="D755" t="s">
        <v>113</v>
      </c>
      <c r="E755" t="s">
        <v>34</v>
      </c>
      <c r="F755" t="s">
        <v>30</v>
      </c>
      <c r="G755" t="s">
        <v>24</v>
      </c>
      <c r="H755" s="2">
        <v>1</v>
      </c>
      <c r="I755" t="s">
        <v>1424</v>
      </c>
      <c r="K755">
        <v>59933225</v>
      </c>
      <c r="L755">
        <v>0</v>
      </c>
      <c r="M755">
        <v>0</v>
      </c>
      <c r="N755">
        <v>6592654.75</v>
      </c>
      <c r="O755">
        <v>0</v>
      </c>
      <c r="P755">
        <v>0</v>
      </c>
      <c r="Q755">
        <v>0</v>
      </c>
      <c r="R755">
        <v>66525879.75</v>
      </c>
      <c r="S755">
        <v>2246225</v>
      </c>
      <c r="T755">
        <v>3.7478794107943001</v>
      </c>
      <c r="U755" t="str">
        <f t="shared" si="11"/>
        <v>Week 4</v>
      </c>
    </row>
    <row r="756" spans="1:21" x14ac:dyDescent="0.25">
      <c r="A756">
        <v>755</v>
      </c>
      <c r="B756" t="s">
        <v>1425</v>
      </c>
      <c r="C756" s="1">
        <v>46045</v>
      </c>
      <c r="D756" t="s">
        <v>54</v>
      </c>
      <c r="E756" t="s">
        <v>55</v>
      </c>
      <c r="F756" t="s">
        <v>23</v>
      </c>
      <c r="G756" t="s">
        <v>24</v>
      </c>
      <c r="H756" s="2">
        <v>1</v>
      </c>
      <c r="I756" t="s">
        <v>1426</v>
      </c>
      <c r="K756">
        <v>18495566.603750002</v>
      </c>
      <c r="L756">
        <v>0</v>
      </c>
      <c r="M756">
        <v>0</v>
      </c>
      <c r="N756">
        <v>2034512.3264125001</v>
      </c>
      <c r="O756">
        <v>0</v>
      </c>
      <c r="P756">
        <v>0</v>
      </c>
      <c r="Q756">
        <v>0</v>
      </c>
      <c r="R756">
        <v>20530078.930162001</v>
      </c>
      <c r="S756">
        <v>4458414.9730022997</v>
      </c>
      <c r="T756">
        <v>24.105317066082002</v>
      </c>
      <c r="U756" t="str">
        <f t="shared" si="11"/>
        <v>Week 4</v>
      </c>
    </row>
    <row r="757" spans="1:21" x14ac:dyDescent="0.25">
      <c r="A757">
        <v>756</v>
      </c>
      <c r="B757" t="s">
        <v>1427</v>
      </c>
      <c r="C757" s="1">
        <v>46045</v>
      </c>
      <c r="D757" t="s">
        <v>204</v>
      </c>
      <c r="E757" t="s">
        <v>205</v>
      </c>
      <c r="F757" t="s">
        <v>39</v>
      </c>
      <c r="G757" t="s">
        <v>24</v>
      </c>
      <c r="H757" s="2">
        <v>1</v>
      </c>
      <c r="I757" t="s">
        <v>1428</v>
      </c>
      <c r="J757" t="s">
        <v>26</v>
      </c>
      <c r="K757">
        <v>1190000</v>
      </c>
      <c r="L757">
        <v>0</v>
      </c>
      <c r="M757">
        <v>0</v>
      </c>
      <c r="N757">
        <v>130900</v>
      </c>
      <c r="O757">
        <v>0</v>
      </c>
      <c r="P757">
        <v>0</v>
      </c>
      <c r="Q757">
        <v>0</v>
      </c>
      <c r="R757">
        <v>1320900</v>
      </c>
      <c r="S757">
        <v>-12750</v>
      </c>
      <c r="T757">
        <v>-1.0714285714286</v>
      </c>
      <c r="U757" t="str">
        <f t="shared" si="11"/>
        <v>Week 4</v>
      </c>
    </row>
    <row r="758" spans="1:21" x14ac:dyDescent="0.25">
      <c r="A758">
        <v>757</v>
      </c>
      <c r="B758" t="s">
        <v>1429</v>
      </c>
      <c r="C758" s="1">
        <v>46045</v>
      </c>
      <c r="D758" t="s">
        <v>21</v>
      </c>
      <c r="E758" t="s">
        <v>22</v>
      </c>
      <c r="F758" t="s">
        <v>30</v>
      </c>
      <c r="G758" t="s">
        <v>24</v>
      </c>
      <c r="H758" s="2">
        <v>1</v>
      </c>
      <c r="I758" t="s">
        <v>1430</v>
      </c>
      <c r="J758" t="s">
        <v>26</v>
      </c>
      <c r="K758">
        <v>2237778</v>
      </c>
      <c r="L758">
        <v>0</v>
      </c>
      <c r="M758">
        <v>0</v>
      </c>
      <c r="N758">
        <v>246155.58</v>
      </c>
      <c r="O758">
        <v>0</v>
      </c>
      <c r="P758">
        <v>0</v>
      </c>
      <c r="Q758">
        <v>0</v>
      </c>
      <c r="R758">
        <v>2483933.58</v>
      </c>
      <c r="S758">
        <v>156644.46</v>
      </c>
      <c r="T758">
        <v>7</v>
      </c>
      <c r="U758" t="str">
        <f t="shared" si="11"/>
        <v>Week 4</v>
      </c>
    </row>
    <row r="759" spans="1:21" x14ac:dyDescent="0.25">
      <c r="A759">
        <v>758</v>
      </c>
      <c r="B759" t="s">
        <v>1431</v>
      </c>
      <c r="C759" s="1">
        <v>46045</v>
      </c>
      <c r="D759" t="s">
        <v>171</v>
      </c>
      <c r="E759" t="s">
        <v>100</v>
      </c>
      <c r="F759" t="s">
        <v>23</v>
      </c>
      <c r="G759" t="s">
        <v>24</v>
      </c>
      <c r="H759" s="2">
        <v>1</v>
      </c>
      <c r="I759" t="s">
        <v>172</v>
      </c>
      <c r="K759">
        <v>161200000</v>
      </c>
      <c r="L759">
        <v>0</v>
      </c>
      <c r="M759">
        <v>0</v>
      </c>
      <c r="N759">
        <v>17732000</v>
      </c>
      <c r="O759">
        <v>0</v>
      </c>
      <c r="P759">
        <v>0</v>
      </c>
      <c r="Q759">
        <v>0</v>
      </c>
      <c r="R759">
        <v>178932000</v>
      </c>
      <c r="S759">
        <v>33161000</v>
      </c>
      <c r="T759">
        <v>20.571339950372</v>
      </c>
      <c r="U759" t="str">
        <f t="shared" si="11"/>
        <v>Week 4</v>
      </c>
    </row>
    <row r="760" spans="1:21" x14ac:dyDescent="0.25">
      <c r="A760">
        <v>759</v>
      </c>
      <c r="B760" t="s">
        <v>1432</v>
      </c>
      <c r="C760" s="1">
        <v>46045</v>
      </c>
      <c r="D760" t="s">
        <v>33</v>
      </c>
      <c r="E760" t="s">
        <v>34</v>
      </c>
      <c r="F760" t="s">
        <v>30</v>
      </c>
      <c r="G760" t="s">
        <v>24</v>
      </c>
      <c r="H760" s="2">
        <v>1</v>
      </c>
      <c r="I760" t="s">
        <v>1433</v>
      </c>
      <c r="K760">
        <v>9802510</v>
      </c>
      <c r="L760">
        <v>0</v>
      </c>
      <c r="M760">
        <v>0</v>
      </c>
      <c r="N760">
        <v>1078276.1000000001</v>
      </c>
      <c r="O760">
        <v>0</v>
      </c>
      <c r="P760">
        <v>0</v>
      </c>
      <c r="Q760">
        <v>0</v>
      </c>
      <c r="R760">
        <v>10880786.1</v>
      </c>
      <c r="S760">
        <v>1382239.7297298</v>
      </c>
      <c r="T760">
        <v>14.100875487295999</v>
      </c>
      <c r="U760" t="str">
        <f t="shared" si="11"/>
        <v>Week 4</v>
      </c>
    </row>
    <row r="761" spans="1:21" x14ac:dyDescent="0.25">
      <c r="A761">
        <v>760</v>
      </c>
      <c r="B761" t="s">
        <v>1434</v>
      </c>
      <c r="C761" s="1">
        <v>46045</v>
      </c>
      <c r="D761" t="s">
        <v>54</v>
      </c>
      <c r="E761" t="s">
        <v>55</v>
      </c>
      <c r="F761" t="s">
        <v>39</v>
      </c>
      <c r="G761" t="s">
        <v>24</v>
      </c>
      <c r="H761" s="2">
        <v>1</v>
      </c>
      <c r="I761" t="s">
        <v>1435</v>
      </c>
      <c r="K761">
        <v>23067385.702750001</v>
      </c>
      <c r="L761">
        <v>0</v>
      </c>
      <c r="M761">
        <v>0</v>
      </c>
      <c r="N761">
        <v>2537412.4273024998</v>
      </c>
      <c r="O761">
        <v>0</v>
      </c>
      <c r="P761">
        <v>0</v>
      </c>
      <c r="Q761">
        <v>0</v>
      </c>
      <c r="R761">
        <v>25604798.130052</v>
      </c>
      <c r="S761">
        <v>9877791.7450925</v>
      </c>
      <c r="T761">
        <v>42.821461748544998</v>
      </c>
      <c r="U761" t="str">
        <f t="shared" si="11"/>
        <v>Week 4</v>
      </c>
    </row>
    <row r="762" spans="1:21" x14ac:dyDescent="0.25">
      <c r="A762">
        <v>761</v>
      </c>
      <c r="B762" t="s">
        <v>1436</v>
      </c>
      <c r="C762" s="1">
        <v>46045</v>
      </c>
      <c r="D762" t="s">
        <v>99</v>
      </c>
      <c r="E762" t="s">
        <v>100</v>
      </c>
      <c r="F762" t="s">
        <v>265</v>
      </c>
      <c r="G762" t="s">
        <v>24</v>
      </c>
      <c r="H762" s="2">
        <v>1</v>
      </c>
      <c r="I762" t="s">
        <v>1437</v>
      </c>
      <c r="K762">
        <v>114426000</v>
      </c>
      <c r="L762">
        <v>0</v>
      </c>
      <c r="M762">
        <v>0</v>
      </c>
      <c r="N762">
        <v>12586860</v>
      </c>
      <c r="O762">
        <v>0</v>
      </c>
      <c r="P762">
        <v>0</v>
      </c>
      <c r="Q762">
        <v>0</v>
      </c>
      <c r="R762">
        <v>127012860</v>
      </c>
      <c r="S762">
        <v>32195530.491891999</v>
      </c>
      <c r="T762">
        <v>28.136551563360999</v>
      </c>
      <c r="U762" t="str">
        <f t="shared" si="11"/>
        <v>Week 4</v>
      </c>
    </row>
    <row r="763" spans="1:21" x14ac:dyDescent="0.25">
      <c r="A763">
        <v>762</v>
      </c>
      <c r="B763" t="s">
        <v>1438</v>
      </c>
      <c r="C763" s="1">
        <v>46044</v>
      </c>
      <c r="D763" t="s">
        <v>21</v>
      </c>
      <c r="E763" t="s">
        <v>22</v>
      </c>
      <c r="F763" t="s">
        <v>30</v>
      </c>
      <c r="G763" t="s">
        <v>24</v>
      </c>
      <c r="H763" s="2">
        <v>1</v>
      </c>
      <c r="I763" t="s">
        <v>1439</v>
      </c>
      <c r="J763" t="s">
        <v>26</v>
      </c>
      <c r="K763">
        <v>8967749.6999999993</v>
      </c>
      <c r="L763">
        <v>0</v>
      </c>
      <c r="M763">
        <v>0</v>
      </c>
      <c r="N763">
        <v>986452.46699999995</v>
      </c>
      <c r="O763">
        <v>0</v>
      </c>
      <c r="P763">
        <v>0</v>
      </c>
      <c r="Q763">
        <v>0</v>
      </c>
      <c r="R763">
        <v>9954202.1669999994</v>
      </c>
      <c r="S763">
        <v>3914036.7630631002</v>
      </c>
      <c r="T763">
        <v>43.645695899197001</v>
      </c>
      <c r="U763" t="str">
        <f t="shared" si="11"/>
        <v>Week 4</v>
      </c>
    </row>
    <row r="764" spans="1:21" x14ac:dyDescent="0.25">
      <c r="A764">
        <v>763</v>
      </c>
      <c r="B764" t="s">
        <v>1440</v>
      </c>
      <c r="C764" s="1">
        <v>46044</v>
      </c>
      <c r="D764" t="s">
        <v>21</v>
      </c>
      <c r="E764" t="s">
        <v>22</v>
      </c>
      <c r="F764" t="s">
        <v>30</v>
      </c>
      <c r="G764" t="s">
        <v>24</v>
      </c>
      <c r="H764" s="2">
        <v>1</v>
      </c>
      <c r="I764" t="s">
        <v>1441</v>
      </c>
      <c r="J764" t="s">
        <v>26</v>
      </c>
      <c r="K764">
        <v>2576792.4</v>
      </c>
      <c r="L764">
        <v>0</v>
      </c>
      <c r="M764">
        <v>0</v>
      </c>
      <c r="N764">
        <v>283447.16399999999</v>
      </c>
      <c r="O764">
        <v>0</v>
      </c>
      <c r="P764">
        <v>0</v>
      </c>
      <c r="Q764">
        <v>0</v>
      </c>
      <c r="R764">
        <v>2860239.5639999998</v>
      </c>
      <c r="S764">
        <v>682006.78703123995</v>
      </c>
      <c r="T764">
        <v>26.467277186600001</v>
      </c>
      <c r="U764" t="str">
        <f t="shared" si="11"/>
        <v>Week 4</v>
      </c>
    </row>
    <row r="765" spans="1:21" x14ac:dyDescent="0.25">
      <c r="A765">
        <v>764</v>
      </c>
      <c r="B765" t="s">
        <v>1442</v>
      </c>
      <c r="C765" s="1">
        <v>46044</v>
      </c>
      <c r="D765" t="s">
        <v>54</v>
      </c>
      <c r="E765" t="s">
        <v>55</v>
      </c>
      <c r="F765" t="s">
        <v>30</v>
      </c>
      <c r="G765" t="s">
        <v>24</v>
      </c>
      <c r="H765" s="2">
        <v>1</v>
      </c>
      <c r="I765" t="s">
        <v>1443</v>
      </c>
      <c r="K765">
        <v>4871531</v>
      </c>
      <c r="L765">
        <v>0</v>
      </c>
      <c r="M765">
        <v>0</v>
      </c>
      <c r="N765">
        <v>535868.41</v>
      </c>
      <c r="O765">
        <v>0</v>
      </c>
      <c r="P765">
        <v>0</v>
      </c>
      <c r="Q765">
        <v>0</v>
      </c>
      <c r="R765">
        <v>5407399.4100000001</v>
      </c>
      <c r="S765">
        <v>1011170.63964</v>
      </c>
      <c r="T765">
        <v>20.756732116454</v>
      </c>
      <c r="U765" t="str">
        <f t="shared" si="11"/>
        <v>Week 4</v>
      </c>
    </row>
    <row r="766" spans="1:21" x14ac:dyDescent="0.25">
      <c r="A766">
        <v>765</v>
      </c>
      <c r="B766" t="s">
        <v>1444</v>
      </c>
      <c r="C766" s="1">
        <v>46044</v>
      </c>
      <c r="D766" t="s">
        <v>33</v>
      </c>
      <c r="E766" t="s">
        <v>34</v>
      </c>
      <c r="F766" t="s">
        <v>30</v>
      </c>
      <c r="G766" t="s">
        <v>24</v>
      </c>
      <c r="H766" s="2">
        <v>1</v>
      </c>
      <c r="I766" t="s">
        <v>1445</v>
      </c>
      <c r="K766">
        <v>18337390</v>
      </c>
      <c r="L766">
        <v>0</v>
      </c>
      <c r="M766">
        <v>0</v>
      </c>
      <c r="N766">
        <v>2017112.9</v>
      </c>
      <c r="O766">
        <v>0</v>
      </c>
      <c r="P766">
        <v>0</v>
      </c>
      <c r="Q766">
        <v>0</v>
      </c>
      <c r="R766">
        <v>20354502.899999999</v>
      </c>
      <c r="S766">
        <v>2360979.3198198001</v>
      </c>
      <c r="T766">
        <v>12.875220082137</v>
      </c>
      <c r="U766" t="str">
        <f t="shared" si="11"/>
        <v>Week 4</v>
      </c>
    </row>
    <row r="767" spans="1:21" x14ac:dyDescent="0.25">
      <c r="A767">
        <v>766</v>
      </c>
      <c r="B767" t="s">
        <v>1446</v>
      </c>
      <c r="C767" s="1">
        <v>46044</v>
      </c>
      <c r="D767" t="s">
        <v>54</v>
      </c>
      <c r="E767" t="s">
        <v>55</v>
      </c>
      <c r="F767" t="s">
        <v>30</v>
      </c>
      <c r="G767" t="s">
        <v>24</v>
      </c>
      <c r="H767" s="2">
        <v>1</v>
      </c>
      <c r="I767" t="s">
        <v>973</v>
      </c>
      <c r="K767">
        <v>48643456</v>
      </c>
      <c r="L767">
        <v>0</v>
      </c>
      <c r="M767">
        <v>0</v>
      </c>
      <c r="N767">
        <v>5350780.16</v>
      </c>
      <c r="O767">
        <v>0</v>
      </c>
      <c r="P767">
        <v>0</v>
      </c>
      <c r="Q767">
        <v>0</v>
      </c>
      <c r="R767">
        <v>53994236.159999996</v>
      </c>
      <c r="S767">
        <v>27104933.477480002</v>
      </c>
      <c r="T767">
        <v>55.721644197073999</v>
      </c>
      <c r="U767" t="str">
        <f t="shared" si="11"/>
        <v>Week 4</v>
      </c>
    </row>
    <row r="768" spans="1:21" x14ac:dyDescent="0.25">
      <c r="A768">
        <v>767</v>
      </c>
      <c r="B768" t="s">
        <v>1447</v>
      </c>
      <c r="C768" s="1">
        <v>46044</v>
      </c>
      <c r="D768" t="s">
        <v>54</v>
      </c>
      <c r="E768" t="s">
        <v>55</v>
      </c>
      <c r="F768" t="s">
        <v>23</v>
      </c>
      <c r="G768" t="s">
        <v>24</v>
      </c>
      <c r="H768" s="2">
        <v>1</v>
      </c>
      <c r="I768" t="s">
        <v>1448</v>
      </c>
      <c r="K768">
        <v>4871531</v>
      </c>
      <c r="L768">
        <v>0</v>
      </c>
      <c r="M768">
        <v>0</v>
      </c>
      <c r="N768">
        <v>535868.41</v>
      </c>
      <c r="O768">
        <v>0</v>
      </c>
      <c r="P768">
        <v>0</v>
      </c>
      <c r="Q768">
        <v>0</v>
      </c>
      <c r="R768">
        <v>5407399.4100000001</v>
      </c>
      <c r="S768">
        <v>1011170.63964</v>
      </c>
      <c r="T768">
        <v>20.756732116454</v>
      </c>
      <c r="U768" t="str">
        <f t="shared" si="11"/>
        <v>Week 4</v>
      </c>
    </row>
    <row r="769" spans="1:21" x14ac:dyDescent="0.25">
      <c r="A769">
        <v>768</v>
      </c>
      <c r="B769" t="s">
        <v>1449</v>
      </c>
      <c r="C769" s="1">
        <v>46044</v>
      </c>
      <c r="D769" t="s">
        <v>255</v>
      </c>
      <c r="E769" t="s">
        <v>205</v>
      </c>
      <c r="F769" t="s">
        <v>39</v>
      </c>
      <c r="G769" t="s">
        <v>24</v>
      </c>
      <c r="H769" s="2">
        <v>1</v>
      </c>
      <c r="I769" t="s">
        <v>1166</v>
      </c>
      <c r="K769">
        <v>1402834.6390766001</v>
      </c>
      <c r="L769">
        <v>0</v>
      </c>
      <c r="M769">
        <v>0</v>
      </c>
      <c r="N769">
        <v>154311.81029841999</v>
      </c>
      <c r="O769">
        <v>0</v>
      </c>
      <c r="P769">
        <v>0</v>
      </c>
      <c r="Q769">
        <v>0</v>
      </c>
      <c r="R769">
        <v>1557146.4493750001</v>
      </c>
      <c r="S769">
        <v>389634.80239352997</v>
      </c>
      <c r="T769">
        <v>27.774820462803</v>
      </c>
      <c r="U769" t="str">
        <f t="shared" si="11"/>
        <v>Week 4</v>
      </c>
    </row>
    <row r="770" spans="1:21" x14ac:dyDescent="0.25">
      <c r="A770">
        <v>769</v>
      </c>
      <c r="B770" t="s">
        <v>1450</v>
      </c>
      <c r="C770" s="1">
        <v>46044</v>
      </c>
      <c r="D770" t="s">
        <v>37</v>
      </c>
      <c r="E770" t="s">
        <v>34</v>
      </c>
      <c r="F770" t="s">
        <v>30</v>
      </c>
      <c r="G770" t="s">
        <v>24</v>
      </c>
      <c r="H770" s="2">
        <v>1</v>
      </c>
      <c r="I770" t="s">
        <v>1451</v>
      </c>
      <c r="K770">
        <v>1452360</v>
      </c>
      <c r="L770">
        <v>0</v>
      </c>
      <c r="M770">
        <v>0</v>
      </c>
      <c r="N770">
        <v>159759.6</v>
      </c>
      <c r="O770">
        <v>0</v>
      </c>
      <c r="P770">
        <v>0</v>
      </c>
      <c r="Q770">
        <v>0</v>
      </c>
      <c r="R770">
        <v>1612119.6</v>
      </c>
      <c r="S770">
        <v>473305.95</v>
      </c>
      <c r="T770">
        <v>32.588748657358003</v>
      </c>
      <c r="U770" t="str">
        <f t="shared" si="11"/>
        <v>Week 4</v>
      </c>
    </row>
    <row r="771" spans="1:21" x14ac:dyDescent="0.25">
      <c r="C771" s="1"/>
      <c r="H771" s="2"/>
    </row>
    <row r="772" spans="1:21" x14ac:dyDescent="0.25">
      <c r="A772">
        <v>771</v>
      </c>
      <c r="B772" t="s">
        <v>1452</v>
      </c>
      <c r="C772" s="1">
        <v>46044</v>
      </c>
      <c r="D772" t="s">
        <v>312</v>
      </c>
      <c r="E772" t="s">
        <v>100</v>
      </c>
      <c r="F772" t="s">
        <v>23</v>
      </c>
      <c r="G772" t="s">
        <v>24</v>
      </c>
      <c r="H772" s="2">
        <v>1</v>
      </c>
      <c r="I772" t="s">
        <v>1453</v>
      </c>
      <c r="K772">
        <v>159495000</v>
      </c>
      <c r="L772">
        <v>0</v>
      </c>
      <c r="M772">
        <v>0</v>
      </c>
      <c r="N772">
        <v>17544450</v>
      </c>
      <c r="O772">
        <v>0</v>
      </c>
      <c r="P772">
        <v>0</v>
      </c>
      <c r="Q772">
        <v>0</v>
      </c>
      <c r="R772">
        <v>177039450</v>
      </c>
      <c r="S772">
        <v>46193385</v>
      </c>
      <c r="T772">
        <v>28.962277814351999</v>
      </c>
      <c r="U772" t="str">
        <f t="shared" ref="U771:U834" si="12">"Week " &amp;IF(DAY(C772)&gt;=24,4,INT((DAY(C772)-1)/7)+1)</f>
        <v>Week 4</v>
      </c>
    </row>
    <row r="773" spans="1:21" x14ac:dyDescent="0.25">
      <c r="A773">
        <v>772</v>
      </c>
      <c r="B773" t="s">
        <v>1454</v>
      </c>
      <c r="C773" s="1">
        <v>46044</v>
      </c>
      <c r="D773" t="s">
        <v>33</v>
      </c>
      <c r="E773" t="s">
        <v>34</v>
      </c>
      <c r="F773" t="s">
        <v>39</v>
      </c>
      <c r="G773" t="s">
        <v>24</v>
      </c>
      <c r="H773" s="2">
        <v>1</v>
      </c>
      <c r="I773" t="s">
        <v>672</v>
      </c>
      <c r="K773">
        <v>285778559.30000001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285778559.30000001</v>
      </c>
      <c r="S773">
        <v>66896540.380000003</v>
      </c>
      <c r="T773">
        <v>23.408523208969999</v>
      </c>
      <c r="U773" t="str">
        <f t="shared" si="12"/>
        <v>Week 4</v>
      </c>
    </row>
    <row r="774" spans="1:21" x14ac:dyDescent="0.25">
      <c r="A774">
        <v>773</v>
      </c>
      <c r="B774" t="s">
        <v>1455</v>
      </c>
      <c r="C774" s="1">
        <v>46044</v>
      </c>
      <c r="D774" t="s">
        <v>204</v>
      </c>
      <c r="E774" t="s">
        <v>205</v>
      </c>
      <c r="F774" t="s">
        <v>30</v>
      </c>
      <c r="G774" t="s">
        <v>24</v>
      </c>
      <c r="H774" s="2">
        <v>1</v>
      </c>
      <c r="I774" t="s">
        <v>1456</v>
      </c>
      <c r="J774" t="s">
        <v>26</v>
      </c>
      <c r="K774">
        <v>21413700</v>
      </c>
      <c r="L774">
        <v>0</v>
      </c>
      <c r="M774">
        <v>0</v>
      </c>
      <c r="N774">
        <v>2355507</v>
      </c>
      <c r="O774">
        <v>0</v>
      </c>
      <c r="P774">
        <v>0</v>
      </c>
      <c r="Q774">
        <v>0</v>
      </c>
      <c r="R774">
        <v>23769207</v>
      </c>
      <c r="S774">
        <v>623700</v>
      </c>
      <c r="T774">
        <v>2.9126213592233001</v>
      </c>
      <c r="U774" t="str">
        <f t="shared" si="12"/>
        <v>Week 4</v>
      </c>
    </row>
    <row r="775" spans="1:21" x14ac:dyDescent="0.25">
      <c r="A775">
        <v>774</v>
      </c>
      <c r="B775" t="s">
        <v>1457</v>
      </c>
      <c r="C775" s="1">
        <v>46044</v>
      </c>
      <c r="D775" t="s">
        <v>54</v>
      </c>
      <c r="E775" t="s">
        <v>55</v>
      </c>
      <c r="F775" t="s">
        <v>23</v>
      </c>
      <c r="G775" t="s">
        <v>24</v>
      </c>
      <c r="H775" s="2">
        <v>1</v>
      </c>
      <c r="I775" t="s">
        <v>1458</v>
      </c>
      <c r="K775">
        <v>658992</v>
      </c>
      <c r="L775">
        <v>0</v>
      </c>
      <c r="M775">
        <v>0</v>
      </c>
      <c r="N775">
        <v>72489.119999999995</v>
      </c>
      <c r="O775">
        <v>0</v>
      </c>
      <c r="P775">
        <v>0</v>
      </c>
      <c r="Q775">
        <v>0</v>
      </c>
      <c r="R775">
        <v>731481.12</v>
      </c>
      <c r="S775">
        <v>404583.86</v>
      </c>
      <c r="T775">
        <v>61.394350766018</v>
      </c>
      <c r="U775" t="str">
        <f t="shared" si="12"/>
        <v>Week 4</v>
      </c>
    </row>
    <row r="776" spans="1:21" x14ac:dyDescent="0.25">
      <c r="A776">
        <v>775</v>
      </c>
      <c r="B776" t="s">
        <v>1459</v>
      </c>
      <c r="C776" s="1">
        <v>46043</v>
      </c>
      <c r="D776" t="s">
        <v>429</v>
      </c>
      <c r="E776" t="s">
        <v>194</v>
      </c>
      <c r="F776" t="s">
        <v>23</v>
      </c>
      <c r="G776" t="s">
        <v>24</v>
      </c>
      <c r="H776" s="2">
        <v>1</v>
      </c>
      <c r="I776" t="s">
        <v>1460</v>
      </c>
      <c r="K776">
        <v>200000000</v>
      </c>
      <c r="L776">
        <v>0</v>
      </c>
      <c r="M776">
        <v>0</v>
      </c>
      <c r="N776">
        <v>22000000</v>
      </c>
      <c r="O776">
        <v>0</v>
      </c>
      <c r="P776">
        <v>0</v>
      </c>
      <c r="Q776">
        <v>0</v>
      </c>
      <c r="R776">
        <v>222000000</v>
      </c>
      <c r="S776">
        <v>35000000</v>
      </c>
      <c r="T776">
        <v>17.5</v>
      </c>
      <c r="U776" t="str">
        <f t="shared" si="12"/>
        <v>Week 3</v>
      </c>
    </row>
    <row r="777" spans="1:21" x14ac:dyDescent="0.25">
      <c r="A777">
        <v>776</v>
      </c>
      <c r="B777" t="s">
        <v>1461</v>
      </c>
      <c r="C777" s="1">
        <v>46043</v>
      </c>
      <c r="D777" t="s">
        <v>186</v>
      </c>
      <c r="E777" t="s">
        <v>117</v>
      </c>
      <c r="F777" t="s">
        <v>265</v>
      </c>
      <c r="G777" t="s">
        <v>24</v>
      </c>
      <c r="H777" s="2">
        <v>1</v>
      </c>
      <c r="I777" t="s">
        <v>1462</v>
      </c>
      <c r="J777" t="s">
        <v>26</v>
      </c>
      <c r="K777">
        <v>22904145</v>
      </c>
      <c r="L777">
        <v>0</v>
      </c>
      <c r="M777">
        <v>0</v>
      </c>
      <c r="N777">
        <v>2519455.9500000002</v>
      </c>
      <c r="O777">
        <v>0</v>
      </c>
      <c r="P777">
        <v>0</v>
      </c>
      <c r="Q777">
        <v>0</v>
      </c>
      <c r="R777">
        <v>25423600.949999999</v>
      </c>
      <c r="S777">
        <v>5020676.54</v>
      </c>
      <c r="T777">
        <v>21.920384017827001</v>
      </c>
      <c r="U777" t="str">
        <f t="shared" si="12"/>
        <v>Week 3</v>
      </c>
    </row>
    <row r="778" spans="1:21" x14ac:dyDescent="0.25">
      <c r="A778">
        <v>777</v>
      </c>
      <c r="B778" t="s">
        <v>1463</v>
      </c>
      <c r="C778" s="1">
        <v>46043</v>
      </c>
      <c r="D778" t="s">
        <v>33</v>
      </c>
      <c r="E778" t="s">
        <v>34</v>
      </c>
      <c r="F778" t="s">
        <v>881</v>
      </c>
      <c r="G778" t="s">
        <v>24</v>
      </c>
      <c r="H778" s="2">
        <v>1</v>
      </c>
      <c r="I778" t="s">
        <v>1464</v>
      </c>
      <c r="K778">
        <v>59049911.486500002</v>
      </c>
      <c r="L778">
        <v>0</v>
      </c>
      <c r="M778">
        <v>0</v>
      </c>
      <c r="N778">
        <v>6495490.2635150002</v>
      </c>
      <c r="O778">
        <v>0</v>
      </c>
      <c r="P778">
        <v>0</v>
      </c>
      <c r="Q778">
        <v>0</v>
      </c>
      <c r="R778">
        <v>65545401.750014998</v>
      </c>
      <c r="S778">
        <v>16443483.108122</v>
      </c>
      <c r="T778">
        <v>27.846753185872998</v>
      </c>
      <c r="U778" t="str">
        <f t="shared" si="12"/>
        <v>Week 3</v>
      </c>
    </row>
    <row r="779" spans="1:21" x14ac:dyDescent="0.25">
      <c r="A779">
        <v>778</v>
      </c>
      <c r="B779" t="s">
        <v>1465</v>
      </c>
      <c r="C779" s="1">
        <v>46043</v>
      </c>
      <c r="D779" t="s">
        <v>99</v>
      </c>
      <c r="E779" t="s">
        <v>100</v>
      </c>
      <c r="F779" t="s">
        <v>23</v>
      </c>
      <c r="G779" t="s">
        <v>24</v>
      </c>
      <c r="H779" s="2">
        <v>1</v>
      </c>
      <c r="I779" t="s">
        <v>1466</v>
      </c>
      <c r="K779">
        <v>9915000</v>
      </c>
      <c r="L779">
        <v>0</v>
      </c>
      <c r="M779">
        <v>0</v>
      </c>
      <c r="N779">
        <v>1090650</v>
      </c>
      <c r="O779">
        <v>0</v>
      </c>
      <c r="P779">
        <v>0</v>
      </c>
      <c r="Q779">
        <v>0</v>
      </c>
      <c r="R779">
        <v>11005650</v>
      </c>
      <c r="S779">
        <v>2189774</v>
      </c>
      <c r="T779">
        <v>22.085466464951999</v>
      </c>
      <c r="U779" t="str">
        <f t="shared" si="12"/>
        <v>Week 3</v>
      </c>
    </row>
    <row r="780" spans="1:21" x14ac:dyDescent="0.25">
      <c r="A780">
        <v>779</v>
      </c>
      <c r="B780" t="s">
        <v>1467</v>
      </c>
      <c r="C780" s="1">
        <v>46043</v>
      </c>
      <c r="D780" t="s">
        <v>99</v>
      </c>
      <c r="E780" t="s">
        <v>100</v>
      </c>
      <c r="F780" t="s">
        <v>23</v>
      </c>
      <c r="G780" t="s">
        <v>24</v>
      </c>
      <c r="H780" s="2">
        <v>1</v>
      </c>
      <c r="I780" t="s">
        <v>1468</v>
      </c>
      <c r="K780">
        <v>6300000</v>
      </c>
      <c r="L780">
        <v>0</v>
      </c>
      <c r="M780">
        <v>0</v>
      </c>
      <c r="N780">
        <v>693000</v>
      </c>
      <c r="O780">
        <v>0</v>
      </c>
      <c r="P780">
        <v>0</v>
      </c>
      <c r="Q780">
        <v>0</v>
      </c>
      <c r="R780">
        <v>6993000</v>
      </c>
      <c r="S780">
        <v>1640315.32</v>
      </c>
      <c r="T780">
        <v>26.036751111110998</v>
      </c>
      <c r="U780" t="str">
        <f t="shared" si="12"/>
        <v>Week 3</v>
      </c>
    </row>
    <row r="781" spans="1:21" x14ac:dyDescent="0.25">
      <c r="A781">
        <v>780</v>
      </c>
      <c r="B781" t="s">
        <v>1469</v>
      </c>
      <c r="C781" s="1">
        <v>46043</v>
      </c>
      <c r="D781" t="s">
        <v>186</v>
      </c>
      <c r="E781" t="s">
        <v>117</v>
      </c>
      <c r="F781" t="s">
        <v>23</v>
      </c>
      <c r="G781" t="s">
        <v>24</v>
      </c>
      <c r="H781" s="2">
        <v>1</v>
      </c>
      <c r="I781" t="s">
        <v>1470</v>
      </c>
      <c r="J781" t="s">
        <v>26</v>
      </c>
      <c r="K781">
        <v>4700000</v>
      </c>
      <c r="L781">
        <v>0</v>
      </c>
      <c r="M781">
        <v>0</v>
      </c>
      <c r="N781">
        <v>517000</v>
      </c>
      <c r="O781">
        <v>0</v>
      </c>
      <c r="P781">
        <v>0</v>
      </c>
      <c r="Q781">
        <v>0</v>
      </c>
      <c r="R781">
        <v>5217000</v>
      </c>
      <c r="S781">
        <v>871000</v>
      </c>
      <c r="T781">
        <v>18.531914893617</v>
      </c>
      <c r="U781" t="str">
        <f t="shared" si="12"/>
        <v>Week 3</v>
      </c>
    </row>
    <row r="782" spans="1:21" x14ac:dyDescent="0.25">
      <c r="A782">
        <v>781</v>
      </c>
      <c r="B782" t="s">
        <v>1471</v>
      </c>
      <c r="C782" s="1">
        <v>46043</v>
      </c>
      <c r="D782" t="s">
        <v>33</v>
      </c>
      <c r="E782" t="s">
        <v>34</v>
      </c>
      <c r="F782" t="s">
        <v>23</v>
      </c>
      <c r="G782" t="s">
        <v>24</v>
      </c>
      <c r="H782" s="2">
        <v>1</v>
      </c>
      <c r="I782" t="s">
        <v>1464</v>
      </c>
      <c r="K782">
        <v>271695179.42856997</v>
      </c>
      <c r="L782">
        <v>0</v>
      </c>
      <c r="M782">
        <v>0</v>
      </c>
      <c r="N782">
        <v>29886469.737142999</v>
      </c>
      <c r="O782">
        <v>0</v>
      </c>
      <c r="P782">
        <v>0</v>
      </c>
      <c r="Q782">
        <v>0</v>
      </c>
      <c r="R782">
        <v>301581649.16570997</v>
      </c>
      <c r="S782">
        <v>55366426.876019001</v>
      </c>
      <c r="T782">
        <v>20.378141044852001</v>
      </c>
      <c r="U782" t="str">
        <f t="shared" si="12"/>
        <v>Week 3</v>
      </c>
    </row>
    <row r="783" spans="1:21" x14ac:dyDescent="0.25">
      <c r="A783">
        <v>782</v>
      </c>
      <c r="B783" t="s">
        <v>1472</v>
      </c>
      <c r="C783" s="1">
        <v>46043</v>
      </c>
      <c r="D783" t="s">
        <v>37</v>
      </c>
      <c r="E783" t="s">
        <v>34</v>
      </c>
      <c r="F783" t="s">
        <v>30</v>
      </c>
      <c r="G783" t="s">
        <v>24</v>
      </c>
      <c r="H783" s="2">
        <v>1</v>
      </c>
      <c r="I783" t="s">
        <v>1473</v>
      </c>
      <c r="K783">
        <v>539000</v>
      </c>
      <c r="L783">
        <v>0</v>
      </c>
      <c r="M783">
        <v>0</v>
      </c>
      <c r="N783">
        <v>59290</v>
      </c>
      <c r="O783">
        <v>0</v>
      </c>
      <c r="P783">
        <v>0</v>
      </c>
      <c r="Q783">
        <v>0</v>
      </c>
      <c r="R783">
        <v>598290</v>
      </c>
      <c r="S783">
        <v>539000</v>
      </c>
      <c r="T783">
        <v>0</v>
      </c>
      <c r="U783" t="str">
        <f t="shared" si="12"/>
        <v>Week 3</v>
      </c>
    </row>
    <row r="784" spans="1:21" x14ac:dyDescent="0.25">
      <c r="A784">
        <v>783</v>
      </c>
      <c r="B784" t="s">
        <v>1474</v>
      </c>
      <c r="C784" s="1">
        <v>46043</v>
      </c>
      <c r="D784" t="s">
        <v>37</v>
      </c>
      <c r="E784" t="s">
        <v>34</v>
      </c>
      <c r="F784" t="s">
        <v>30</v>
      </c>
      <c r="G784" t="s">
        <v>24</v>
      </c>
      <c r="H784" s="2">
        <v>1</v>
      </c>
      <c r="I784" t="s">
        <v>1475</v>
      </c>
      <c r="K784">
        <v>1078000</v>
      </c>
      <c r="L784">
        <v>0</v>
      </c>
      <c r="M784">
        <v>0</v>
      </c>
      <c r="N784">
        <v>118580</v>
      </c>
      <c r="O784">
        <v>0</v>
      </c>
      <c r="P784">
        <v>0</v>
      </c>
      <c r="Q784">
        <v>0</v>
      </c>
      <c r="R784">
        <v>1196580</v>
      </c>
      <c r="S784">
        <v>1078000</v>
      </c>
      <c r="T784">
        <v>100</v>
      </c>
      <c r="U784" t="str">
        <f t="shared" si="12"/>
        <v>Week 3</v>
      </c>
    </row>
    <row r="785" spans="1:21" x14ac:dyDescent="0.25">
      <c r="A785">
        <v>784</v>
      </c>
      <c r="B785" t="s">
        <v>1476</v>
      </c>
      <c r="C785" s="1">
        <v>46043</v>
      </c>
      <c r="D785" t="s">
        <v>255</v>
      </c>
      <c r="E785" t="s">
        <v>205</v>
      </c>
      <c r="F785" t="s">
        <v>30</v>
      </c>
      <c r="G785" t="s">
        <v>24</v>
      </c>
      <c r="H785" s="2">
        <v>1</v>
      </c>
      <c r="I785" t="s">
        <v>1477</v>
      </c>
      <c r="K785">
        <v>7129850</v>
      </c>
      <c r="L785">
        <v>0</v>
      </c>
      <c r="M785">
        <v>0</v>
      </c>
      <c r="N785">
        <v>784283.5</v>
      </c>
      <c r="O785">
        <v>0</v>
      </c>
      <c r="P785">
        <v>0</v>
      </c>
      <c r="Q785">
        <v>0</v>
      </c>
      <c r="R785">
        <v>7914133.5</v>
      </c>
      <c r="S785">
        <v>2640203.36</v>
      </c>
      <c r="T785">
        <v>37.030279178383999</v>
      </c>
      <c r="U785" t="str">
        <f t="shared" si="12"/>
        <v>Week 3</v>
      </c>
    </row>
    <row r="786" spans="1:21" x14ac:dyDescent="0.25">
      <c r="A786">
        <v>785</v>
      </c>
      <c r="B786" t="s">
        <v>1478</v>
      </c>
      <c r="C786" s="1">
        <v>46043</v>
      </c>
      <c r="D786" t="s">
        <v>255</v>
      </c>
      <c r="E786" t="s">
        <v>205</v>
      </c>
      <c r="F786" t="s">
        <v>23</v>
      </c>
      <c r="G786" t="s">
        <v>24</v>
      </c>
      <c r="H786" s="2">
        <v>1</v>
      </c>
      <c r="I786" t="s">
        <v>1479</v>
      </c>
      <c r="J786" t="s">
        <v>26</v>
      </c>
      <c r="K786">
        <v>64500000</v>
      </c>
      <c r="L786">
        <v>0</v>
      </c>
      <c r="M786">
        <v>0</v>
      </c>
      <c r="N786">
        <v>7095000</v>
      </c>
      <c r="O786">
        <v>0</v>
      </c>
      <c r="P786">
        <v>0</v>
      </c>
      <c r="Q786">
        <v>0</v>
      </c>
      <c r="R786">
        <v>71595000</v>
      </c>
      <c r="S786">
        <v>22500000</v>
      </c>
      <c r="T786">
        <v>34.883720930232997</v>
      </c>
      <c r="U786" t="str">
        <f t="shared" si="12"/>
        <v>Week 3</v>
      </c>
    </row>
    <row r="787" spans="1:21" x14ac:dyDescent="0.25">
      <c r="A787">
        <v>786</v>
      </c>
      <c r="B787" t="s">
        <v>1480</v>
      </c>
      <c r="C787" s="1">
        <v>46043</v>
      </c>
      <c r="D787" t="s">
        <v>54</v>
      </c>
      <c r="E787" t="s">
        <v>55</v>
      </c>
      <c r="F787" t="s">
        <v>30</v>
      </c>
      <c r="G787" t="s">
        <v>24</v>
      </c>
      <c r="H787" s="2">
        <v>1</v>
      </c>
      <c r="I787" t="s">
        <v>1481</v>
      </c>
      <c r="K787">
        <v>42099514</v>
      </c>
      <c r="L787">
        <v>0</v>
      </c>
      <c r="M787">
        <v>0</v>
      </c>
      <c r="N787">
        <v>4630946.54</v>
      </c>
      <c r="O787">
        <v>0</v>
      </c>
      <c r="P787">
        <v>0</v>
      </c>
      <c r="Q787">
        <v>0</v>
      </c>
      <c r="R787">
        <v>46730460.539999999</v>
      </c>
      <c r="S787">
        <v>11613218.501813</v>
      </c>
      <c r="T787">
        <v>27.585160488581</v>
      </c>
      <c r="U787" t="str">
        <f t="shared" si="12"/>
        <v>Week 3</v>
      </c>
    </row>
    <row r="788" spans="1:21" x14ac:dyDescent="0.25">
      <c r="A788">
        <v>787</v>
      </c>
      <c r="B788" t="s">
        <v>1482</v>
      </c>
      <c r="C788" s="1">
        <v>46043</v>
      </c>
      <c r="D788" t="s">
        <v>21</v>
      </c>
      <c r="E788" t="s">
        <v>22</v>
      </c>
      <c r="F788" t="s">
        <v>23</v>
      </c>
      <c r="G788" t="s">
        <v>24</v>
      </c>
      <c r="H788" s="2">
        <v>1</v>
      </c>
      <c r="I788" t="s">
        <v>1483</v>
      </c>
      <c r="J788" t="s">
        <v>26</v>
      </c>
      <c r="K788">
        <v>6934500</v>
      </c>
      <c r="L788">
        <v>0</v>
      </c>
      <c r="M788">
        <v>0</v>
      </c>
      <c r="N788">
        <v>762795</v>
      </c>
      <c r="O788">
        <v>0</v>
      </c>
      <c r="P788">
        <v>0</v>
      </c>
      <c r="Q788">
        <v>0</v>
      </c>
      <c r="R788">
        <v>7697295</v>
      </c>
      <c r="S788">
        <v>2018401.35</v>
      </c>
      <c r="T788">
        <v>29.106660177374</v>
      </c>
      <c r="U788" t="str">
        <f t="shared" si="12"/>
        <v>Week 3</v>
      </c>
    </row>
    <row r="789" spans="1:21" x14ac:dyDescent="0.25">
      <c r="A789">
        <v>788</v>
      </c>
      <c r="B789" t="s">
        <v>1484</v>
      </c>
      <c r="C789" s="1">
        <v>46043</v>
      </c>
      <c r="D789" t="s">
        <v>252</v>
      </c>
      <c r="E789" t="s">
        <v>117</v>
      </c>
      <c r="F789" t="s">
        <v>23</v>
      </c>
      <c r="G789" t="s">
        <v>24</v>
      </c>
      <c r="H789" s="2">
        <v>1</v>
      </c>
      <c r="I789" t="s">
        <v>1093</v>
      </c>
      <c r="J789" t="s">
        <v>26</v>
      </c>
      <c r="K789">
        <v>2658500</v>
      </c>
      <c r="L789">
        <v>0</v>
      </c>
      <c r="M789">
        <v>0</v>
      </c>
      <c r="N789">
        <v>292435</v>
      </c>
      <c r="O789">
        <v>0</v>
      </c>
      <c r="P789">
        <v>0</v>
      </c>
      <c r="Q789">
        <v>0</v>
      </c>
      <c r="R789">
        <v>2950935</v>
      </c>
      <c r="S789">
        <v>1243959</v>
      </c>
      <c r="T789">
        <v>46.791762271958</v>
      </c>
      <c r="U789" t="str">
        <f t="shared" si="12"/>
        <v>Week 3</v>
      </c>
    </row>
    <row r="790" spans="1:21" x14ac:dyDescent="0.25">
      <c r="A790">
        <v>789</v>
      </c>
      <c r="B790" t="s">
        <v>1485</v>
      </c>
      <c r="C790" s="1">
        <v>46042</v>
      </c>
      <c r="D790" t="s">
        <v>252</v>
      </c>
      <c r="E790" t="s">
        <v>117</v>
      </c>
      <c r="F790" t="s">
        <v>30</v>
      </c>
      <c r="G790" t="s">
        <v>24</v>
      </c>
      <c r="H790" s="2">
        <v>1</v>
      </c>
      <c r="I790" t="s">
        <v>1486</v>
      </c>
      <c r="J790" t="s">
        <v>26</v>
      </c>
      <c r="K790">
        <v>8540000</v>
      </c>
      <c r="L790">
        <v>0</v>
      </c>
      <c r="M790">
        <v>0</v>
      </c>
      <c r="N790">
        <v>939400</v>
      </c>
      <c r="O790">
        <v>0</v>
      </c>
      <c r="P790">
        <v>0</v>
      </c>
      <c r="Q790">
        <v>0</v>
      </c>
      <c r="R790">
        <v>9479400</v>
      </c>
      <c r="S790">
        <v>256200</v>
      </c>
      <c r="T790">
        <v>3</v>
      </c>
      <c r="U790" t="str">
        <f t="shared" si="12"/>
        <v>Week 3</v>
      </c>
    </row>
    <row r="791" spans="1:21" x14ac:dyDescent="0.25">
      <c r="A791">
        <v>790</v>
      </c>
      <c r="B791" t="s">
        <v>1487</v>
      </c>
      <c r="C791" s="1">
        <v>46042</v>
      </c>
      <c r="D791" t="s">
        <v>99</v>
      </c>
      <c r="E791" t="s">
        <v>100</v>
      </c>
      <c r="F791" t="s">
        <v>265</v>
      </c>
      <c r="G791" t="s">
        <v>24</v>
      </c>
      <c r="H791" s="2">
        <v>1</v>
      </c>
      <c r="I791" t="s">
        <v>735</v>
      </c>
      <c r="K791">
        <v>376844000</v>
      </c>
      <c r="L791">
        <v>0</v>
      </c>
      <c r="M791">
        <v>0</v>
      </c>
      <c r="N791">
        <v>41452840</v>
      </c>
      <c r="O791">
        <v>0</v>
      </c>
      <c r="P791">
        <v>0</v>
      </c>
      <c r="Q791">
        <v>0</v>
      </c>
      <c r="R791">
        <v>418296840</v>
      </c>
      <c r="S791">
        <v>120718821</v>
      </c>
      <c r="T791">
        <v>32.034162942755998</v>
      </c>
      <c r="U791" t="str">
        <f t="shared" si="12"/>
        <v>Week 3</v>
      </c>
    </row>
    <row r="792" spans="1:21" x14ac:dyDescent="0.25">
      <c r="A792">
        <v>791</v>
      </c>
      <c r="B792" t="s">
        <v>1488</v>
      </c>
      <c r="C792" s="1">
        <v>46042</v>
      </c>
      <c r="D792" t="s">
        <v>21</v>
      </c>
      <c r="E792" t="s">
        <v>22</v>
      </c>
      <c r="F792" t="s">
        <v>30</v>
      </c>
      <c r="G792" t="s">
        <v>24</v>
      </c>
      <c r="H792" s="2">
        <v>1</v>
      </c>
      <c r="I792" t="s">
        <v>1489</v>
      </c>
      <c r="J792" t="s">
        <v>26</v>
      </c>
      <c r="K792">
        <v>452760</v>
      </c>
      <c r="L792">
        <v>0</v>
      </c>
      <c r="M792">
        <v>0</v>
      </c>
      <c r="N792">
        <v>49803.6</v>
      </c>
      <c r="O792">
        <v>0</v>
      </c>
      <c r="P792">
        <v>0</v>
      </c>
      <c r="Q792">
        <v>0</v>
      </c>
      <c r="R792">
        <v>502563.6</v>
      </c>
      <c r="S792">
        <v>342760</v>
      </c>
      <c r="T792">
        <v>75.704567541301998</v>
      </c>
      <c r="U792" t="str">
        <f t="shared" si="12"/>
        <v>Week 3</v>
      </c>
    </row>
    <row r="793" spans="1:21" x14ac:dyDescent="0.25">
      <c r="A793">
        <v>792</v>
      </c>
      <c r="B793" t="s">
        <v>1490</v>
      </c>
      <c r="C793" s="1">
        <v>46042</v>
      </c>
      <c r="D793" t="s">
        <v>440</v>
      </c>
      <c r="E793" t="s">
        <v>117</v>
      </c>
      <c r="F793" t="s">
        <v>23</v>
      </c>
      <c r="G793" t="s">
        <v>24</v>
      </c>
      <c r="H793" s="2">
        <v>1</v>
      </c>
      <c r="I793" t="s">
        <v>1491</v>
      </c>
      <c r="J793" t="s">
        <v>26</v>
      </c>
      <c r="K793">
        <v>101475000</v>
      </c>
      <c r="L793">
        <v>0</v>
      </c>
      <c r="M793">
        <v>0</v>
      </c>
      <c r="N793">
        <v>11162250</v>
      </c>
      <c r="O793">
        <v>0</v>
      </c>
      <c r="P793">
        <v>0</v>
      </c>
      <c r="Q793">
        <v>0</v>
      </c>
      <c r="R793">
        <v>112637250</v>
      </c>
      <c r="S793">
        <v>18975000</v>
      </c>
      <c r="T793">
        <v>18.69918699187</v>
      </c>
      <c r="U793" t="str">
        <f t="shared" si="12"/>
        <v>Week 3</v>
      </c>
    </row>
    <row r="794" spans="1:21" x14ac:dyDescent="0.25">
      <c r="A794">
        <v>793</v>
      </c>
      <c r="B794" t="s">
        <v>1492</v>
      </c>
      <c r="C794" s="1">
        <v>46042</v>
      </c>
      <c r="D794" t="s">
        <v>1493</v>
      </c>
      <c r="E794" t="s">
        <v>1303</v>
      </c>
      <c r="F794" t="s">
        <v>30</v>
      </c>
      <c r="G794" t="s">
        <v>24</v>
      </c>
      <c r="H794" s="2">
        <v>1</v>
      </c>
      <c r="I794" t="s">
        <v>1494</v>
      </c>
      <c r="K794">
        <v>95000</v>
      </c>
      <c r="L794">
        <v>0</v>
      </c>
      <c r="M794">
        <v>0</v>
      </c>
      <c r="N794">
        <v>10450</v>
      </c>
      <c r="O794">
        <v>0</v>
      </c>
      <c r="P794">
        <v>0</v>
      </c>
      <c r="Q794">
        <v>0</v>
      </c>
      <c r="R794">
        <v>105450</v>
      </c>
      <c r="S794">
        <v>53567</v>
      </c>
      <c r="T794">
        <v>56.386315789473997</v>
      </c>
      <c r="U794" t="str">
        <f t="shared" si="12"/>
        <v>Week 3</v>
      </c>
    </row>
    <row r="795" spans="1:21" x14ac:dyDescent="0.25">
      <c r="A795">
        <v>794</v>
      </c>
      <c r="B795" t="s">
        <v>1495</v>
      </c>
      <c r="C795" s="1">
        <v>46042</v>
      </c>
      <c r="D795" t="s">
        <v>99</v>
      </c>
      <c r="E795" t="s">
        <v>100</v>
      </c>
      <c r="F795" t="s">
        <v>23</v>
      </c>
      <c r="G795" t="s">
        <v>24</v>
      </c>
      <c r="H795" s="2">
        <v>1</v>
      </c>
      <c r="I795" t="s">
        <v>735</v>
      </c>
      <c r="K795">
        <v>36350000</v>
      </c>
      <c r="L795">
        <v>0</v>
      </c>
      <c r="M795">
        <v>0</v>
      </c>
      <c r="N795">
        <v>3998500</v>
      </c>
      <c r="O795">
        <v>0</v>
      </c>
      <c r="P795">
        <v>0</v>
      </c>
      <c r="Q795">
        <v>0</v>
      </c>
      <c r="R795">
        <v>40348500</v>
      </c>
      <c r="S795">
        <v>17357905.405405</v>
      </c>
      <c r="T795">
        <v>47.752146919959998</v>
      </c>
      <c r="U795" t="str">
        <f t="shared" si="12"/>
        <v>Week 3</v>
      </c>
    </row>
    <row r="796" spans="1:21" x14ac:dyDescent="0.25">
      <c r="A796">
        <v>795</v>
      </c>
      <c r="B796" t="s">
        <v>1496</v>
      </c>
      <c r="C796" s="1">
        <v>46042</v>
      </c>
      <c r="D796" t="s">
        <v>113</v>
      </c>
      <c r="E796" t="s">
        <v>34</v>
      </c>
      <c r="F796" t="s">
        <v>23</v>
      </c>
      <c r="G796" t="s">
        <v>24</v>
      </c>
      <c r="H796" s="2">
        <v>1</v>
      </c>
      <c r="I796" t="s">
        <v>1497</v>
      </c>
      <c r="K796">
        <v>230000</v>
      </c>
      <c r="L796">
        <v>0</v>
      </c>
      <c r="M796">
        <v>0</v>
      </c>
      <c r="N796">
        <v>25300</v>
      </c>
      <c r="O796">
        <v>0</v>
      </c>
      <c r="P796">
        <v>0</v>
      </c>
      <c r="Q796">
        <v>0</v>
      </c>
      <c r="R796">
        <v>255300</v>
      </c>
      <c r="S796">
        <v>90680</v>
      </c>
      <c r="T796">
        <v>39.426086956521999</v>
      </c>
      <c r="U796" t="str">
        <f t="shared" si="12"/>
        <v>Week 3</v>
      </c>
    </row>
    <row r="797" spans="1:21" x14ac:dyDescent="0.25">
      <c r="A797">
        <v>796</v>
      </c>
      <c r="B797" t="s">
        <v>1498</v>
      </c>
      <c r="C797" s="1">
        <v>46042</v>
      </c>
      <c r="D797" t="s">
        <v>33</v>
      </c>
      <c r="E797" t="s">
        <v>34</v>
      </c>
      <c r="F797" t="s">
        <v>30</v>
      </c>
      <c r="G797" t="s">
        <v>24</v>
      </c>
      <c r="H797" s="2">
        <v>1</v>
      </c>
      <c r="I797" t="s">
        <v>1499</v>
      </c>
      <c r="K797">
        <v>607600</v>
      </c>
      <c r="L797">
        <v>0</v>
      </c>
      <c r="M797">
        <v>0</v>
      </c>
      <c r="N797">
        <v>66836</v>
      </c>
      <c r="O797">
        <v>0</v>
      </c>
      <c r="P797">
        <v>0</v>
      </c>
      <c r="Q797">
        <v>0</v>
      </c>
      <c r="R797">
        <v>674436</v>
      </c>
      <c r="S797">
        <v>172225.2</v>
      </c>
      <c r="T797">
        <v>28.345161290322999</v>
      </c>
      <c r="U797" t="str">
        <f t="shared" si="12"/>
        <v>Week 3</v>
      </c>
    </row>
    <row r="798" spans="1:21" x14ac:dyDescent="0.25">
      <c r="A798">
        <v>797</v>
      </c>
      <c r="B798" t="s">
        <v>1500</v>
      </c>
      <c r="C798" s="1">
        <v>46042</v>
      </c>
      <c r="D798" t="s">
        <v>37</v>
      </c>
      <c r="E798" t="s">
        <v>38</v>
      </c>
      <c r="F798" t="s">
        <v>30</v>
      </c>
      <c r="G798" t="s">
        <v>24</v>
      </c>
      <c r="H798" s="2">
        <v>1</v>
      </c>
      <c r="I798" t="s">
        <v>1501</v>
      </c>
      <c r="K798">
        <v>3456628.56</v>
      </c>
      <c r="L798">
        <v>0</v>
      </c>
      <c r="M798">
        <v>0</v>
      </c>
      <c r="N798">
        <v>380229.14159999997</v>
      </c>
      <c r="O798">
        <v>0</v>
      </c>
      <c r="P798">
        <v>0</v>
      </c>
      <c r="Q798">
        <v>0</v>
      </c>
      <c r="R798">
        <v>3836857.7015999998</v>
      </c>
      <c r="S798">
        <v>1018190.56</v>
      </c>
      <c r="T798">
        <v>29.456175065566999</v>
      </c>
      <c r="U798" t="str">
        <f t="shared" si="12"/>
        <v>Week 3</v>
      </c>
    </row>
    <row r="799" spans="1:21" x14ac:dyDescent="0.25">
      <c r="A799">
        <v>798</v>
      </c>
      <c r="B799" t="s">
        <v>1502</v>
      </c>
      <c r="C799" s="1">
        <v>46042</v>
      </c>
      <c r="D799" t="s">
        <v>21</v>
      </c>
      <c r="E799" t="s">
        <v>22</v>
      </c>
      <c r="F799" t="s">
        <v>30</v>
      </c>
      <c r="G799" t="s">
        <v>24</v>
      </c>
      <c r="H799" s="2">
        <v>1</v>
      </c>
      <c r="I799" t="s">
        <v>1503</v>
      </c>
      <c r="J799" t="s">
        <v>26</v>
      </c>
      <c r="K799">
        <v>32821713</v>
      </c>
      <c r="L799">
        <v>0</v>
      </c>
      <c r="M799">
        <v>0</v>
      </c>
      <c r="N799">
        <v>3610388.43</v>
      </c>
      <c r="O799">
        <v>0</v>
      </c>
      <c r="P799">
        <v>0</v>
      </c>
      <c r="Q799">
        <v>0</v>
      </c>
      <c r="R799">
        <v>36432101.43</v>
      </c>
      <c r="S799">
        <v>2281372.41</v>
      </c>
      <c r="T799">
        <v>6.9508023849944003</v>
      </c>
      <c r="U799" t="str">
        <f t="shared" si="12"/>
        <v>Week 3</v>
      </c>
    </row>
    <row r="800" spans="1:21" x14ac:dyDescent="0.25">
      <c r="A800">
        <v>799</v>
      </c>
      <c r="B800" t="s">
        <v>1504</v>
      </c>
      <c r="C800" s="1">
        <v>46042</v>
      </c>
      <c r="D800" t="s">
        <v>21</v>
      </c>
      <c r="E800" t="s">
        <v>22</v>
      </c>
      <c r="F800" t="s">
        <v>30</v>
      </c>
      <c r="G800" t="s">
        <v>24</v>
      </c>
      <c r="H800" s="2">
        <v>1</v>
      </c>
      <c r="I800" t="s">
        <v>1505</v>
      </c>
      <c r="J800" t="s">
        <v>26</v>
      </c>
      <c r="K800">
        <v>118090</v>
      </c>
      <c r="L800">
        <v>0</v>
      </c>
      <c r="M800">
        <v>0</v>
      </c>
      <c r="N800">
        <v>12989.9</v>
      </c>
      <c r="O800">
        <v>0</v>
      </c>
      <c r="P800">
        <v>0</v>
      </c>
      <c r="Q800">
        <v>0</v>
      </c>
      <c r="R800">
        <v>131079.9</v>
      </c>
      <c r="S800">
        <v>95927.729729729996</v>
      </c>
      <c r="T800">
        <v>81.232729045414004</v>
      </c>
      <c r="U800" t="str">
        <f t="shared" si="12"/>
        <v>Week 3</v>
      </c>
    </row>
    <row r="801" spans="1:21" x14ac:dyDescent="0.25">
      <c r="A801">
        <v>800</v>
      </c>
      <c r="B801" t="s">
        <v>1506</v>
      </c>
      <c r="C801" s="1">
        <v>46042</v>
      </c>
      <c r="D801" t="s">
        <v>33</v>
      </c>
      <c r="E801" t="s">
        <v>34</v>
      </c>
      <c r="F801" t="s">
        <v>23</v>
      </c>
      <c r="G801" t="s">
        <v>24</v>
      </c>
      <c r="H801" s="2">
        <v>1</v>
      </c>
      <c r="I801" t="s">
        <v>677</v>
      </c>
      <c r="K801">
        <v>268096734.375</v>
      </c>
      <c r="L801">
        <v>0</v>
      </c>
      <c r="M801">
        <v>0</v>
      </c>
      <c r="N801">
        <v>29490640.78125</v>
      </c>
      <c r="O801">
        <v>0</v>
      </c>
      <c r="P801">
        <v>0</v>
      </c>
      <c r="Q801">
        <v>0</v>
      </c>
      <c r="R801">
        <v>297587375.15625</v>
      </c>
      <c r="S801">
        <v>80724278.375</v>
      </c>
      <c r="T801">
        <v>30.110131167091001</v>
      </c>
      <c r="U801" t="str">
        <f t="shared" si="12"/>
        <v>Week 3</v>
      </c>
    </row>
    <row r="802" spans="1:21" x14ac:dyDescent="0.25">
      <c r="A802">
        <v>801</v>
      </c>
      <c r="B802" t="s">
        <v>1507</v>
      </c>
      <c r="C802" s="1">
        <v>46041</v>
      </c>
      <c r="D802" t="s">
        <v>99</v>
      </c>
      <c r="E802" t="s">
        <v>100</v>
      </c>
      <c r="F802" t="s">
        <v>23</v>
      </c>
      <c r="G802" t="s">
        <v>24</v>
      </c>
      <c r="H802" s="2">
        <v>1</v>
      </c>
      <c r="I802" t="s">
        <v>741</v>
      </c>
      <c r="K802">
        <v>10861000</v>
      </c>
      <c r="L802">
        <v>0</v>
      </c>
      <c r="M802">
        <v>0</v>
      </c>
      <c r="N802">
        <v>1194710</v>
      </c>
      <c r="O802">
        <v>0</v>
      </c>
      <c r="P802">
        <v>0</v>
      </c>
      <c r="Q802">
        <v>0</v>
      </c>
      <c r="R802">
        <v>12055710</v>
      </c>
      <c r="S802">
        <v>5943306.2800000003</v>
      </c>
      <c r="T802">
        <v>54.721538348217997</v>
      </c>
      <c r="U802" t="str">
        <f t="shared" si="12"/>
        <v>Week 3</v>
      </c>
    </row>
    <row r="803" spans="1:21" x14ac:dyDescent="0.25">
      <c r="A803">
        <v>802</v>
      </c>
      <c r="B803" t="s">
        <v>1508</v>
      </c>
      <c r="C803" s="1">
        <v>46041</v>
      </c>
      <c r="D803" t="s">
        <v>1509</v>
      </c>
      <c r="E803" t="s">
        <v>1510</v>
      </c>
      <c r="F803" t="s">
        <v>30</v>
      </c>
      <c r="G803" t="s">
        <v>24</v>
      </c>
      <c r="H803" s="2">
        <v>1</v>
      </c>
      <c r="I803" t="s">
        <v>1511</v>
      </c>
      <c r="J803" t="s">
        <v>26</v>
      </c>
      <c r="K803">
        <v>3480120</v>
      </c>
      <c r="L803">
        <v>0</v>
      </c>
      <c r="M803">
        <v>0</v>
      </c>
      <c r="N803">
        <v>382813.2</v>
      </c>
      <c r="O803">
        <v>0</v>
      </c>
      <c r="P803">
        <v>0</v>
      </c>
      <c r="Q803">
        <v>0</v>
      </c>
      <c r="R803">
        <v>3862933.2</v>
      </c>
      <c r="S803">
        <v>609247</v>
      </c>
      <c r="T803">
        <v>17.506494028942001</v>
      </c>
      <c r="U803" t="str">
        <f t="shared" si="12"/>
        <v>Week 3</v>
      </c>
    </row>
    <row r="804" spans="1:21" x14ac:dyDescent="0.25">
      <c r="A804">
        <v>803</v>
      </c>
      <c r="B804" t="s">
        <v>1512</v>
      </c>
      <c r="C804" s="1">
        <v>46041</v>
      </c>
      <c r="D804" t="s">
        <v>113</v>
      </c>
      <c r="E804" t="s">
        <v>34</v>
      </c>
      <c r="F804" t="s">
        <v>23</v>
      </c>
      <c r="G804" t="s">
        <v>24</v>
      </c>
      <c r="H804" s="2">
        <v>1</v>
      </c>
      <c r="I804" t="s">
        <v>1497</v>
      </c>
      <c r="K804">
        <v>25239128</v>
      </c>
      <c r="L804">
        <v>0</v>
      </c>
      <c r="M804">
        <v>0</v>
      </c>
      <c r="N804">
        <v>2776304.08</v>
      </c>
      <c r="O804">
        <v>0</v>
      </c>
      <c r="P804">
        <v>0</v>
      </c>
      <c r="Q804">
        <v>0</v>
      </c>
      <c r="R804">
        <v>28015432.079999998</v>
      </c>
      <c r="S804">
        <v>3681528</v>
      </c>
      <c r="T804">
        <v>14.586589520842001</v>
      </c>
      <c r="U804" t="str">
        <f t="shared" si="12"/>
        <v>Week 3</v>
      </c>
    </row>
    <row r="805" spans="1:21" x14ac:dyDescent="0.25">
      <c r="A805">
        <v>804</v>
      </c>
      <c r="B805" t="s">
        <v>1513</v>
      </c>
      <c r="C805" s="1">
        <v>46041</v>
      </c>
      <c r="D805" t="s">
        <v>429</v>
      </c>
      <c r="E805" t="s">
        <v>205</v>
      </c>
      <c r="F805" t="s">
        <v>23</v>
      </c>
      <c r="G805" t="s">
        <v>24</v>
      </c>
      <c r="H805" s="2">
        <v>1</v>
      </c>
      <c r="I805" t="s">
        <v>1514</v>
      </c>
      <c r="J805" t="s">
        <v>26</v>
      </c>
      <c r="K805">
        <v>36500625</v>
      </c>
      <c r="L805">
        <v>0</v>
      </c>
      <c r="M805">
        <v>0</v>
      </c>
      <c r="N805">
        <v>4015068.75</v>
      </c>
      <c r="O805">
        <v>0</v>
      </c>
      <c r="P805">
        <v>0</v>
      </c>
      <c r="Q805">
        <v>0</v>
      </c>
      <c r="R805">
        <v>40515693.75</v>
      </c>
      <c r="S805">
        <v>5000625</v>
      </c>
      <c r="T805">
        <v>13.700107874864999</v>
      </c>
      <c r="U805" t="str">
        <f t="shared" si="12"/>
        <v>Week 3</v>
      </c>
    </row>
    <row r="806" spans="1:21" x14ac:dyDescent="0.25">
      <c r="C806" s="1"/>
      <c r="H806" s="2"/>
    </row>
    <row r="807" spans="1:21" x14ac:dyDescent="0.25">
      <c r="A807">
        <v>806</v>
      </c>
      <c r="B807" t="s">
        <v>1515</v>
      </c>
      <c r="C807" s="1">
        <v>46041</v>
      </c>
      <c r="D807" t="s">
        <v>255</v>
      </c>
      <c r="E807" t="s">
        <v>205</v>
      </c>
      <c r="F807" t="s">
        <v>30</v>
      </c>
      <c r="G807" t="s">
        <v>24</v>
      </c>
      <c r="H807" s="2">
        <v>1</v>
      </c>
      <c r="I807" t="s">
        <v>1516</v>
      </c>
      <c r="J807" t="s">
        <v>57</v>
      </c>
      <c r="K807">
        <v>708640000</v>
      </c>
      <c r="L807">
        <v>0</v>
      </c>
      <c r="M807">
        <v>0</v>
      </c>
      <c r="N807">
        <v>77950400</v>
      </c>
      <c r="O807">
        <v>0</v>
      </c>
      <c r="P807">
        <v>0</v>
      </c>
      <c r="Q807">
        <v>0</v>
      </c>
      <c r="R807">
        <v>786590400</v>
      </c>
      <c r="S807">
        <v>132640000</v>
      </c>
      <c r="T807">
        <v>18.717543463536</v>
      </c>
      <c r="U807" t="str">
        <f t="shared" si="12"/>
        <v>Week 3</v>
      </c>
    </row>
    <row r="808" spans="1:21" x14ac:dyDescent="0.25">
      <c r="A808">
        <v>807</v>
      </c>
      <c r="B808" t="s">
        <v>1517</v>
      </c>
      <c r="C808" s="1">
        <v>46041</v>
      </c>
      <c r="D808" t="s">
        <v>33</v>
      </c>
      <c r="E808" t="s">
        <v>34</v>
      </c>
      <c r="F808" t="s">
        <v>30</v>
      </c>
      <c r="G808" t="s">
        <v>24</v>
      </c>
      <c r="H808" s="2">
        <v>1</v>
      </c>
      <c r="I808" t="s">
        <v>1518</v>
      </c>
      <c r="K808">
        <v>56105</v>
      </c>
      <c r="L808">
        <v>0</v>
      </c>
      <c r="M808">
        <v>0</v>
      </c>
      <c r="N808">
        <v>6171.55</v>
      </c>
      <c r="O808">
        <v>0</v>
      </c>
      <c r="P808">
        <v>0</v>
      </c>
      <c r="Q808">
        <v>0</v>
      </c>
      <c r="R808">
        <v>62276.55</v>
      </c>
      <c r="S808">
        <v>14127.5</v>
      </c>
      <c r="T808">
        <v>25.180465199179999</v>
      </c>
      <c r="U808" t="str">
        <f t="shared" si="12"/>
        <v>Week 3</v>
      </c>
    </row>
    <row r="809" spans="1:21" x14ac:dyDescent="0.25">
      <c r="C809" s="1"/>
      <c r="H809" s="2"/>
    </row>
    <row r="810" spans="1:21" x14ac:dyDescent="0.25">
      <c r="A810">
        <v>809</v>
      </c>
      <c r="B810" t="s">
        <v>1519</v>
      </c>
      <c r="C810" s="1">
        <v>46041</v>
      </c>
      <c r="D810" t="s">
        <v>312</v>
      </c>
      <c r="E810" t="s">
        <v>100</v>
      </c>
      <c r="F810" t="s">
        <v>30</v>
      </c>
      <c r="G810" t="s">
        <v>24</v>
      </c>
      <c r="H810" s="2">
        <v>1</v>
      </c>
      <c r="I810" t="s">
        <v>1520</v>
      </c>
      <c r="K810">
        <v>8540000</v>
      </c>
      <c r="L810">
        <v>0</v>
      </c>
      <c r="M810">
        <v>0</v>
      </c>
      <c r="N810">
        <v>939400</v>
      </c>
      <c r="O810">
        <v>0</v>
      </c>
      <c r="P810">
        <v>0</v>
      </c>
      <c r="Q810">
        <v>0</v>
      </c>
      <c r="R810">
        <v>9479400</v>
      </c>
      <c r="S810">
        <v>50131.081081049997</v>
      </c>
      <c r="T810">
        <v>0.58701500094906001</v>
      </c>
      <c r="U810" t="str">
        <f t="shared" si="12"/>
        <v>Week 3</v>
      </c>
    </row>
    <row r="811" spans="1:21" x14ac:dyDescent="0.25">
      <c r="A811">
        <v>810</v>
      </c>
      <c r="B811" t="s">
        <v>1521</v>
      </c>
      <c r="C811" s="1">
        <v>46041</v>
      </c>
      <c r="D811" t="s">
        <v>99</v>
      </c>
      <c r="E811" t="s">
        <v>100</v>
      </c>
      <c r="F811" t="s">
        <v>30</v>
      </c>
      <c r="G811" t="s">
        <v>24</v>
      </c>
      <c r="H811" s="2">
        <v>1</v>
      </c>
      <c r="I811" t="s">
        <v>1522</v>
      </c>
      <c r="K811">
        <v>3206828</v>
      </c>
      <c r="L811">
        <v>0</v>
      </c>
      <c r="M811">
        <v>0</v>
      </c>
      <c r="N811">
        <v>352751.08</v>
      </c>
      <c r="O811">
        <v>0</v>
      </c>
      <c r="P811">
        <v>0</v>
      </c>
      <c r="Q811">
        <v>0</v>
      </c>
      <c r="R811">
        <v>3559579.08</v>
      </c>
      <c r="S811">
        <v>271111.96396396001</v>
      </c>
      <c r="T811">
        <v>8.4542097039180994</v>
      </c>
      <c r="U811" t="str">
        <f t="shared" si="12"/>
        <v>Week 3</v>
      </c>
    </row>
    <row r="812" spans="1:21" x14ac:dyDescent="0.25">
      <c r="A812">
        <v>811</v>
      </c>
      <c r="B812" t="s">
        <v>1523</v>
      </c>
      <c r="C812" s="1">
        <v>46041</v>
      </c>
      <c r="D812" t="s">
        <v>37</v>
      </c>
      <c r="E812" t="s">
        <v>34</v>
      </c>
      <c r="F812" t="s">
        <v>23</v>
      </c>
      <c r="G812" t="s">
        <v>24</v>
      </c>
      <c r="H812" s="2">
        <v>1</v>
      </c>
      <c r="I812" t="s">
        <v>1524</v>
      </c>
      <c r="K812">
        <v>537000</v>
      </c>
      <c r="L812">
        <v>0</v>
      </c>
      <c r="M812">
        <v>0</v>
      </c>
      <c r="N812">
        <v>59070</v>
      </c>
      <c r="O812">
        <v>0</v>
      </c>
      <c r="P812">
        <v>0</v>
      </c>
      <c r="Q812">
        <v>0</v>
      </c>
      <c r="R812">
        <v>596070</v>
      </c>
      <c r="S812">
        <v>158261.26126130001</v>
      </c>
      <c r="T812">
        <v>29.47137081216</v>
      </c>
      <c r="U812" t="str">
        <f t="shared" si="12"/>
        <v>Week 3</v>
      </c>
    </row>
    <row r="813" spans="1:21" x14ac:dyDescent="0.25">
      <c r="A813">
        <v>812</v>
      </c>
      <c r="B813" t="s">
        <v>1525</v>
      </c>
      <c r="C813" s="1">
        <v>46041</v>
      </c>
      <c r="D813" t="s">
        <v>99</v>
      </c>
      <c r="E813" t="s">
        <v>100</v>
      </c>
      <c r="F813" t="s">
        <v>23</v>
      </c>
      <c r="G813" t="s">
        <v>24</v>
      </c>
      <c r="H813" s="2">
        <v>1</v>
      </c>
      <c r="I813" t="s">
        <v>1526</v>
      </c>
      <c r="K813">
        <v>89485000</v>
      </c>
      <c r="L813">
        <v>0</v>
      </c>
      <c r="M813">
        <v>0</v>
      </c>
      <c r="N813">
        <v>9843350</v>
      </c>
      <c r="O813">
        <v>0</v>
      </c>
      <c r="P813">
        <v>0</v>
      </c>
      <c r="Q813">
        <v>0</v>
      </c>
      <c r="R813">
        <v>99328350</v>
      </c>
      <c r="S813">
        <v>28834189.189195</v>
      </c>
      <c r="T813">
        <v>32.222371558580001</v>
      </c>
      <c r="U813" t="str">
        <f t="shared" si="12"/>
        <v>Week 3</v>
      </c>
    </row>
    <row r="814" spans="1:21" x14ac:dyDescent="0.25">
      <c r="A814">
        <v>813</v>
      </c>
      <c r="B814" t="s">
        <v>1527</v>
      </c>
      <c r="C814" s="1">
        <v>46039</v>
      </c>
      <c r="D814" t="s">
        <v>186</v>
      </c>
      <c r="E814" t="s">
        <v>117</v>
      </c>
      <c r="F814" t="s">
        <v>265</v>
      </c>
      <c r="G814" t="s">
        <v>24</v>
      </c>
      <c r="H814" s="2">
        <v>1</v>
      </c>
      <c r="I814" t="s">
        <v>1462</v>
      </c>
      <c r="J814" t="s">
        <v>26</v>
      </c>
      <c r="K814">
        <v>55300000</v>
      </c>
      <c r="L814">
        <v>0</v>
      </c>
      <c r="M814">
        <v>0</v>
      </c>
      <c r="N814">
        <v>6083000</v>
      </c>
      <c r="O814">
        <v>0</v>
      </c>
      <c r="P814">
        <v>0</v>
      </c>
      <c r="Q814">
        <v>0</v>
      </c>
      <c r="R814">
        <v>61383000</v>
      </c>
      <c r="S814">
        <v>53335000</v>
      </c>
      <c r="T814">
        <v>96.446654611211997</v>
      </c>
      <c r="U814" t="str">
        <f t="shared" si="12"/>
        <v>Week 3</v>
      </c>
    </row>
    <row r="815" spans="1:21" x14ac:dyDescent="0.25">
      <c r="A815">
        <v>814</v>
      </c>
      <c r="B815" t="s">
        <v>1528</v>
      </c>
      <c r="C815" s="1">
        <v>46039</v>
      </c>
      <c r="D815" t="s">
        <v>429</v>
      </c>
      <c r="E815" t="s">
        <v>205</v>
      </c>
      <c r="F815" t="s">
        <v>23</v>
      </c>
      <c r="G815" t="s">
        <v>24</v>
      </c>
      <c r="H815" s="2">
        <v>1</v>
      </c>
      <c r="I815" t="s">
        <v>1529</v>
      </c>
      <c r="J815" t="s">
        <v>26</v>
      </c>
      <c r="K815">
        <v>16759139.689999999</v>
      </c>
      <c r="L815">
        <v>0</v>
      </c>
      <c r="M815">
        <v>0</v>
      </c>
      <c r="N815">
        <v>1843505.3659000001</v>
      </c>
      <c r="O815">
        <v>0</v>
      </c>
      <c r="P815">
        <v>0</v>
      </c>
      <c r="Q815">
        <v>0</v>
      </c>
      <c r="R815">
        <v>18602645.0559</v>
      </c>
      <c r="S815">
        <v>3907139.69</v>
      </c>
      <c r="T815">
        <v>23.313486027753999</v>
      </c>
      <c r="U815" t="str">
        <f t="shared" si="12"/>
        <v>Week 3</v>
      </c>
    </row>
    <row r="816" spans="1:21" x14ac:dyDescent="0.25">
      <c r="A816">
        <v>815</v>
      </c>
      <c r="B816" t="s">
        <v>1530</v>
      </c>
      <c r="C816" s="1">
        <v>46039</v>
      </c>
      <c r="D816" t="s">
        <v>99</v>
      </c>
      <c r="E816" t="s">
        <v>100</v>
      </c>
      <c r="F816" t="s">
        <v>23</v>
      </c>
      <c r="G816" t="s">
        <v>24</v>
      </c>
      <c r="H816" s="2">
        <v>1</v>
      </c>
      <c r="I816" t="s">
        <v>610</v>
      </c>
      <c r="K816">
        <v>80900000</v>
      </c>
      <c r="L816">
        <v>0</v>
      </c>
      <c r="M816">
        <v>0</v>
      </c>
      <c r="N816">
        <v>8899000</v>
      </c>
      <c r="O816">
        <v>0</v>
      </c>
      <c r="P816">
        <v>0</v>
      </c>
      <c r="Q816">
        <v>0</v>
      </c>
      <c r="R816">
        <v>89799000</v>
      </c>
      <c r="S816">
        <v>15990091.76</v>
      </c>
      <c r="T816">
        <v>19.765255574784</v>
      </c>
      <c r="U816" t="str">
        <f t="shared" si="12"/>
        <v>Week 3</v>
      </c>
    </row>
    <row r="817" spans="1:21" x14ac:dyDescent="0.25">
      <c r="A817">
        <v>816</v>
      </c>
      <c r="B817" t="s">
        <v>1531</v>
      </c>
      <c r="C817" s="1">
        <v>46039</v>
      </c>
      <c r="D817" t="s">
        <v>21</v>
      </c>
      <c r="E817" t="s">
        <v>22</v>
      </c>
      <c r="F817" t="s">
        <v>30</v>
      </c>
      <c r="G817" t="s">
        <v>24</v>
      </c>
      <c r="H817" s="2">
        <v>1</v>
      </c>
      <c r="I817" t="s">
        <v>1532</v>
      </c>
      <c r="J817" t="s">
        <v>26</v>
      </c>
      <c r="K817">
        <v>6002500</v>
      </c>
      <c r="L817">
        <v>0</v>
      </c>
      <c r="M817">
        <v>0</v>
      </c>
      <c r="N817">
        <v>660275</v>
      </c>
      <c r="O817">
        <v>0</v>
      </c>
      <c r="P817">
        <v>0</v>
      </c>
      <c r="Q817">
        <v>0</v>
      </c>
      <c r="R817">
        <v>6662775</v>
      </c>
      <c r="S817">
        <v>708185</v>
      </c>
      <c r="T817">
        <v>11.798167430236999</v>
      </c>
      <c r="U817" t="str">
        <f t="shared" si="12"/>
        <v>Week 3</v>
      </c>
    </row>
    <row r="818" spans="1:21" x14ac:dyDescent="0.25">
      <c r="A818">
        <v>817</v>
      </c>
      <c r="B818" t="s">
        <v>1533</v>
      </c>
      <c r="C818" s="1">
        <v>46039</v>
      </c>
      <c r="D818" t="s">
        <v>99</v>
      </c>
      <c r="E818" t="s">
        <v>100</v>
      </c>
      <c r="F818" t="s">
        <v>23</v>
      </c>
      <c r="G818" t="s">
        <v>24</v>
      </c>
      <c r="H818" s="2">
        <v>1</v>
      </c>
      <c r="I818" t="s">
        <v>1534</v>
      </c>
      <c r="K818">
        <v>40750000</v>
      </c>
      <c r="L818">
        <v>0</v>
      </c>
      <c r="M818">
        <v>0</v>
      </c>
      <c r="N818">
        <v>4482500</v>
      </c>
      <c r="O818">
        <v>0</v>
      </c>
      <c r="P818">
        <v>0</v>
      </c>
      <c r="Q818">
        <v>0</v>
      </c>
      <c r="R818">
        <v>45232500</v>
      </c>
      <c r="S818">
        <v>9663514.5044999998</v>
      </c>
      <c r="T818">
        <v>23.714146023312999</v>
      </c>
      <c r="U818" t="str">
        <f t="shared" si="12"/>
        <v>Week 3</v>
      </c>
    </row>
    <row r="819" spans="1:21" x14ac:dyDescent="0.25">
      <c r="A819">
        <v>818</v>
      </c>
      <c r="B819" t="s">
        <v>1535</v>
      </c>
      <c r="C819" s="1">
        <v>46037</v>
      </c>
      <c r="D819" t="s">
        <v>33</v>
      </c>
      <c r="E819" t="s">
        <v>34</v>
      </c>
      <c r="F819" t="s">
        <v>30</v>
      </c>
      <c r="G819" t="s">
        <v>24</v>
      </c>
      <c r="H819" s="2">
        <v>1</v>
      </c>
      <c r="I819" t="s">
        <v>1536</v>
      </c>
      <c r="J819" t="s">
        <v>57</v>
      </c>
      <c r="K819">
        <v>1919429720</v>
      </c>
      <c r="L819">
        <v>0</v>
      </c>
      <c r="M819">
        <v>0</v>
      </c>
      <c r="N819">
        <v>211137269.19999999</v>
      </c>
      <c r="O819">
        <v>0</v>
      </c>
      <c r="P819">
        <v>0</v>
      </c>
      <c r="Q819">
        <v>0</v>
      </c>
      <c r="R819">
        <v>2130566989.2</v>
      </c>
      <c r="S819">
        <v>473297640</v>
      </c>
      <c r="T819">
        <v>24.658242761814002</v>
      </c>
      <c r="U819" t="str">
        <f t="shared" si="12"/>
        <v>Week 3</v>
      </c>
    </row>
    <row r="820" spans="1:21" x14ac:dyDescent="0.25">
      <c r="A820">
        <v>819</v>
      </c>
      <c r="B820" t="s">
        <v>1537</v>
      </c>
      <c r="C820" s="1">
        <v>46037</v>
      </c>
      <c r="D820" t="s">
        <v>21</v>
      </c>
      <c r="E820" t="s">
        <v>22</v>
      </c>
      <c r="F820" t="s">
        <v>30</v>
      </c>
      <c r="G820" t="s">
        <v>24</v>
      </c>
      <c r="H820" s="2">
        <v>1</v>
      </c>
      <c r="I820" t="s">
        <v>1505</v>
      </c>
      <c r="J820" t="s">
        <v>26</v>
      </c>
      <c r="K820">
        <v>63700</v>
      </c>
      <c r="L820">
        <v>0</v>
      </c>
      <c r="M820">
        <v>0</v>
      </c>
      <c r="N820">
        <v>7007</v>
      </c>
      <c r="O820">
        <v>0</v>
      </c>
      <c r="P820">
        <v>0</v>
      </c>
      <c r="Q820">
        <v>0</v>
      </c>
      <c r="R820">
        <v>70707</v>
      </c>
      <c r="S820">
        <v>47200</v>
      </c>
      <c r="T820">
        <v>74.097331240187998</v>
      </c>
      <c r="U820" t="str">
        <f t="shared" si="12"/>
        <v>Week 3</v>
      </c>
    </row>
    <row r="821" spans="1:21" x14ac:dyDescent="0.25">
      <c r="A821">
        <v>820</v>
      </c>
      <c r="B821" t="s">
        <v>1538</v>
      </c>
      <c r="C821" s="1">
        <v>46037</v>
      </c>
      <c r="D821" t="s">
        <v>21</v>
      </c>
      <c r="E821" t="s">
        <v>22</v>
      </c>
      <c r="F821" t="s">
        <v>30</v>
      </c>
      <c r="G821" t="s">
        <v>24</v>
      </c>
      <c r="H821" s="2">
        <v>1</v>
      </c>
      <c r="I821" t="s">
        <v>1192</v>
      </c>
      <c r="J821" t="s">
        <v>26</v>
      </c>
      <c r="K821">
        <v>15097390</v>
      </c>
      <c r="L821">
        <v>0</v>
      </c>
      <c r="M821">
        <v>0</v>
      </c>
      <c r="N821">
        <v>1660712.9</v>
      </c>
      <c r="O821">
        <v>0</v>
      </c>
      <c r="P821">
        <v>0</v>
      </c>
      <c r="Q821">
        <v>0</v>
      </c>
      <c r="R821">
        <v>16758102.9</v>
      </c>
      <c r="S821">
        <v>7704740</v>
      </c>
      <c r="T821">
        <v>51.033589249533001</v>
      </c>
      <c r="U821" t="str">
        <f t="shared" si="12"/>
        <v>Week 3</v>
      </c>
    </row>
    <row r="822" spans="1:21" x14ac:dyDescent="0.25">
      <c r="A822">
        <v>821</v>
      </c>
      <c r="B822" t="s">
        <v>1539</v>
      </c>
      <c r="C822" s="1">
        <v>46037</v>
      </c>
      <c r="D822" t="s">
        <v>21</v>
      </c>
      <c r="E822" t="s">
        <v>22</v>
      </c>
      <c r="F822" t="s">
        <v>30</v>
      </c>
      <c r="G822" t="s">
        <v>24</v>
      </c>
      <c r="H822" s="2">
        <v>1</v>
      </c>
      <c r="I822" t="s">
        <v>1540</v>
      </c>
      <c r="J822" t="s">
        <v>26</v>
      </c>
      <c r="K822">
        <v>449820</v>
      </c>
      <c r="L822">
        <v>0</v>
      </c>
      <c r="M822">
        <v>0</v>
      </c>
      <c r="N822">
        <v>49480.2</v>
      </c>
      <c r="O822">
        <v>0</v>
      </c>
      <c r="P822">
        <v>0</v>
      </c>
      <c r="Q822">
        <v>0</v>
      </c>
      <c r="R822">
        <v>499300.2</v>
      </c>
      <c r="S822">
        <v>244820</v>
      </c>
      <c r="T822">
        <v>54.426214930416997</v>
      </c>
      <c r="U822" t="str">
        <f t="shared" si="12"/>
        <v>Week 3</v>
      </c>
    </row>
    <row r="823" spans="1:21" x14ac:dyDescent="0.25">
      <c r="A823">
        <v>822</v>
      </c>
      <c r="B823" t="s">
        <v>1541</v>
      </c>
      <c r="C823" s="1">
        <v>46037</v>
      </c>
      <c r="D823" t="s">
        <v>204</v>
      </c>
      <c r="E823" t="s">
        <v>22</v>
      </c>
      <c r="F823" t="s">
        <v>23</v>
      </c>
      <c r="G823" t="s">
        <v>24</v>
      </c>
      <c r="H823" s="2">
        <v>1</v>
      </c>
      <c r="I823" t="s">
        <v>1542</v>
      </c>
      <c r="J823" t="s">
        <v>26</v>
      </c>
      <c r="K823">
        <v>51000000</v>
      </c>
      <c r="L823">
        <v>0</v>
      </c>
      <c r="M823">
        <v>0</v>
      </c>
      <c r="N823">
        <v>5610000</v>
      </c>
      <c r="O823">
        <v>0</v>
      </c>
      <c r="P823">
        <v>0</v>
      </c>
      <c r="Q823">
        <v>0</v>
      </c>
      <c r="R823">
        <v>56610000</v>
      </c>
      <c r="S823">
        <v>10859000</v>
      </c>
      <c r="T823">
        <v>21.292156862744999</v>
      </c>
      <c r="U823" t="str">
        <f t="shared" si="12"/>
        <v>Week 3</v>
      </c>
    </row>
    <row r="824" spans="1:21" x14ac:dyDescent="0.25">
      <c r="A824">
        <v>823</v>
      </c>
      <c r="B824" t="s">
        <v>1543</v>
      </c>
      <c r="C824" s="1">
        <v>46037</v>
      </c>
      <c r="D824" t="s">
        <v>21</v>
      </c>
      <c r="E824" t="s">
        <v>22</v>
      </c>
      <c r="F824" t="s">
        <v>30</v>
      </c>
      <c r="G824" t="s">
        <v>24</v>
      </c>
      <c r="H824" s="2">
        <v>1</v>
      </c>
      <c r="I824" t="s">
        <v>1544</v>
      </c>
      <c r="J824" t="s">
        <v>26</v>
      </c>
      <c r="K824">
        <v>3196647.3</v>
      </c>
      <c r="L824">
        <v>0</v>
      </c>
      <c r="M824">
        <v>0</v>
      </c>
      <c r="N824">
        <v>351631.20299999998</v>
      </c>
      <c r="O824">
        <v>0</v>
      </c>
      <c r="P824">
        <v>0</v>
      </c>
      <c r="Q824">
        <v>0</v>
      </c>
      <c r="R824">
        <v>3548278.503</v>
      </c>
      <c r="S824">
        <v>784269.24594595004</v>
      </c>
      <c r="T824">
        <v>24.534118792084001</v>
      </c>
      <c r="U824" t="str">
        <f t="shared" si="12"/>
        <v>Week 3</v>
      </c>
    </row>
    <row r="825" spans="1:21" x14ac:dyDescent="0.25">
      <c r="A825">
        <v>824</v>
      </c>
      <c r="B825" t="s">
        <v>1545</v>
      </c>
      <c r="C825" s="1">
        <v>46037</v>
      </c>
      <c r="D825" t="s">
        <v>99</v>
      </c>
      <c r="E825" t="s">
        <v>100</v>
      </c>
      <c r="F825" t="s">
        <v>23</v>
      </c>
      <c r="G825" t="s">
        <v>24</v>
      </c>
      <c r="H825" s="2">
        <v>1</v>
      </c>
      <c r="I825" t="s">
        <v>741</v>
      </c>
      <c r="K825">
        <v>222374700</v>
      </c>
      <c r="L825">
        <v>0</v>
      </c>
      <c r="M825">
        <v>0</v>
      </c>
      <c r="N825">
        <v>0</v>
      </c>
      <c r="O825">
        <v>0</v>
      </c>
      <c r="P825">
        <v>0</v>
      </c>
      <c r="Q825">
        <v>0</v>
      </c>
      <c r="R825">
        <v>222374700</v>
      </c>
      <c r="S825">
        <v>56538493.995494999</v>
      </c>
      <c r="T825">
        <v>25.424877018606999</v>
      </c>
      <c r="U825" t="str">
        <f t="shared" si="12"/>
        <v>Week 3</v>
      </c>
    </row>
    <row r="826" spans="1:21" x14ac:dyDescent="0.25">
      <c r="A826">
        <v>825</v>
      </c>
      <c r="B826" t="s">
        <v>1546</v>
      </c>
      <c r="C826" s="1">
        <v>46036</v>
      </c>
      <c r="D826" t="s">
        <v>28</v>
      </c>
      <c r="E826" t="s">
        <v>1547</v>
      </c>
      <c r="F826" t="s">
        <v>23</v>
      </c>
      <c r="G826" t="s">
        <v>24</v>
      </c>
      <c r="H826" s="2">
        <v>1</v>
      </c>
      <c r="I826" t="s">
        <v>1548</v>
      </c>
      <c r="K826">
        <v>22103900</v>
      </c>
      <c r="L826">
        <v>0</v>
      </c>
      <c r="M826">
        <v>0</v>
      </c>
      <c r="N826">
        <v>2431429</v>
      </c>
      <c r="O826">
        <v>0</v>
      </c>
      <c r="P826">
        <v>0</v>
      </c>
      <c r="Q826">
        <v>0</v>
      </c>
      <c r="R826">
        <v>24535329</v>
      </c>
      <c r="S826">
        <v>6609147.7477476997</v>
      </c>
      <c r="T826">
        <v>29.900369381636999</v>
      </c>
      <c r="U826" t="str">
        <f t="shared" si="12"/>
        <v>Week 2</v>
      </c>
    </row>
    <row r="827" spans="1:21" x14ac:dyDescent="0.25">
      <c r="A827">
        <v>826</v>
      </c>
      <c r="B827" t="s">
        <v>1549</v>
      </c>
      <c r="C827" s="1">
        <v>46036</v>
      </c>
      <c r="D827" t="s">
        <v>204</v>
      </c>
      <c r="E827" t="s">
        <v>205</v>
      </c>
      <c r="F827" t="s">
        <v>23</v>
      </c>
      <c r="G827" t="s">
        <v>24</v>
      </c>
      <c r="H827" s="2">
        <v>1</v>
      </c>
      <c r="I827" t="s">
        <v>1550</v>
      </c>
      <c r="J827" t="s">
        <v>26</v>
      </c>
      <c r="K827">
        <v>60000000</v>
      </c>
      <c r="L827">
        <v>0</v>
      </c>
      <c r="M827">
        <v>0</v>
      </c>
      <c r="N827">
        <v>6600000</v>
      </c>
      <c r="O827">
        <v>0</v>
      </c>
      <c r="P827">
        <v>0</v>
      </c>
      <c r="Q827">
        <v>0</v>
      </c>
      <c r="R827">
        <v>66600000</v>
      </c>
      <c r="S827">
        <v>14000000</v>
      </c>
      <c r="T827">
        <v>23.333333333333002</v>
      </c>
      <c r="U827" t="str">
        <f t="shared" si="12"/>
        <v>Week 2</v>
      </c>
    </row>
    <row r="828" spans="1:21" x14ac:dyDescent="0.25">
      <c r="A828">
        <v>827</v>
      </c>
      <c r="B828" t="s">
        <v>1551</v>
      </c>
      <c r="C828" s="1">
        <v>46036</v>
      </c>
      <c r="D828" t="s">
        <v>171</v>
      </c>
      <c r="E828" t="s">
        <v>100</v>
      </c>
      <c r="F828" t="s">
        <v>30</v>
      </c>
      <c r="G828" t="s">
        <v>24</v>
      </c>
      <c r="H828" s="2">
        <v>1</v>
      </c>
      <c r="I828" t="s">
        <v>1552</v>
      </c>
      <c r="K828">
        <v>16834600</v>
      </c>
      <c r="L828">
        <v>0</v>
      </c>
      <c r="M828">
        <v>0</v>
      </c>
      <c r="N828">
        <v>1851806</v>
      </c>
      <c r="O828">
        <v>0</v>
      </c>
      <c r="P828">
        <v>0</v>
      </c>
      <c r="Q828">
        <v>0</v>
      </c>
      <c r="R828">
        <v>18686406</v>
      </c>
      <c r="S828">
        <v>1427100</v>
      </c>
      <c r="T828">
        <v>8.4771838950731997</v>
      </c>
      <c r="U828" t="str">
        <f t="shared" si="12"/>
        <v>Week 2</v>
      </c>
    </row>
    <row r="829" spans="1:21" x14ac:dyDescent="0.25">
      <c r="A829">
        <v>828</v>
      </c>
      <c r="B829" t="s">
        <v>1553</v>
      </c>
      <c r="C829" s="1">
        <v>46036</v>
      </c>
      <c r="D829" t="s">
        <v>54</v>
      </c>
      <c r="E829" t="s">
        <v>1554</v>
      </c>
      <c r="F829" t="s">
        <v>23</v>
      </c>
      <c r="G829" t="s">
        <v>24</v>
      </c>
      <c r="H829" s="2">
        <v>1</v>
      </c>
      <c r="I829" t="s">
        <v>1555</v>
      </c>
      <c r="K829">
        <v>253368800</v>
      </c>
      <c r="L829">
        <v>0</v>
      </c>
      <c r="M829">
        <v>0</v>
      </c>
      <c r="N829">
        <v>27870568</v>
      </c>
      <c r="O829">
        <v>0</v>
      </c>
      <c r="P829">
        <v>0</v>
      </c>
      <c r="Q829">
        <v>0</v>
      </c>
      <c r="R829">
        <v>281239368</v>
      </c>
      <c r="S829">
        <v>77729164</v>
      </c>
      <c r="T829">
        <v>30.678269779072998</v>
      </c>
      <c r="U829" t="str">
        <f t="shared" si="12"/>
        <v>Week 2</v>
      </c>
    </row>
    <row r="830" spans="1:21" x14ac:dyDescent="0.25">
      <c r="A830">
        <v>829</v>
      </c>
      <c r="B830" t="s">
        <v>1556</v>
      </c>
      <c r="C830" s="1">
        <v>46036</v>
      </c>
      <c r="D830" t="s">
        <v>113</v>
      </c>
      <c r="E830" t="s">
        <v>34</v>
      </c>
      <c r="F830" t="s">
        <v>23</v>
      </c>
      <c r="G830" t="s">
        <v>24</v>
      </c>
      <c r="H830" s="2">
        <v>1</v>
      </c>
      <c r="I830" t="s">
        <v>1497</v>
      </c>
      <c r="K830">
        <v>6604800</v>
      </c>
      <c r="L830">
        <v>0</v>
      </c>
      <c r="M830">
        <v>0</v>
      </c>
      <c r="N830">
        <v>726528</v>
      </c>
      <c r="O830">
        <v>0</v>
      </c>
      <c r="P830">
        <v>0</v>
      </c>
      <c r="Q830">
        <v>0</v>
      </c>
      <c r="R830">
        <v>7331328</v>
      </c>
      <c r="S830">
        <v>2849129.7297296999</v>
      </c>
      <c r="T830">
        <v>43.137259716110997</v>
      </c>
      <c r="U830" t="str">
        <f t="shared" si="12"/>
        <v>Week 2</v>
      </c>
    </row>
    <row r="831" spans="1:21" x14ac:dyDescent="0.25">
      <c r="A831">
        <v>830</v>
      </c>
      <c r="B831" t="s">
        <v>1557</v>
      </c>
      <c r="C831" s="1">
        <v>46036</v>
      </c>
      <c r="D831" t="s">
        <v>33</v>
      </c>
      <c r="E831" t="s">
        <v>34</v>
      </c>
      <c r="F831" t="s">
        <v>30</v>
      </c>
      <c r="G831" t="s">
        <v>24</v>
      </c>
      <c r="H831" s="2">
        <v>1</v>
      </c>
      <c r="I831" t="s">
        <v>1558</v>
      </c>
      <c r="K831">
        <v>11421704</v>
      </c>
      <c r="L831">
        <v>0</v>
      </c>
      <c r="M831">
        <v>0</v>
      </c>
      <c r="N831">
        <v>1256387.44</v>
      </c>
      <c r="O831">
        <v>0</v>
      </c>
      <c r="P831">
        <v>0</v>
      </c>
      <c r="Q831">
        <v>0</v>
      </c>
      <c r="R831">
        <v>12678091.439999999</v>
      </c>
      <c r="S831">
        <v>2933215.51156</v>
      </c>
      <c r="T831">
        <v>25.681067479597999</v>
      </c>
      <c r="U831" t="str">
        <f t="shared" si="12"/>
        <v>Week 2</v>
      </c>
    </row>
    <row r="832" spans="1:21" x14ac:dyDescent="0.25">
      <c r="A832">
        <v>831</v>
      </c>
      <c r="B832" t="s">
        <v>1559</v>
      </c>
      <c r="C832" s="1">
        <v>46036</v>
      </c>
      <c r="D832" t="s">
        <v>186</v>
      </c>
      <c r="E832" t="s">
        <v>117</v>
      </c>
      <c r="F832" t="s">
        <v>23</v>
      </c>
      <c r="G832" t="s">
        <v>24</v>
      </c>
      <c r="H832" s="2">
        <v>1</v>
      </c>
      <c r="I832" t="s">
        <v>989</v>
      </c>
      <c r="J832" t="s">
        <v>26</v>
      </c>
      <c r="K832">
        <v>9200000</v>
      </c>
      <c r="L832">
        <v>0</v>
      </c>
      <c r="M832">
        <v>0</v>
      </c>
      <c r="N832">
        <v>1012000</v>
      </c>
      <c r="O832">
        <v>0</v>
      </c>
      <c r="P832">
        <v>0</v>
      </c>
      <c r="Q832">
        <v>0</v>
      </c>
      <c r="R832">
        <v>10212000</v>
      </c>
      <c r="S832">
        <v>1600000</v>
      </c>
      <c r="T832">
        <v>17.391304347826001</v>
      </c>
      <c r="U832" t="str">
        <f t="shared" si="12"/>
        <v>Week 2</v>
      </c>
    </row>
    <row r="833" spans="1:21" x14ac:dyDescent="0.25">
      <c r="A833">
        <v>832</v>
      </c>
      <c r="B833" t="s">
        <v>1560</v>
      </c>
      <c r="C833" s="1">
        <v>46036</v>
      </c>
      <c r="D833" t="s">
        <v>204</v>
      </c>
      <c r="E833" t="s">
        <v>205</v>
      </c>
      <c r="F833" t="s">
        <v>30</v>
      </c>
      <c r="G833" t="s">
        <v>24</v>
      </c>
      <c r="H833" s="2">
        <v>1</v>
      </c>
      <c r="I833" t="s">
        <v>1561</v>
      </c>
      <c r="J833" t="s">
        <v>26</v>
      </c>
      <c r="K833">
        <v>8927800</v>
      </c>
      <c r="L833">
        <v>0</v>
      </c>
      <c r="M833">
        <v>0</v>
      </c>
      <c r="N833">
        <v>982058</v>
      </c>
      <c r="O833">
        <v>0</v>
      </c>
      <c r="P833">
        <v>0</v>
      </c>
      <c r="Q833">
        <v>0</v>
      </c>
      <c r="R833">
        <v>9909858</v>
      </c>
      <c r="S833">
        <v>2270142.3423422999</v>
      </c>
      <c r="T833">
        <v>25.427791195392999</v>
      </c>
      <c r="U833" t="str">
        <f t="shared" si="12"/>
        <v>Week 2</v>
      </c>
    </row>
    <row r="834" spans="1:21" x14ac:dyDescent="0.25">
      <c r="A834">
        <v>833</v>
      </c>
      <c r="B834" t="s">
        <v>1562</v>
      </c>
      <c r="C834" s="1">
        <v>46036</v>
      </c>
      <c r="D834" t="s">
        <v>186</v>
      </c>
      <c r="E834" t="s">
        <v>117</v>
      </c>
      <c r="F834" t="s">
        <v>23</v>
      </c>
      <c r="G834" t="s">
        <v>24</v>
      </c>
      <c r="H834" s="2">
        <v>1</v>
      </c>
      <c r="I834" t="s">
        <v>989</v>
      </c>
      <c r="J834" t="s">
        <v>26</v>
      </c>
      <c r="K834">
        <v>34999500</v>
      </c>
      <c r="L834">
        <v>0</v>
      </c>
      <c r="M834">
        <v>0</v>
      </c>
      <c r="N834">
        <v>3849945</v>
      </c>
      <c r="O834">
        <v>0</v>
      </c>
      <c r="P834">
        <v>0</v>
      </c>
      <c r="Q834">
        <v>0</v>
      </c>
      <c r="R834">
        <v>38849445</v>
      </c>
      <c r="S834">
        <v>7300164.5441440996</v>
      </c>
      <c r="T834">
        <v>20.857910953425002</v>
      </c>
      <c r="U834" t="str">
        <f t="shared" si="12"/>
        <v>Week 2</v>
      </c>
    </row>
    <row r="835" spans="1:21" x14ac:dyDescent="0.25">
      <c r="A835">
        <v>834</v>
      </c>
      <c r="B835" t="s">
        <v>1563</v>
      </c>
      <c r="C835" s="1">
        <v>46036</v>
      </c>
      <c r="D835" t="s">
        <v>204</v>
      </c>
      <c r="E835" t="s">
        <v>22</v>
      </c>
      <c r="F835" t="s">
        <v>23</v>
      </c>
      <c r="G835" t="s">
        <v>24</v>
      </c>
      <c r="H835" s="2">
        <v>1</v>
      </c>
      <c r="I835" t="s">
        <v>815</v>
      </c>
      <c r="J835" t="s">
        <v>26</v>
      </c>
      <c r="K835">
        <v>30647000</v>
      </c>
      <c r="L835">
        <v>0</v>
      </c>
      <c r="M835">
        <v>0</v>
      </c>
      <c r="N835">
        <v>3371170</v>
      </c>
      <c r="O835">
        <v>0</v>
      </c>
      <c r="P835">
        <v>0</v>
      </c>
      <c r="Q835">
        <v>0</v>
      </c>
      <c r="R835">
        <v>34018170</v>
      </c>
      <c r="S835">
        <v>6279750</v>
      </c>
      <c r="T835">
        <v>20.490586354291999</v>
      </c>
      <c r="U835" t="str">
        <f t="shared" ref="U835:U898" si="13">"Week " &amp;IF(DAY(C835)&gt;=24,4,INT((DAY(C835)-1)/7)+1)</f>
        <v>Week 2</v>
      </c>
    </row>
    <row r="836" spans="1:21" x14ac:dyDescent="0.25">
      <c r="A836">
        <v>835</v>
      </c>
      <c r="B836" t="s">
        <v>1564</v>
      </c>
      <c r="C836" s="1">
        <v>46036</v>
      </c>
      <c r="D836" t="s">
        <v>204</v>
      </c>
      <c r="E836" t="s">
        <v>205</v>
      </c>
      <c r="F836" t="s">
        <v>23</v>
      </c>
      <c r="G836" t="s">
        <v>24</v>
      </c>
      <c r="H836" s="2">
        <v>1</v>
      </c>
      <c r="I836" t="s">
        <v>1565</v>
      </c>
      <c r="J836" t="s">
        <v>26</v>
      </c>
      <c r="K836">
        <v>11215000</v>
      </c>
      <c r="L836">
        <v>0</v>
      </c>
      <c r="M836">
        <v>0</v>
      </c>
      <c r="N836">
        <v>1233650</v>
      </c>
      <c r="O836">
        <v>0</v>
      </c>
      <c r="P836">
        <v>0</v>
      </c>
      <c r="Q836">
        <v>0</v>
      </c>
      <c r="R836">
        <v>12448650</v>
      </c>
      <c r="S836">
        <v>2487981.9900000002</v>
      </c>
      <c r="T836">
        <v>22.184413642443001</v>
      </c>
      <c r="U836" t="str">
        <f t="shared" si="13"/>
        <v>Week 2</v>
      </c>
    </row>
    <row r="837" spans="1:21" x14ac:dyDescent="0.25">
      <c r="A837">
        <v>836</v>
      </c>
      <c r="B837" t="s">
        <v>1566</v>
      </c>
      <c r="C837" s="1">
        <v>46036</v>
      </c>
      <c r="D837" t="s">
        <v>255</v>
      </c>
      <c r="E837" t="s">
        <v>205</v>
      </c>
      <c r="F837" t="s">
        <v>23</v>
      </c>
      <c r="G837" t="s">
        <v>24</v>
      </c>
      <c r="H837" s="2">
        <v>1</v>
      </c>
      <c r="I837" t="s">
        <v>200</v>
      </c>
      <c r="K837">
        <v>77502000</v>
      </c>
      <c r="L837">
        <v>0</v>
      </c>
      <c r="M837">
        <v>0</v>
      </c>
      <c r="N837">
        <v>8525220</v>
      </c>
      <c r="O837">
        <v>0</v>
      </c>
      <c r="P837">
        <v>0</v>
      </c>
      <c r="Q837">
        <v>0</v>
      </c>
      <c r="R837">
        <v>86027220</v>
      </c>
      <c r="S837">
        <v>13391134.054053999</v>
      </c>
      <c r="T837">
        <v>17.278436755249999</v>
      </c>
      <c r="U837" t="str">
        <f t="shared" si="13"/>
        <v>Week 2</v>
      </c>
    </row>
    <row r="838" spans="1:21" x14ac:dyDescent="0.25">
      <c r="A838">
        <v>837</v>
      </c>
      <c r="B838" t="s">
        <v>1567</v>
      </c>
      <c r="C838" s="1">
        <v>46036</v>
      </c>
      <c r="D838" t="s">
        <v>252</v>
      </c>
      <c r="E838" t="s">
        <v>100</v>
      </c>
      <c r="F838" t="s">
        <v>23</v>
      </c>
      <c r="G838" t="s">
        <v>24</v>
      </c>
      <c r="H838" s="2">
        <v>1</v>
      </c>
      <c r="I838" t="s">
        <v>1568</v>
      </c>
      <c r="K838">
        <v>43300000</v>
      </c>
      <c r="L838">
        <v>0</v>
      </c>
      <c r="M838">
        <v>0</v>
      </c>
      <c r="N838">
        <v>4763000</v>
      </c>
      <c r="O838">
        <v>0</v>
      </c>
      <c r="P838">
        <v>0</v>
      </c>
      <c r="Q838">
        <v>0</v>
      </c>
      <c r="R838">
        <v>48063000</v>
      </c>
      <c r="S838">
        <v>8816217.5500000007</v>
      </c>
      <c r="T838">
        <v>20.360779561200999</v>
      </c>
      <c r="U838" t="str">
        <f t="shared" si="13"/>
        <v>Week 2</v>
      </c>
    </row>
    <row r="839" spans="1:21" x14ac:dyDescent="0.25">
      <c r="A839">
        <v>838</v>
      </c>
      <c r="B839" t="s">
        <v>1569</v>
      </c>
      <c r="C839" s="1">
        <v>46036</v>
      </c>
      <c r="D839" t="s">
        <v>204</v>
      </c>
      <c r="E839" t="s">
        <v>205</v>
      </c>
      <c r="F839" t="s">
        <v>23</v>
      </c>
      <c r="G839" t="s">
        <v>24</v>
      </c>
      <c r="H839" s="2">
        <v>1</v>
      </c>
      <c r="I839" t="s">
        <v>1570</v>
      </c>
      <c r="J839" t="s">
        <v>26</v>
      </c>
      <c r="K839">
        <v>10100000</v>
      </c>
      <c r="L839">
        <v>0</v>
      </c>
      <c r="M839">
        <v>0</v>
      </c>
      <c r="N839">
        <v>1111000</v>
      </c>
      <c r="O839">
        <v>0</v>
      </c>
      <c r="P839">
        <v>0</v>
      </c>
      <c r="Q839">
        <v>0</v>
      </c>
      <c r="R839">
        <v>11211000</v>
      </c>
      <c r="S839">
        <v>10097775</v>
      </c>
      <c r="T839">
        <v>99.977970297029998</v>
      </c>
      <c r="U839" t="str">
        <f t="shared" si="13"/>
        <v>Week 2</v>
      </c>
    </row>
    <row r="840" spans="1:21" x14ac:dyDescent="0.25">
      <c r="A840">
        <v>839</v>
      </c>
      <c r="B840" t="s">
        <v>1571</v>
      </c>
      <c r="C840" s="1">
        <v>46036</v>
      </c>
      <c r="D840" t="s">
        <v>113</v>
      </c>
      <c r="E840" t="s">
        <v>34</v>
      </c>
      <c r="F840" t="s">
        <v>30</v>
      </c>
      <c r="G840" t="s">
        <v>24</v>
      </c>
      <c r="H840" s="2">
        <v>1</v>
      </c>
      <c r="I840" t="s">
        <v>1572</v>
      </c>
      <c r="K840">
        <v>28325000</v>
      </c>
      <c r="L840">
        <v>0</v>
      </c>
      <c r="M840">
        <v>0</v>
      </c>
      <c r="N840">
        <v>3115750</v>
      </c>
      <c r="O840">
        <v>0</v>
      </c>
      <c r="P840">
        <v>0</v>
      </c>
      <c r="Q840">
        <v>0</v>
      </c>
      <c r="R840">
        <v>31440750</v>
      </c>
      <c r="S840">
        <v>5325000</v>
      </c>
      <c r="T840">
        <v>18.799646954987001</v>
      </c>
      <c r="U840" t="str">
        <f t="shared" si="13"/>
        <v>Week 2</v>
      </c>
    </row>
    <row r="841" spans="1:21" x14ac:dyDescent="0.25">
      <c r="A841">
        <v>840</v>
      </c>
      <c r="B841" t="s">
        <v>1573</v>
      </c>
      <c r="C841" s="1">
        <v>46036</v>
      </c>
      <c r="D841" t="s">
        <v>33</v>
      </c>
      <c r="E841" t="s">
        <v>34</v>
      </c>
      <c r="F841" t="s">
        <v>30</v>
      </c>
      <c r="G841" t="s">
        <v>24</v>
      </c>
      <c r="H841" s="2">
        <v>1</v>
      </c>
      <c r="I841" t="s">
        <v>1574</v>
      </c>
      <c r="K841">
        <v>3540250</v>
      </c>
      <c r="L841">
        <v>0</v>
      </c>
      <c r="M841">
        <v>0</v>
      </c>
      <c r="N841">
        <v>389427.5</v>
      </c>
      <c r="O841">
        <v>0</v>
      </c>
      <c r="P841">
        <v>0</v>
      </c>
      <c r="Q841">
        <v>0</v>
      </c>
      <c r="R841">
        <v>3929677.5</v>
      </c>
      <c r="S841">
        <v>3540250</v>
      </c>
      <c r="T841">
        <v>100</v>
      </c>
      <c r="U841" t="str">
        <f t="shared" si="13"/>
        <v>Week 2</v>
      </c>
    </row>
    <row r="842" spans="1:21" x14ac:dyDescent="0.25">
      <c r="A842">
        <v>841</v>
      </c>
      <c r="B842" t="s">
        <v>1575</v>
      </c>
      <c r="C842" s="1">
        <v>46036</v>
      </c>
      <c r="D842" t="s">
        <v>33</v>
      </c>
      <c r="E842" t="s">
        <v>34</v>
      </c>
      <c r="F842" t="s">
        <v>23</v>
      </c>
      <c r="G842" t="s">
        <v>24</v>
      </c>
      <c r="H842" s="2">
        <v>1</v>
      </c>
      <c r="I842" t="s">
        <v>1576</v>
      </c>
      <c r="K842">
        <v>58500000</v>
      </c>
      <c r="L842">
        <v>0</v>
      </c>
      <c r="M842">
        <v>0</v>
      </c>
      <c r="N842">
        <v>6435000</v>
      </c>
      <c r="O842">
        <v>0</v>
      </c>
      <c r="P842">
        <v>0</v>
      </c>
      <c r="Q842">
        <v>0</v>
      </c>
      <c r="R842">
        <v>64935000</v>
      </c>
      <c r="S842">
        <v>25860000</v>
      </c>
      <c r="T842">
        <v>44.205128205127998</v>
      </c>
      <c r="U842" t="str">
        <f t="shared" si="13"/>
        <v>Week 2</v>
      </c>
    </row>
    <row r="843" spans="1:21" x14ac:dyDescent="0.25">
      <c r="A843">
        <v>842</v>
      </c>
      <c r="B843" t="s">
        <v>1577</v>
      </c>
      <c r="C843" s="1">
        <v>46035</v>
      </c>
      <c r="D843" t="s">
        <v>113</v>
      </c>
      <c r="E843" t="s">
        <v>34</v>
      </c>
      <c r="F843" t="s">
        <v>23</v>
      </c>
      <c r="G843" t="s">
        <v>24</v>
      </c>
      <c r="H843" s="2">
        <v>1</v>
      </c>
      <c r="I843" t="s">
        <v>1497</v>
      </c>
      <c r="K843">
        <v>1500000</v>
      </c>
      <c r="L843">
        <v>0</v>
      </c>
      <c r="M843">
        <v>0</v>
      </c>
      <c r="N843">
        <v>165000</v>
      </c>
      <c r="O843">
        <v>0</v>
      </c>
      <c r="P843">
        <v>0</v>
      </c>
      <c r="Q843">
        <v>0</v>
      </c>
      <c r="R843">
        <v>1665000</v>
      </c>
      <c r="S843">
        <v>600000</v>
      </c>
      <c r="T843">
        <v>40</v>
      </c>
      <c r="U843" t="str">
        <f t="shared" si="13"/>
        <v>Week 2</v>
      </c>
    </row>
    <row r="844" spans="1:21" x14ac:dyDescent="0.25">
      <c r="A844">
        <v>843</v>
      </c>
      <c r="B844" t="s">
        <v>1578</v>
      </c>
      <c r="C844" s="1">
        <v>46035</v>
      </c>
      <c r="D844" t="s">
        <v>204</v>
      </c>
      <c r="E844" t="s">
        <v>205</v>
      </c>
      <c r="F844" t="s">
        <v>23</v>
      </c>
      <c r="G844" t="s">
        <v>24</v>
      </c>
      <c r="H844" s="2">
        <v>1</v>
      </c>
      <c r="I844" t="s">
        <v>1565</v>
      </c>
      <c r="J844" t="s">
        <v>26</v>
      </c>
      <c r="K844">
        <v>2884000</v>
      </c>
      <c r="L844">
        <v>0</v>
      </c>
      <c r="M844">
        <v>0</v>
      </c>
      <c r="N844">
        <v>317240</v>
      </c>
      <c r="O844">
        <v>0</v>
      </c>
      <c r="P844">
        <v>0</v>
      </c>
      <c r="Q844">
        <v>0</v>
      </c>
      <c r="R844">
        <v>3201240</v>
      </c>
      <c r="S844">
        <v>626549.54963422997</v>
      </c>
      <c r="T844">
        <v>21.725019058053</v>
      </c>
      <c r="U844" t="str">
        <f t="shared" si="13"/>
        <v>Week 2</v>
      </c>
    </row>
    <row r="845" spans="1:21" x14ac:dyDescent="0.25">
      <c r="A845">
        <v>844</v>
      </c>
      <c r="B845" t="s">
        <v>1579</v>
      </c>
      <c r="C845" s="1">
        <v>46035</v>
      </c>
      <c r="D845" t="s">
        <v>54</v>
      </c>
      <c r="E845" t="s">
        <v>55</v>
      </c>
      <c r="F845" t="s">
        <v>30</v>
      </c>
      <c r="G845" t="s">
        <v>24</v>
      </c>
      <c r="H845" s="2">
        <v>1</v>
      </c>
      <c r="I845" t="s">
        <v>1580</v>
      </c>
      <c r="K845">
        <v>2923585</v>
      </c>
      <c r="L845">
        <v>0</v>
      </c>
      <c r="M845">
        <v>0</v>
      </c>
      <c r="N845">
        <v>321594.34999999998</v>
      </c>
      <c r="O845">
        <v>0</v>
      </c>
      <c r="P845">
        <v>0</v>
      </c>
      <c r="Q845">
        <v>0</v>
      </c>
      <c r="R845">
        <v>3245179.35</v>
      </c>
      <c r="S845">
        <v>536985</v>
      </c>
      <c r="T845">
        <v>18.367346938775999</v>
      </c>
      <c r="U845" t="str">
        <f t="shared" si="13"/>
        <v>Week 2</v>
      </c>
    </row>
    <row r="846" spans="1:21" x14ac:dyDescent="0.25">
      <c r="A846">
        <v>845</v>
      </c>
      <c r="B846" t="s">
        <v>1581</v>
      </c>
      <c r="C846" s="1">
        <v>46035</v>
      </c>
      <c r="D846" t="s">
        <v>1582</v>
      </c>
      <c r="E846" t="s">
        <v>1303</v>
      </c>
      <c r="F846" t="s">
        <v>30</v>
      </c>
      <c r="G846" t="s">
        <v>24</v>
      </c>
      <c r="H846" s="2">
        <v>1</v>
      </c>
      <c r="I846" t="s">
        <v>1583</v>
      </c>
      <c r="K846">
        <v>8381110</v>
      </c>
      <c r="L846">
        <v>0</v>
      </c>
      <c r="M846">
        <v>0</v>
      </c>
      <c r="N846">
        <v>921922.1</v>
      </c>
      <c r="O846">
        <v>0</v>
      </c>
      <c r="P846">
        <v>0</v>
      </c>
      <c r="Q846">
        <v>0</v>
      </c>
      <c r="R846">
        <v>9303032.0999999996</v>
      </c>
      <c r="S846">
        <v>753950.27027028997</v>
      </c>
      <c r="T846">
        <v>8.9958283600893996</v>
      </c>
      <c r="U846" t="str">
        <f t="shared" si="13"/>
        <v>Week 2</v>
      </c>
    </row>
    <row r="847" spans="1:21" x14ac:dyDescent="0.25">
      <c r="A847">
        <v>846</v>
      </c>
      <c r="B847" t="s">
        <v>1584</v>
      </c>
      <c r="C847" s="1">
        <v>46035</v>
      </c>
      <c r="D847" t="s">
        <v>1585</v>
      </c>
      <c r="E847" t="s">
        <v>1510</v>
      </c>
      <c r="F847" t="s">
        <v>23</v>
      </c>
      <c r="G847" t="s">
        <v>24</v>
      </c>
      <c r="H847" s="2">
        <v>1</v>
      </c>
      <c r="I847" t="s">
        <v>1586</v>
      </c>
      <c r="K847">
        <v>4015420</v>
      </c>
      <c r="L847">
        <v>0</v>
      </c>
      <c r="M847">
        <v>0</v>
      </c>
      <c r="N847">
        <v>441696.2</v>
      </c>
      <c r="O847">
        <v>0</v>
      </c>
      <c r="P847">
        <v>0</v>
      </c>
      <c r="Q847">
        <v>0</v>
      </c>
      <c r="R847">
        <v>4457116.2</v>
      </c>
      <c r="S847">
        <v>1407235</v>
      </c>
      <c r="T847">
        <v>35.045773542992002</v>
      </c>
      <c r="U847" t="str">
        <f t="shared" si="13"/>
        <v>Week 2</v>
      </c>
    </row>
    <row r="848" spans="1:21" x14ac:dyDescent="0.25">
      <c r="A848">
        <v>847</v>
      </c>
      <c r="B848" t="s">
        <v>1587</v>
      </c>
      <c r="C848" s="1">
        <v>46035</v>
      </c>
      <c r="D848" t="s">
        <v>1582</v>
      </c>
      <c r="E848" t="s">
        <v>1303</v>
      </c>
      <c r="F848" t="s">
        <v>30</v>
      </c>
      <c r="G848" t="s">
        <v>24</v>
      </c>
      <c r="H848" s="2">
        <v>1</v>
      </c>
      <c r="I848" t="s">
        <v>1588</v>
      </c>
      <c r="K848">
        <v>1149545000</v>
      </c>
      <c r="L848">
        <v>0</v>
      </c>
      <c r="M848">
        <v>0</v>
      </c>
      <c r="N848">
        <v>126449950</v>
      </c>
      <c r="O848">
        <v>0</v>
      </c>
      <c r="P848">
        <v>0</v>
      </c>
      <c r="Q848">
        <v>0</v>
      </c>
      <c r="R848">
        <v>1275994950</v>
      </c>
      <c r="S848">
        <v>42055000</v>
      </c>
      <c r="T848">
        <v>3.6584039772258001</v>
      </c>
      <c r="U848" t="str">
        <f t="shared" si="13"/>
        <v>Week 2</v>
      </c>
    </row>
    <row r="849" spans="1:21" x14ac:dyDescent="0.25">
      <c r="A849">
        <v>848</v>
      </c>
      <c r="B849" t="s">
        <v>1589</v>
      </c>
      <c r="C849" s="1">
        <v>46035</v>
      </c>
      <c r="D849" t="s">
        <v>54</v>
      </c>
      <c r="E849" t="s">
        <v>55</v>
      </c>
      <c r="F849" t="s">
        <v>30</v>
      </c>
      <c r="G849" t="s">
        <v>24</v>
      </c>
      <c r="H849" s="2">
        <v>1</v>
      </c>
      <c r="I849" t="s">
        <v>1580</v>
      </c>
      <c r="K849">
        <v>6312425</v>
      </c>
      <c r="L849">
        <v>0</v>
      </c>
      <c r="M849">
        <v>0</v>
      </c>
      <c r="N849">
        <v>694366.75</v>
      </c>
      <c r="O849">
        <v>0</v>
      </c>
      <c r="P849">
        <v>0</v>
      </c>
      <c r="Q849">
        <v>0</v>
      </c>
      <c r="R849">
        <v>7006791.75</v>
      </c>
      <c r="S849">
        <v>1192425</v>
      </c>
      <c r="T849">
        <v>18.890125427232999</v>
      </c>
      <c r="U849" t="str">
        <f t="shared" si="13"/>
        <v>Week 2</v>
      </c>
    </row>
    <row r="850" spans="1:21" x14ac:dyDescent="0.25">
      <c r="A850">
        <v>849</v>
      </c>
      <c r="B850" t="s">
        <v>1590</v>
      </c>
      <c r="C850" s="1">
        <v>46034</v>
      </c>
      <c r="D850" t="s">
        <v>33</v>
      </c>
      <c r="E850" t="s">
        <v>34</v>
      </c>
      <c r="F850" t="s">
        <v>30</v>
      </c>
      <c r="G850" t="s">
        <v>24</v>
      </c>
      <c r="H850" s="2">
        <v>1</v>
      </c>
      <c r="I850" t="s">
        <v>1591</v>
      </c>
      <c r="K850">
        <v>3750000</v>
      </c>
      <c r="L850">
        <v>0</v>
      </c>
      <c r="M850">
        <v>0</v>
      </c>
      <c r="N850">
        <v>412500</v>
      </c>
      <c r="O850">
        <v>0</v>
      </c>
      <c r="P850">
        <v>0</v>
      </c>
      <c r="Q850">
        <v>0</v>
      </c>
      <c r="R850">
        <v>4162500</v>
      </c>
      <c r="S850">
        <v>2100000</v>
      </c>
      <c r="T850">
        <v>56</v>
      </c>
      <c r="U850" t="str">
        <f t="shared" si="13"/>
        <v>Week 2</v>
      </c>
    </row>
    <row r="851" spans="1:21" x14ac:dyDescent="0.25">
      <c r="A851">
        <v>850</v>
      </c>
      <c r="B851" t="s">
        <v>1592</v>
      </c>
      <c r="C851" s="1">
        <v>46034</v>
      </c>
      <c r="D851" t="s">
        <v>21</v>
      </c>
      <c r="E851" t="s">
        <v>22</v>
      </c>
      <c r="F851" t="s">
        <v>881</v>
      </c>
      <c r="G851" t="s">
        <v>24</v>
      </c>
      <c r="H851" s="2">
        <v>1</v>
      </c>
      <c r="I851" t="s">
        <v>1593</v>
      </c>
      <c r="K851">
        <v>9957894</v>
      </c>
      <c r="L851">
        <v>0</v>
      </c>
      <c r="M851">
        <v>0</v>
      </c>
      <c r="N851">
        <v>1095368.3400000001</v>
      </c>
      <c r="O851">
        <v>0</v>
      </c>
      <c r="P851">
        <v>0</v>
      </c>
      <c r="Q851">
        <v>0</v>
      </c>
      <c r="R851">
        <v>11053262.34</v>
      </c>
      <c r="S851">
        <v>6382894</v>
      </c>
      <c r="T851">
        <v>64.098834552767997</v>
      </c>
      <c r="U851" t="str">
        <f t="shared" si="13"/>
        <v>Week 2</v>
      </c>
    </row>
    <row r="852" spans="1:21" x14ac:dyDescent="0.25">
      <c r="A852">
        <v>851</v>
      </c>
      <c r="B852" t="s">
        <v>1594</v>
      </c>
      <c r="C852" s="1">
        <v>46034</v>
      </c>
      <c r="D852" t="s">
        <v>1493</v>
      </c>
      <c r="E852" t="s">
        <v>1510</v>
      </c>
      <c r="F852" t="s">
        <v>30</v>
      </c>
      <c r="G852" t="s">
        <v>24</v>
      </c>
      <c r="H852" s="2">
        <v>1</v>
      </c>
      <c r="I852" t="s">
        <v>1595</v>
      </c>
      <c r="K852">
        <v>1100000</v>
      </c>
      <c r="L852">
        <v>0</v>
      </c>
      <c r="M852">
        <v>0</v>
      </c>
      <c r="N852">
        <v>121000</v>
      </c>
      <c r="O852">
        <v>0</v>
      </c>
      <c r="P852">
        <v>0</v>
      </c>
      <c r="Q852">
        <v>0</v>
      </c>
      <c r="R852">
        <v>1221000</v>
      </c>
      <c r="S852">
        <v>250000</v>
      </c>
      <c r="T852">
        <v>22.727272727273</v>
      </c>
      <c r="U852" t="str">
        <f t="shared" si="13"/>
        <v>Week 2</v>
      </c>
    </row>
    <row r="853" spans="1:21" x14ac:dyDescent="0.25">
      <c r="A853">
        <v>852</v>
      </c>
      <c r="B853" t="s">
        <v>1596</v>
      </c>
      <c r="C853" s="1">
        <v>46034</v>
      </c>
      <c r="D853" t="s">
        <v>204</v>
      </c>
      <c r="E853" t="s">
        <v>205</v>
      </c>
      <c r="F853" t="s">
        <v>23</v>
      </c>
      <c r="G853" t="s">
        <v>24</v>
      </c>
      <c r="H853" s="2">
        <v>1</v>
      </c>
      <c r="I853" t="s">
        <v>1597</v>
      </c>
      <c r="J853" t="s">
        <v>26</v>
      </c>
      <c r="K853">
        <v>3775000</v>
      </c>
      <c r="L853">
        <v>0</v>
      </c>
      <c r="M853">
        <v>0</v>
      </c>
      <c r="N853">
        <v>415250</v>
      </c>
      <c r="O853">
        <v>0</v>
      </c>
      <c r="P853">
        <v>0</v>
      </c>
      <c r="Q853">
        <v>0</v>
      </c>
      <c r="R853">
        <v>4190250</v>
      </c>
      <c r="S853">
        <v>575000</v>
      </c>
      <c r="T853">
        <v>15.23178807947</v>
      </c>
      <c r="U853" t="str">
        <f t="shared" si="13"/>
        <v>Week 2</v>
      </c>
    </row>
    <row r="854" spans="1:21" x14ac:dyDescent="0.25">
      <c r="A854">
        <v>853</v>
      </c>
      <c r="B854" t="s">
        <v>1598</v>
      </c>
      <c r="C854" s="1">
        <v>46034</v>
      </c>
      <c r="D854" t="s">
        <v>54</v>
      </c>
      <c r="E854" t="s">
        <v>1554</v>
      </c>
      <c r="F854" t="s">
        <v>30</v>
      </c>
      <c r="G854" t="s">
        <v>24</v>
      </c>
      <c r="H854" s="2">
        <v>1</v>
      </c>
      <c r="I854" t="s">
        <v>1599</v>
      </c>
      <c r="K854">
        <v>4752000</v>
      </c>
      <c r="L854">
        <v>0</v>
      </c>
      <c r="M854">
        <v>0</v>
      </c>
      <c r="N854">
        <v>522720</v>
      </c>
      <c r="O854">
        <v>0</v>
      </c>
      <c r="P854">
        <v>0</v>
      </c>
      <c r="Q854">
        <v>0</v>
      </c>
      <c r="R854">
        <v>5274720</v>
      </c>
      <c r="S854">
        <v>1553801.8</v>
      </c>
      <c r="T854">
        <v>32.697849326598998</v>
      </c>
      <c r="U854" t="str">
        <f t="shared" si="13"/>
        <v>Week 2</v>
      </c>
    </row>
    <row r="855" spans="1:21" x14ac:dyDescent="0.25">
      <c r="A855">
        <v>854</v>
      </c>
      <c r="B855" t="s">
        <v>1600</v>
      </c>
      <c r="C855" s="1">
        <v>46034</v>
      </c>
      <c r="D855" t="s">
        <v>312</v>
      </c>
      <c r="E855" t="s">
        <v>100</v>
      </c>
      <c r="F855" t="s">
        <v>23</v>
      </c>
      <c r="G855" t="s">
        <v>24</v>
      </c>
      <c r="H855" s="2">
        <v>1</v>
      </c>
      <c r="I855" t="s">
        <v>1601</v>
      </c>
      <c r="K855">
        <v>54930000</v>
      </c>
      <c r="L855">
        <v>0</v>
      </c>
      <c r="M855">
        <v>0</v>
      </c>
      <c r="N855">
        <v>6042300</v>
      </c>
      <c r="O855">
        <v>0</v>
      </c>
      <c r="P855">
        <v>0</v>
      </c>
      <c r="Q855">
        <v>0</v>
      </c>
      <c r="R855">
        <v>60972300</v>
      </c>
      <c r="S855">
        <v>18514372</v>
      </c>
      <c r="T855">
        <v>33.705392317494997</v>
      </c>
      <c r="U855" t="str">
        <f t="shared" si="13"/>
        <v>Week 2</v>
      </c>
    </row>
    <row r="856" spans="1:21" x14ac:dyDescent="0.25">
      <c r="A856">
        <v>855</v>
      </c>
      <c r="B856" t="s">
        <v>1602</v>
      </c>
      <c r="C856" s="1">
        <v>46034</v>
      </c>
      <c r="D856" t="s">
        <v>186</v>
      </c>
      <c r="E856" t="s">
        <v>117</v>
      </c>
      <c r="F856" t="s">
        <v>30</v>
      </c>
      <c r="G856" t="s">
        <v>24</v>
      </c>
      <c r="H856" s="2">
        <v>1</v>
      </c>
      <c r="I856" t="s">
        <v>1603</v>
      </c>
      <c r="K856">
        <v>714350</v>
      </c>
      <c r="L856">
        <v>0</v>
      </c>
      <c r="M856">
        <v>0</v>
      </c>
      <c r="N856">
        <v>78578.5</v>
      </c>
      <c r="O856">
        <v>0</v>
      </c>
      <c r="P856">
        <v>0</v>
      </c>
      <c r="Q856">
        <v>0</v>
      </c>
      <c r="R856">
        <v>792928.5</v>
      </c>
      <c r="S856">
        <v>21430.5</v>
      </c>
      <c r="T856">
        <v>3</v>
      </c>
      <c r="U856" t="str">
        <f t="shared" si="13"/>
        <v>Week 2</v>
      </c>
    </row>
    <row r="857" spans="1:21" x14ac:dyDescent="0.25">
      <c r="A857">
        <v>856</v>
      </c>
      <c r="B857" t="s">
        <v>1604</v>
      </c>
      <c r="C857" s="1">
        <v>46034</v>
      </c>
      <c r="D857" t="s">
        <v>54</v>
      </c>
      <c r="E857" t="s">
        <v>1554</v>
      </c>
      <c r="F857" t="s">
        <v>30</v>
      </c>
      <c r="G857" t="s">
        <v>24</v>
      </c>
      <c r="H857" s="2">
        <v>1</v>
      </c>
      <c r="I857" t="s">
        <v>1605</v>
      </c>
      <c r="J857" t="s">
        <v>57</v>
      </c>
      <c r="K857">
        <v>193016870</v>
      </c>
      <c r="L857">
        <v>0</v>
      </c>
      <c r="M857">
        <v>0</v>
      </c>
      <c r="N857">
        <v>21231855.699999999</v>
      </c>
      <c r="O857">
        <v>0</v>
      </c>
      <c r="P857">
        <v>0</v>
      </c>
      <c r="Q857">
        <v>0</v>
      </c>
      <c r="R857">
        <v>214248725.69999999</v>
      </c>
      <c r="S857">
        <v>5365157.1621625004</v>
      </c>
      <c r="T857">
        <v>2.7796312115944</v>
      </c>
      <c r="U857" t="str">
        <f t="shared" si="13"/>
        <v>Week 2</v>
      </c>
    </row>
    <row r="858" spans="1:21" x14ac:dyDescent="0.25">
      <c r="A858">
        <v>857</v>
      </c>
      <c r="B858" t="s">
        <v>1606</v>
      </c>
      <c r="C858" s="1">
        <v>46034</v>
      </c>
      <c r="D858" t="s">
        <v>33</v>
      </c>
      <c r="E858" t="s">
        <v>34</v>
      </c>
      <c r="F858" t="s">
        <v>30</v>
      </c>
      <c r="G858" t="s">
        <v>24</v>
      </c>
      <c r="H858" s="2">
        <v>1</v>
      </c>
      <c r="I858" t="s">
        <v>1607</v>
      </c>
      <c r="K858">
        <v>69216000</v>
      </c>
      <c r="L858">
        <v>0</v>
      </c>
      <c r="M858">
        <v>0</v>
      </c>
      <c r="N858">
        <v>7613760</v>
      </c>
      <c r="O858">
        <v>0</v>
      </c>
      <c r="P858">
        <v>0</v>
      </c>
      <c r="Q858">
        <v>0</v>
      </c>
      <c r="R858">
        <v>76829760</v>
      </c>
      <c r="S858">
        <v>12216000</v>
      </c>
      <c r="T858">
        <v>17.649098474340999</v>
      </c>
      <c r="U858" t="str">
        <f t="shared" si="13"/>
        <v>Week 2</v>
      </c>
    </row>
    <row r="859" spans="1:21" x14ac:dyDescent="0.25">
      <c r="A859">
        <v>858</v>
      </c>
      <c r="B859" t="s">
        <v>1608</v>
      </c>
      <c r="C859" s="1">
        <v>46034</v>
      </c>
      <c r="D859" t="s">
        <v>33</v>
      </c>
      <c r="E859" t="s">
        <v>34</v>
      </c>
      <c r="F859" t="s">
        <v>30</v>
      </c>
      <c r="G859" t="s">
        <v>24</v>
      </c>
      <c r="H859" s="2">
        <v>1</v>
      </c>
      <c r="I859" t="s">
        <v>1609</v>
      </c>
      <c r="K859">
        <v>63942400</v>
      </c>
      <c r="L859">
        <v>0</v>
      </c>
      <c r="M859">
        <v>0</v>
      </c>
      <c r="N859">
        <v>7033664</v>
      </c>
      <c r="O859">
        <v>0</v>
      </c>
      <c r="P859">
        <v>0</v>
      </c>
      <c r="Q859">
        <v>0</v>
      </c>
      <c r="R859">
        <v>70976064</v>
      </c>
      <c r="S859">
        <v>11452400</v>
      </c>
      <c r="T859">
        <v>17.910494445000001</v>
      </c>
      <c r="U859" t="str">
        <f t="shared" si="13"/>
        <v>Week 2</v>
      </c>
    </row>
    <row r="860" spans="1:21" x14ac:dyDescent="0.25">
      <c r="A860">
        <v>859</v>
      </c>
      <c r="B860" t="s">
        <v>1610</v>
      </c>
      <c r="C860" s="1">
        <v>46034</v>
      </c>
      <c r="D860" t="s">
        <v>54</v>
      </c>
      <c r="E860" t="s">
        <v>1554</v>
      </c>
      <c r="F860" t="s">
        <v>23</v>
      </c>
      <c r="G860" t="s">
        <v>24</v>
      </c>
      <c r="H860" s="2">
        <v>1</v>
      </c>
      <c r="I860" t="s">
        <v>1611</v>
      </c>
      <c r="K860">
        <v>9433790</v>
      </c>
      <c r="L860">
        <v>0</v>
      </c>
      <c r="M860">
        <v>0</v>
      </c>
      <c r="N860">
        <v>1037716.9</v>
      </c>
      <c r="O860">
        <v>0</v>
      </c>
      <c r="P860">
        <v>0</v>
      </c>
      <c r="Q860">
        <v>0</v>
      </c>
      <c r="R860">
        <v>10471506.9</v>
      </c>
      <c r="S860">
        <v>2721573.7837838</v>
      </c>
      <c r="T860">
        <v>28.849208894661999</v>
      </c>
      <c r="U860" t="str">
        <f t="shared" si="13"/>
        <v>Week 2</v>
      </c>
    </row>
    <row r="861" spans="1:21" x14ac:dyDescent="0.25">
      <c r="A861">
        <v>860</v>
      </c>
      <c r="B861" t="s">
        <v>1612</v>
      </c>
      <c r="C861" s="1">
        <v>46034</v>
      </c>
      <c r="D861" t="s">
        <v>54</v>
      </c>
      <c r="E861" t="s">
        <v>1554</v>
      </c>
      <c r="F861" t="s">
        <v>23</v>
      </c>
      <c r="G861" t="s">
        <v>24</v>
      </c>
      <c r="H861" s="2">
        <v>1</v>
      </c>
      <c r="I861" t="s">
        <v>1613</v>
      </c>
      <c r="K861">
        <v>144002000</v>
      </c>
      <c r="L861">
        <v>0</v>
      </c>
      <c r="M861">
        <v>0</v>
      </c>
      <c r="N861">
        <v>15840220</v>
      </c>
      <c r="O861">
        <v>0</v>
      </c>
      <c r="P861">
        <v>0</v>
      </c>
      <c r="Q861">
        <v>0</v>
      </c>
      <c r="R861">
        <v>159842220</v>
      </c>
      <c r="S861">
        <v>36757930</v>
      </c>
      <c r="T861">
        <v>25.525985750198</v>
      </c>
      <c r="U861" t="str">
        <f t="shared" si="13"/>
        <v>Week 2</v>
      </c>
    </row>
    <row r="862" spans="1:21" x14ac:dyDescent="0.25">
      <c r="A862">
        <v>861</v>
      </c>
      <c r="B862" t="s">
        <v>1614</v>
      </c>
      <c r="C862" s="1">
        <v>46032</v>
      </c>
      <c r="D862" t="s">
        <v>54</v>
      </c>
      <c r="E862" t="s">
        <v>22</v>
      </c>
      <c r="F862" t="s">
        <v>23</v>
      </c>
      <c r="G862" t="s">
        <v>24</v>
      </c>
      <c r="H862" s="2">
        <v>1</v>
      </c>
      <c r="I862" t="s">
        <v>271</v>
      </c>
      <c r="K862">
        <v>6907000</v>
      </c>
      <c r="L862">
        <v>0</v>
      </c>
      <c r="M862">
        <v>0</v>
      </c>
      <c r="N862">
        <v>759770</v>
      </c>
      <c r="O862">
        <v>0</v>
      </c>
      <c r="P862">
        <v>0</v>
      </c>
      <c r="Q862">
        <v>0</v>
      </c>
      <c r="R862">
        <v>7666770</v>
      </c>
      <c r="S862">
        <v>2931884.82</v>
      </c>
      <c r="T862">
        <v>42.448021137975999</v>
      </c>
      <c r="U862" t="str">
        <f t="shared" si="13"/>
        <v>Week 2</v>
      </c>
    </row>
    <row r="863" spans="1:21" x14ac:dyDescent="0.25">
      <c r="A863">
        <v>862</v>
      </c>
      <c r="B863" t="s">
        <v>1615</v>
      </c>
      <c r="C863" s="1">
        <v>46032</v>
      </c>
      <c r="D863" t="s">
        <v>33</v>
      </c>
      <c r="E863" t="s">
        <v>1554</v>
      </c>
      <c r="F863" t="s">
        <v>30</v>
      </c>
      <c r="G863" t="s">
        <v>24</v>
      </c>
      <c r="H863" s="2">
        <v>1</v>
      </c>
      <c r="I863" t="s">
        <v>1616</v>
      </c>
      <c r="K863">
        <v>350452</v>
      </c>
      <c r="L863">
        <v>0</v>
      </c>
      <c r="M863">
        <v>0</v>
      </c>
      <c r="N863">
        <v>38549.72</v>
      </c>
      <c r="O863">
        <v>0</v>
      </c>
      <c r="P863">
        <v>0</v>
      </c>
      <c r="Q863">
        <v>0</v>
      </c>
      <c r="R863">
        <v>389001.72</v>
      </c>
      <c r="S863">
        <v>-216548</v>
      </c>
      <c r="T863">
        <v>-61.791058404574997</v>
      </c>
      <c r="U863" t="str">
        <f t="shared" si="13"/>
        <v>Week 2</v>
      </c>
    </row>
    <row r="864" spans="1:21" x14ac:dyDescent="0.25">
      <c r="A864">
        <v>863</v>
      </c>
      <c r="B864" t="s">
        <v>1617</v>
      </c>
      <c r="C864" s="1">
        <v>46032</v>
      </c>
      <c r="D864" t="s">
        <v>21</v>
      </c>
      <c r="E864" t="s">
        <v>22</v>
      </c>
      <c r="F864" t="s">
        <v>23</v>
      </c>
      <c r="G864" t="s">
        <v>24</v>
      </c>
      <c r="H864" s="2">
        <v>1</v>
      </c>
      <c r="I864" t="s">
        <v>1618</v>
      </c>
      <c r="J864" t="s">
        <v>26</v>
      </c>
      <c r="K864">
        <v>2157812.5</v>
      </c>
      <c r="L864">
        <v>0</v>
      </c>
      <c r="M864">
        <v>0</v>
      </c>
      <c r="N864">
        <v>237359.375</v>
      </c>
      <c r="O864">
        <v>0</v>
      </c>
      <c r="P864">
        <v>0</v>
      </c>
      <c r="Q864">
        <v>0</v>
      </c>
      <c r="R864">
        <v>2395171.875</v>
      </c>
      <c r="S864">
        <v>360312.5</v>
      </c>
      <c r="T864">
        <v>16.698044895003999</v>
      </c>
      <c r="U864" t="str">
        <f t="shared" si="13"/>
        <v>Week 2</v>
      </c>
    </row>
    <row r="865" spans="1:21" x14ac:dyDescent="0.25">
      <c r="A865">
        <v>864</v>
      </c>
      <c r="B865" t="s">
        <v>1619</v>
      </c>
      <c r="C865" s="1">
        <v>46032</v>
      </c>
      <c r="D865" t="s">
        <v>328</v>
      </c>
      <c r="E865" t="s">
        <v>205</v>
      </c>
      <c r="F865" t="s">
        <v>30</v>
      </c>
      <c r="G865" t="s">
        <v>24</v>
      </c>
      <c r="H865" s="2">
        <v>1</v>
      </c>
      <c r="I865" t="s">
        <v>1620</v>
      </c>
      <c r="J865" t="s">
        <v>26</v>
      </c>
      <c r="K865">
        <v>10036125</v>
      </c>
      <c r="L865">
        <v>0</v>
      </c>
      <c r="M865">
        <v>0</v>
      </c>
      <c r="N865">
        <v>1103973.75</v>
      </c>
      <c r="O865">
        <v>0</v>
      </c>
      <c r="P865">
        <v>0</v>
      </c>
      <c r="Q865">
        <v>0</v>
      </c>
      <c r="R865">
        <v>11140098.75</v>
      </c>
      <c r="S865">
        <v>3270525</v>
      </c>
      <c r="T865">
        <v>32.587527556700998</v>
      </c>
      <c r="U865" t="str">
        <f t="shared" si="13"/>
        <v>Week 2</v>
      </c>
    </row>
    <row r="866" spans="1:21" x14ac:dyDescent="0.25">
      <c r="A866">
        <v>865</v>
      </c>
      <c r="B866" t="s">
        <v>1621</v>
      </c>
      <c r="C866" s="1">
        <v>46032</v>
      </c>
      <c r="D866" t="s">
        <v>171</v>
      </c>
      <c r="E866" t="s">
        <v>100</v>
      </c>
      <c r="F866" t="s">
        <v>30</v>
      </c>
      <c r="G866" t="s">
        <v>24</v>
      </c>
      <c r="H866" s="2">
        <v>1</v>
      </c>
      <c r="I866" t="s">
        <v>1622</v>
      </c>
      <c r="K866">
        <v>23373000</v>
      </c>
      <c r="L866">
        <v>0</v>
      </c>
      <c r="M866">
        <v>0</v>
      </c>
      <c r="N866">
        <v>2571030</v>
      </c>
      <c r="O866">
        <v>0</v>
      </c>
      <c r="P866">
        <v>0</v>
      </c>
      <c r="Q866">
        <v>0</v>
      </c>
      <c r="R866">
        <v>25944030</v>
      </c>
      <c r="S866">
        <v>5580207.2072069999</v>
      </c>
      <c r="T866">
        <v>0</v>
      </c>
      <c r="U866" t="str">
        <f t="shared" si="13"/>
        <v>Week 2</v>
      </c>
    </row>
    <row r="867" spans="1:21" x14ac:dyDescent="0.25">
      <c r="A867">
        <v>866</v>
      </c>
      <c r="B867" t="s">
        <v>1623</v>
      </c>
      <c r="C867" s="1">
        <v>46032</v>
      </c>
      <c r="D867" t="s">
        <v>21</v>
      </c>
      <c r="E867" t="s">
        <v>22</v>
      </c>
      <c r="F867" t="s">
        <v>30</v>
      </c>
      <c r="G867" t="s">
        <v>24</v>
      </c>
      <c r="H867" s="2">
        <v>1</v>
      </c>
      <c r="I867" t="s">
        <v>1624</v>
      </c>
      <c r="J867" t="s">
        <v>26</v>
      </c>
      <c r="K867">
        <v>9408000</v>
      </c>
      <c r="L867">
        <v>0</v>
      </c>
      <c r="M867">
        <v>0</v>
      </c>
      <c r="N867">
        <v>1034880</v>
      </c>
      <c r="O867">
        <v>0</v>
      </c>
      <c r="P867">
        <v>0</v>
      </c>
      <c r="Q867">
        <v>0</v>
      </c>
      <c r="R867">
        <v>10442880</v>
      </c>
      <c r="S867">
        <v>1208000</v>
      </c>
      <c r="T867">
        <v>12.840136054422</v>
      </c>
      <c r="U867" t="str">
        <f t="shared" si="13"/>
        <v>Week 2</v>
      </c>
    </row>
    <row r="868" spans="1:21" x14ac:dyDescent="0.25">
      <c r="A868">
        <v>867</v>
      </c>
      <c r="B868" t="s">
        <v>1625</v>
      </c>
      <c r="C868" s="1">
        <v>46032</v>
      </c>
      <c r="D868" t="s">
        <v>204</v>
      </c>
      <c r="E868" t="s">
        <v>205</v>
      </c>
      <c r="F868" t="s">
        <v>23</v>
      </c>
      <c r="G868" t="s">
        <v>24</v>
      </c>
      <c r="H868" s="2">
        <v>1</v>
      </c>
      <c r="I868" t="s">
        <v>1626</v>
      </c>
      <c r="J868" t="s">
        <v>26</v>
      </c>
      <c r="K868">
        <v>730000</v>
      </c>
      <c r="L868">
        <v>0</v>
      </c>
      <c r="M868">
        <v>0</v>
      </c>
      <c r="N868">
        <v>80300</v>
      </c>
      <c r="O868">
        <v>0</v>
      </c>
      <c r="P868">
        <v>0</v>
      </c>
      <c r="Q868">
        <v>0</v>
      </c>
      <c r="R868">
        <v>810300</v>
      </c>
      <c r="S868">
        <v>289864.86486486002</v>
      </c>
      <c r="T868">
        <v>39.707515734913002</v>
      </c>
      <c r="U868" t="str">
        <f t="shared" si="13"/>
        <v>Week 2</v>
      </c>
    </row>
    <row r="869" spans="1:21" x14ac:dyDescent="0.25">
      <c r="A869">
        <v>868</v>
      </c>
      <c r="B869" t="s">
        <v>1627</v>
      </c>
      <c r="C869" s="1">
        <v>46032</v>
      </c>
      <c r="D869" t="s">
        <v>113</v>
      </c>
      <c r="E869" t="s">
        <v>1554</v>
      </c>
      <c r="F869" t="s">
        <v>23</v>
      </c>
      <c r="G869" t="s">
        <v>24</v>
      </c>
      <c r="H869" s="2">
        <v>1</v>
      </c>
      <c r="I869" t="s">
        <v>1628</v>
      </c>
      <c r="K869">
        <v>13519193.75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13519193.75</v>
      </c>
      <c r="S869">
        <v>5696114.8761267997</v>
      </c>
      <c r="T869">
        <v>42.133539776562003</v>
      </c>
      <c r="U869" t="str">
        <f t="shared" si="13"/>
        <v>Week 2</v>
      </c>
    </row>
    <row r="870" spans="1:21" x14ac:dyDescent="0.25">
      <c r="C870" s="1"/>
      <c r="H870" s="2"/>
    </row>
    <row r="871" spans="1:21" x14ac:dyDescent="0.25">
      <c r="A871">
        <v>870</v>
      </c>
      <c r="B871" t="s">
        <v>1629</v>
      </c>
      <c r="C871" s="1">
        <v>46031</v>
      </c>
      <c r="D871" t="s">
        <v>33</v>
      </c>
      <c r="E871" t="s">
        <v>1554</v>
      </c>
      <c r="F871" t="s">
        <v>30</v>
      </c>
      <c r="G871" t="s">
        <v>24</v>
      </c>
      <c r="H871" s="2">
        <v>1</v>
      </c>
      <c r="I871" t="s">
        <v>1630</v>
      </c>
      <c r="J871" t="s">
        <v>57</v>
      </c>
      <c r="K871">
        <v>130157398</v>
      </c>
      <c r="L871">
        <v>0</v>
      </c>
      <c r="M871">
        <v>0</v>
      </c>
      <c r="N871">
        <v>14317313.779999999</v>
      </c>
      <c r="O871">
        <v>0</v>
      </c>
      <c r="P871">
        <v>0</v>
      </c>
      <c r="Q871">
        <v>0</v>
      </c>
      <c r="R871">
        <v>144474711.78</v>
      </c>
      <c r="S871">
        <v>0</v>
      </c>
      <c r="T871">
        <v>0</v>
      </c>
      <c r="U871" t="str">
        <f t="shared" si="13"/>
        <v>Week 2</v>
      </c>
    </row>
    <row r="872" spans="1:21" x14ac:dyDescent="0.25">
      <c r="A872">
        <v>871</v>
      </c>
      <c r="B872" t="s">
        <v>1631</v>
      </c>
      <c r="C872" s="1">
        <v>46031</v>
      </c>
      <c r="D872" t="s">
        <v>255</v>
      </c>
      <c r="E872" t="s">
        <v>205</v>
      </c>
      <c r="F872" t="s">
        <v>39</v>
      </c>
      <c r="G872" t="s">
        <v>24</v>
      </c>
      <c r="H872" s="2">
        <v>1</v>
      </c>
      <c r="I872" t="s">
        <v>1166</v>
      </c>
      <c r="K872">
        <v>151080000</v>
      </c>
      <c r="L872">
        <v>0</v>
      </c>
      <c r="M872">
        <v>0</v>
      </c>
      <c r="N872">
        <v>16618800</v>
      </c>
      <c r="O872">
        <v>0</v>
      </c>
      <c r="P872">
        <v>0</v>
      </c>
      <c r="Q872">
        <v>0</v>
      </c>
      <c r="R872">
        <v>167698800</v>
      </c>
      <c r="S872">
        <v>150323632</v>
      </c>
      <c r="T872">
        <v>99.499359279852001</v>
      </c>
      <c r="U872" t="str">
        <f t="shared" si="13"/>
        <v>Week 2</v>
      </c>
    </row>
    <row r="873" spans="1:21" x14ac:dyDescent="0.25">
      <c r="A873">
        <v>872</v>
      </c>
      <c r="B873" t="s">
        <v>1632</v>
      </c>
      <c r="C873" s="1">
        <v>46031</v>
      </c>
      <c r="D873" t="s">
        <v>54</v>
      </c>
      <c r="E873" t="s">
        <v>1554</v>
      </c>
      <c r="F873" t="s">
        <v>30</v>
      </c>
      <c r="G873" t="s">
        <v>24</v>
      </c>
      <c r="H873" s="2">
        <v>1</v>
      </c>
      <c r="I873" t="s">
        <v>1599</v>
      </c>
      <c r="K873">
        <v>3502000</v>
      </c>
      <c r="L873">
        <v>0</v>
      </c>
      <c r="M873">
        <v>0</v>
      </c>
      <c r="N873">
        <v>385220</v>
      </c>
      <c r="O873">
        <v>0</v>
      </c>
      <c r="P873">
        <v>0</v>
      </c>
      <c r="Q873">
        <v>0</v>
      </c>
      <c r="R873">
        <v>3887220</v>
      </c>
      <c r="S873">
        <v>102000</v>
      </c>
      <c r="T873">
        <v>2.9126213592233001</v>
      </c>
      <c r="U873" t="str">
        <f t="shared" si="13"/>
        <v>Week 2</v>
      </c>
    </row>
    <row r="874" spans="1:21" x14ac:dyDescent="0.25">
      <c r="A874">
        <v>873</v>
      </c>
      <c r="B874" t="s">
        <v>1633</v>
      </c>
      <c r="C874" s="1">
        <v>46031</v>
      </c>
      <c r="D874" t="s">
        <v>54</v>
      </c>
      <c r="E874" t="s">
        <v>1554</v>
      </c>
      <c r="F874" t="s">
        <v>30</v>
      </c>
      <c r="G874" t="s">
        <v>24</v>
      </c>
      <c r="H874" s="2">
        <v>1</v>
      </c>
      <c r="I874" t="s">
        <v>1634</v>
      </c>
      <c r="K874">
        <v>26754000</v>
      </c>
      <c r="L874">
        <v>0</v>
      </c>
      <c r="M874">
        <v>0</v>
      </c>
      <c r="N874">
        <v>2942940</v>
      </c>
      <c r="O874">
        <v>0</v>
      </c>
      <c r="P874">
        <v>0</v>
      </c>
      <c r="Q874">
        <v>0</v>
      </c>
      <c r="R874">
        <v>29696940</v>
      </c>
      <c r="S874">
        <v>14437500</v>
      </c>
      <c r="T874">
        <v>53.963893249607999</v>
      </c>
      <c r="U874" t="str">
        <f t="shared" si="13"/>
        <v>Week 2</v>
      </c>
    </row>
    <row r="875" spans="1:21" x14ac:dyDescent="0.25">
      <c r="A875">
        <v>874</v>
      </c>
      <c r="B875" t="s">
        <v>1635</v>
      </c>
      <c r="C875" s="1">
        <v>46031</v>
      </c>
      <c r="D875" t="s">
        <v>33</v>
      </c>
      <c r="E875" t="s">
        <v>1554</v>
      </c>
      <c r="F875" t="s">
        <v>30</v>
      </c>
      <c r="G875" t="s">
        <v>24</v>
      </c>
      <c r="H875" s="2">
        <v>1</v>
      </c>
      <c r="I875" t="s">
        <v>1636</v>
      </c>
      <c r="K875">
        <v>4305400</v>
      </c>
      <c r="L875">
        <v>0</v>
      </c>
      <c r="M875">
        <v>0</v>
      </c>
      <c r="N875">
        <v>473594</v>
      </c>
      <c r="O875">
        <v>0</v>
      </c>
      <c r="P875">
        <v>0</v>
      </c>
      <c r="Q875">
        <v>0</v>
      </c>
      <c r="R875">
        <v>4778994</v>
      </c>
      <c r="S875">
        <v>384445.05</v>
      </c>
      <c r="T875">
        <v>8.9293689320388001</v>
      </c>
      <c r="U875" t="str">
        <f t="shared" si="13"/>
        <v>Week 2</v>
      </c>
    </row>
    <row r="876" spans="1:21" x14ac:dyDescent="0.25">
      <c r="A876">
        <v>875</v>
      </c>
      <c r="B876" t="s">
        <v>1637</v>
      </c>
      <c r="C876" s="1">
        <v>46031</v>
      </c>
      <c r="D876" t="s">
        <v>54</v>
      </c>
      <c r="E876" t="s">
        <v>1554</v>
      </c>
      <c r="F876" t="s">
        <v>30</v>
      </c>
      <c r="G876" t="s">
        <v>24</v>
      </c>
      <c r="H876" s="2">
        <v>1</v>
      </c>
      <c r="I876" t="s">
        <v>1599</v>
      </c>
      <c r="K876">
        <v>4621240</v>
      </c>
      <c r="L876">
        <v>0</v>
      </c>
      <c r="M876">
        <v>0</v>
      </c>
      <c r="N876">
        <v>508336.4</v>
      </c>
      <c r="O876">
        <v>0</v>
      </c>
      <c r="P876">
        <v>0</v>
      </c>
      <c r="Q876">
        <v>0</v>
      </c>
      <c r="R876">
        <v>5129576.4000000004</v>
      </c>
      <c r="S876">
        <v>2421240</v>
      </c>
      <c r="T876">
        <v>52.393729821432999</v>
      </c>
      <c r="U876" t="str">
        <f t="shared" si="13"/>
        <v>Week 2</v>
      </c>
    </row>
    <row r="877" spans="1:21" x14ac:dyDescent="0.25">
      <c r="A877">
        <v>876</v>
      </c>
      <c r="B877" t="s">
        <v>1638</v>
      </c>
      <c r="C877" s="1">
        <v>46031</v>
      </c>
      <c r="D877" t="s">
        <v>204</v>
      </c>
      <c r="E877" t="s">
        <v>205</v>
      </c>
      <c r="F877" t="s">
        <v>30</v>
      </c>
      <c r="G877" t="s">
        <v>24</v>
      </c>
      <c r="H877" s="2">
        <v>1</v>
      </c>
      <c r="I877" t="s">
        <v>1639</v>
      </c>
      <c r="K877">
        <v>79356725</v>
      </c>
      <c r="L877">
        <v>0</v>
      </c>
      <c r="M877">
        <v>0</v>
      </c>
      <c r="N877">
        <v>8729239.75</v>
      </c>
      <c r="O877">
        <v>0</v>
      </c>
      <c r="P877">
        <v>0</v>
      </c>
      <c r="Q877">
        <v>0</v>
      </c>
      <c r="R877">
        <v>88085964.75</v>
      </c>
      <c r="S877">
        <v>18463932.210000001</v>
      </c>
      <c r="T877">
        <v>23.267003785754</v>
      </c>
      <c r="U877" t="str">
        <f t="shared" si="13"/>
        <v>Week 2</v>
      </c>
    </row>
    <row r="878" spans="1:21" x14ac:dyDescent="0.25">
      <c r="A878">
        <v>877</v>
      </c>
      <c r="B878" t="s">
        <v>1640</v>
      </c>
      <c r="C878" s="1">
        <v>46031</v>
      </c>
      <c r="D878" t="s">
        <v>21</v>
      </c>
      <c r="E878" t="s">
        <v>22</v>
      </c>
      <c r="F878" t="s">
        <v>30</v>
      </c>
      <c r="G878" t="s">
        <v>24</v>
      </c>
      <c r="H878" s="2">
        <v>1</v>
      </c>
      <c r="I878" t="s">
        <v>1641</v>
      </c>
      <c r="J878" t="s">
        <v>26</v>
      </c>
      <c r="K878">
        <v>432670</v>
      </c>
      <c r="L878">
        <v>0</v>
      </c>
      <c r="M878">
        <v>0</v>
      </c>
      <c r="N878">
        <v>47593.7</v>
      </c>
      <c r="O878">
        <v>0</v>
      </c>
      <c r="P878">
        <v>0</v>
      </c>
      <c r="Q878">
        <v>0</v>
      </c>
      <c r="R878">
        <v>480263.7</v>
      </c>
      <c r="S878">
        <v>345570.86486486002</v>
      </c>
      <c r="T878">
        <v>79.869384257023995</v>
      </c>
      <c r="U878" t="str">
        <f t="shared" si="13"/>
        <v>Week 2</v>
      </c>
    </row>
    <row r="879" spans="1:21" x14ac:dyDescent="0.25">
      <c r="A879">
        <v>878</v>
      </c>
      <c r="B879" t="s">
        <v>1642</v>
      </c>
      <c r="C879" s="1">
        <v>46031</v>
      </c>
      <c r="D879" t="s">
        <v>21</v>
      </c>
      <c r="E879" t="s">
        <v>22</v>
      </c>
      <c r="F879" t="s">
        <v>30</v>
      </c>
      <c r="G879" t="s">
        <v>24</v>
      </c>
      <c r="H879" s="2">
        <v>1</v>
      </c>
      <c r="I879" t="s">
        <v>1192</v>
      </c>
      <c r="J879" t="s">
        <v>26</v>
      </c>
      <c r="K879">
        <v>86879969.900000006</v>
      </c>
      <c r="L879">
        <v>0</v>
      </c>
      <c r="M879">
        <v>0</v>
      </c>
      <c r="N879">
        <v>9556796.6889999993</v>
      </c>
      <c r="O879">
        <v>0</v>
      </c>
      <c r="P879">
        <v>0</v>
      </c>
      <c r="Q879">
        <v>0</v>
      </c>
      <c r="R879">
        <v>96436766.589000002</v>
      </c>
      <c r="S879">
        <v>36860345.875165001</v>
      </c>
      <c r="T879">
        <v>42.426747980682002</v>
      </c>
      <c r="U879" t="str">
        <f t="shared" si="13"/>
        <v>Week 2</v>
      </c>
    </row>
    <row r="880" spans="1:21" x14ac:dyDescent="0.25">
      <c r="A880">
        <v>879</v>
      </c>
      <c r="B880" t="s">
        <v>1643</v>
      </c>
      <c r="C880" s="1">
        <v>46031</v>
      </c>
      <c r="D880" t="s">
        <v>204</v>
      </c>
      <c r="E880" t="s">
        <v>205</v>
      </c>
      <c r="F880" t="s">
        <v>23</v>
      </c>
      <c r="G880" t="s">
        <v>24</v>
      </c>
      <c r="H880" s="2">
        <v>1</v>
      </c>
      <c r="I880" t="s">
        <v>1644</v>
      </c>
      <c r="K880">
        <v>1795000</v>
      </c>
      <c r="L880">
        <v>0</v>
      </c>
      <c r="M880">
        <v>0</v>
      </c>
      <c r="N880">
        <v>197450</v>
      </c>
      <c r="O880">
        <v>0</v>
      </c>
      <c r="P880">
        <v>0</v>
      </c>
      <c r="Q880">
        <v>0</v>
      </c>
      <c r="R880">
        <v>1992450</v>
      </c>
      <c r="S880">
        <v>288662.16216215998</v>
      </c>
      <c r="T880">
        <v>16.081457502069998</v>
      </c>
      <c r="U880" t="str">
        <f t="shared" si="13"/>
        <v>Week 2</v>
      </c>
    </row>
    <row r="881" spans="1:21" x14ac:dyDescent="0.25">
      <c r="A881">
        <v>880</v>
      </c>
      <c r="B881" t="s">
        <v>1645</v>
      </c>
      <c r="C881" s="1">
        <v>46031</v>
      </c>
      <c r="D881" t="s">
        <v>33</v>
      </c>
      <c r="E881" t="s">
        <v>34</v>
      </c>
      <c r="F881" t="s">
        <v>23</v>
      </c>
      <c r="G881" t="s">
        <v>24</v>
      </c>
      <c r="H881" s="2">
        <v>1</v>
      </c>
      <c r="I881" t="s">
        <v>672</v>
      </c>
      <c r="K881">
        <v>164115433.16079</v>
      </c>
      <c r="L881">
        <v>0</v>
      </c>
      <c r="M881">
        <v>0</v>
      </c>
      <c r="N881">
        <v>18052697.647686999</v>
      </c>
      <c r="O881">
        <v>0</v>
      </c>
      <c r="P881">
        <v>0</v>
      </c>
      <c r="Q881">
        <v>0</v>
      </c>
      <c r="R881">
        <v>182168130.80847999</v>
      </c>
      <c r="S881">
        <v>62128274.245834</v>
      </c>
      <c r="T881">
        <v>37.856448384696002</v>
      </c>
      <c r="U881" t="str">
        <f t="shared" si="13"/>
        <v>Week 2</v>
      </c>
    </row>
    <row r="882" spans="1:21" x14ac:dyDescent="0.25">
      <c r="C882" s="1"/>
      <c r="H882" s="2"/>
    </row>
    <row r="883" spans="1:21" x14ac:dyDescent="0.25">
      <c r="A883">
        <v>882</v>
      </c>
      <c r="B883" t="s">
        <v>1646</v>
      </c>
      <c r="C883" s="1">
        <v>46030</v>
      </c>
      <c r="D883" t="s">
        <v>21</v>
      </c>
      <c r="E883" t="s">
        <v>22</v>
      </c>
      <c r="F883" t="s">
        <v>30</v>
      </c>
      <c r="G883" t="s">
        <v>24</v>
      </c>
      <c r="H883" s="2">
        <v>1</v>
      </c>
      <c r="I883" t="s">
        <v>1647</v>
      </c>
      <c r="J883" t="s">
        <v>26</v>
      </c>
      <c r="K883">
        <v>1896045.2</v>
      </c>
      <c r="L883">
        <v>0</v>
      </c>
      <c r="M883">
        <v>0</v>
      </c>
      <c r="N883">
        <v>208564.97200000001</v>
      </c>
      <c r="O883">
        <v>0</v>
      </c>
      <c r="P883">
        <v>0</v>
      </c>
      <c r="Q883">
        <v>0</v>
      </c>
      <c r="R883">
        <v>2104610.1719999998</v>
      </c>
      <c r="S883">
        <v>459138.72846846998</v>
      </c>
      <c r="T883">
        <v>24.215600370099999</v>
      </c>
      <c r="U883" t="str">
        <f t="shared" si="13"/>
        <v>Week 2</v>
      </c>
    </row>
    <row r="884" spans="1:21" x14ac:dyDescent="0.25">
      <c r="C884" s="1"/>
      <c r="H884" s="2"/>
    </row>
    <row r="885" spans="1:21" x14ac:dyDescent="0.25">
      <c r="A885">
        <v>884</v>
      </c>
      <c r="B885" t="s">
        <v>1648</v>
      </c>
      <c r="C885" s="1">
        <v>46030</v>
      </c>
      <c r="D885" t="s">
        <v>33</v>
      </c>
      <c r="E885" t="s">
        <v>1554</v>
      </c>
      <c r="F885" t="s">
        <v>30</v>
      </c>
      <c r="G885" t="s">
        <v>24</v>
      </c>
      <c r="H885" s="2">
        <v>1</v>
      </c>
      <c r="I885" t="s">
        <v>1649</v>
      </c>
      <c r="K885">
        <v>6684700</v>
      </c>
      <c r="L885">
        <v>0</v>
      </c>
      <c r="M885">
        <v>0</v>
      </c>
      <c r="N885">
        <v>735317</v>
      </c>
      <c r="O885">
        <v>0</v>
      </c>
      <c r="P885">
        <v>0</v>
      </c>
      <c r="Q885">
        <v>0</v>
      </c>
      <c r="R885">
        <v>7420017</v>
      </c>
      <c r="S885">
        <v>603700</v>
      </c>
      <c r="T885">
        <v>9.0310709530719002</v>
      </c>
      <c r="U885" t="str">
        <f t="shared" si="13"/>
        <v>Week 2</v>
      </c>
    </row>
    <row r="886" spans="1:21" x14ac:dyDescent="0.25">
      <c r="A886">
        <v>885</v>
      </c>
      <c r="B886" t="s">
        <v>1650</v>
      </c>
      <c r="C886" s="1">
        <v>46030</v>
      </c>
      <c r="D886" t="s">
        <v>204</v>
      </c>
      <c r="E886" t="s">
        <v>205</v>
      </c>
      <c r="F886" t="s">
        <v>30</v>
      </c>
      <c r="G886" t="s">
        <v>24</v>
      </c>
      <c r="H886" s="2">
        <v>1</v>
      </c>
      <c r="I886" t="s">
        <v>1651</v>
      </c>
      <c r="K886">
        <v>1225000</v>
      </c>
      <c r="L886">
        <v>0</v>
      </c>
      <c r="M886">
        <v>0</v>
      </c>
      <c r="N886">
        <v>134750</v>
      </c>
      <c r="O886">
        <v>0</v>
      </c>
      <c r="P886">
        <v>0</v>
      </c>
      <c r="Q886">
        <v>0</v>
      </c>
      <c r="R886">
        <v>1359750</v>
      </c>
      <c r="S886">
        <v>245000</v>
      </c>
      <c r="T886">
        <v>20</v>
      </c>
      <c r="U886" t="str">
        <f t="shared" si="13"/>
        <v>Week 2</v>
      </c>
    </row>
    <row r="887" spans="1:21" x14ac:dyDescent="0.25">
      <c r="A887">
        <v>886</v>
      </c>
      <c r="B887" t="s">
        <v>1652</v>
      </c>
      <c r="C887" s="1">
        <v>46030</v>
      </c>
      <c r="D887" t="s">
        <v>33</v>
      </c>
      <c r="E887" t="s">
        <v>1554</v>
      </c>
      <c r="F887" t="s">
        <v>30</v>
      </c>
      <c r="G887" t="s">
        <v>24</v>
      </c>
      <c r="H887" s="2">
        <v>1</v>
      </c>
      <c r="I887" t="s">
        <v>1653</v>
      </c>
      <c r="K887">
        <v>16892000</v>
      </c>
      <c r="L887">
        <v>0</v>
      </c>
      <c r="M887">
        <v>0</v>
      </c>
      <c r="N887">
        <v>1858120</v>
      </c>
      <c r="O887">
        <v>0</v>
      </c>
      <c r="P887">
        <v>0</v>
      </c>
      <c r="Q887">
        <v>0</v>
      </c>
      <c r="R887">
        <v>18750120</v>
      </c>
      <c r="S887">
        <v>-2126000</v>
      </c>
      <c r="T887">
        <v>-12.585839450628001</v>
      </c>
      <c r="U887" t="str">
        <f t="shared" si="13"/>
        <v>Week 2</v>
      </c>
    </row>
    <row r="888" spans="1:21" x14ac:dyDescent="0.25">
      <c r="A888">
        <v>887</v>
      </c>
      <c r="B888" t="s">
        <v>1654</v>
      </c>
      <c r="C888" s="1">
        <v>46030</v>
      </c>
      <c r="D888" t="s">
        <v>171</v>
      </c>
      <c r="E888" t="s">
        <v>1303</v>
      </c>
      <c r="F888" t="s">
        <v>23</v>
      </c>
      <c r="G888" t="s">
        <v>24</v>
      </c>
      <c r="H888" s="2">
        <v>1</v>
      </c>
      <c r="I888" t="s">
        <v>1655</v>
      </c>
      <c r="K888">
        <v>1225000</v>
      </c>
      <c r="L888">
        <v>0</v>
      </c>
      <c r="M888">
        <v>0</v>
      </c>
      <c r="N888">
        <v>134750</v>
      </c>
      <c r="O888">
        <v>0</v>
      </c>
      <c r="P888">
        <v>0</v>
      </c>
      <c r="Q888">
        <v>0</v>
      </c>
      <c r="R888">
        <v>1359750</v>
      </c>
      <c r="S888">
        <v>245000</v>
      </c>
      <c r="T888">
        <v>20</v>
      </c>
      <c r="U888" t="str">
        <f t="shared" si="13"/>
        <v>Week 2</v>
      </c>
    </row>
    <row r="889" spans="1:21" x14ac:dyDescent="0.25">
      <c r="A889">
        <v>888</v>
      </c>
      <c r="B889" t="s">
        <v>1656</v>
      </c>
      <c r="C889" s="1">
        <v>46030</v>
      </c>
      <c r="D889" t="s">
        <v>252</v>
      </c>
      <c r="E889" t="s">
        <v>100</v>
      </c>
      <c r="F889" t="s">
        <v>30</v>
      </c>
      <c r="G889" t="s">
        <v>24</v>
      </c>
      <c r="H889" s="2">
        <v>1</v>
      </c>
      <c r="I889" t="s">
        <v>1657</v>
      </c>
      <c r="J889" t="s">
        <v>26</v>
      </c>
      <c r="K889">
        <v>2303000</v>
      </c>
      <c r="L889">
        <v>0</v>
      </c>
      <c r="M889">
        <v>0</v>
      </c>
      <c r="N889">
        <v>253330</v>
      </c>
      <c r="O889">
        <v>0</v>
      </c>
      <c r="P889">
        <v>0</v>
      </c>
      <c r="Q889">
        <v>0</v>
      </c>
      <c r="R889">
        <v>2556330</v>
      </c>
      <c r="S889">
        <v>353000</v>
      </c>
      <c r="T889">
        <v>15.327833260964001</v>
      </c>
      <c r="U889" t="str">
        <f t="shared" si="13"/>
        <v>Week 2</v>
      </c>
    </row>
    <row r="890" spans="1:21" x14ac:dyDescent="0.25">
      <c r="A890">
        <v>889</v>
      </c>
      <c r="B890" t="s">
        <v>1658</v>
      </c>
      <c r="C890" s="1">
        <v>46030</v>
      </c>
      <c r="D890" t="s">
        <v>171</v>
      </c>
      <c r="E890" t="s">
        <v>1303</v>
      </c>
      <c r="F890" t="s">
        <v>23</v>
      </c>
      <c r="G890" t="s">
        <v>24</v>
      </c>
      <c r="H890" s="2">
        <v>1</v>
      </c>
      <c r="I890" t="s">
        <v>1659</v>
      </c>
      <c r="K890">
        <v>2880000</v>
      </c>
      <c r="L890">
        <v>0</v>
      </c>
      <c r="M890">
        <v>0</v>
      </c>
      <c r="N890">
        <v>316800</v>
      </c>
      <c r="O890">
        <v>0</v>
      </c>
      <c r="P890">
        <v>0</v>
      </c>
      <c r="Q890">
        <v>0</v>
      </c>
      <c r="R890">
        <v>3196800</v>
      </c>
      <c r="S890">
        <v>1112468.4684685001</v>
      </c>
      <c r="T890">
        <v>38.627377377377002</v>
      </c>
      <c r="U890" t="str">
        <f t="shared" si="13"/>
        <v>Week 2</v>
      </c>
    </row>
    <row r="891" spans="1:21" x14ac:dyDescent="0.25">
      <c r="A891">
        <v>890</v>
      </c>
      <c r="B891" t="s">
        <v>1660</v>
      </c>
      <c r="C891" s="1">
        <v>46030</v>
      </c>
      <c r="D891" t="s">
        <v>21</v>
      </c>
      <c r="E891" t="s">
        <v>22</v>
      </c>
      <c r="F891" t="s">
        <v>30</v>
      </c>
      <c r="G891" t="s">
        <v>24</v>
      </c>
      <c r="H891" s="2">
        <v>1</v>
      </c>
      <c r="I891" t="s">
        <v>1661</v>
      </c>
      <c r="J891" t="s">
        <v>26</v>
      </c>
      <c r="K891">
        <v>2770950</v>
      </c>
      <c r="L891">
        <v>0</v>
      </c>
      <c r="M891">
        <v>0</v>
      </c>
      <c r="N891">
        <v>304804.5</v>
      </c>
      <c r="O891">
        <v>0</v>
      </c>
      <c r="P891">
        <v>0</v>
      </c>
      <c r="Q891">
        <v>0</v>
      </c>
      <c r="R891">
        <v>3075754.5</v>
      </c>
      <c r="S891">
        <v>710950</v>
      </c>
      <c r="T891">
        <v>25.657265558742999</v>
      </c>
      <c r="U891" t="str">
        <f t="shared" si="13"/>
        <v>Week 2</v>
      </c>
    </row>
    <row r="892" spans="1:21" x14ac:dyDescent="0.25">
      <c r="A892">
        <v>891</v>
      </c>
      <c r="B892" t="s">
        <v>1662</v>
      </c>
      <c r="C892" s="1">
        <v>46029</v>
      </c>
      <c r="D892" t="s">
        <v>54</v>
      </c>
      <c r="E892" t="s">
        <v>1554</v>
      </c>
      <c r="F892" t="s">
        <v>23</v>
      </c>
      <c r="G892" t="s">
        <v>24</v>
      </c>
      <c r="H892" s="2">
        <v>1</v>
      </c>
      <c r="I892" t="s">
        <v>1663</v>
      </c>
      <c r="K892">
        <v>14212785.119999999</v>
      </c>
      <c r="L892">
        <v>0</v>
      </c>
      <c r="M892">
        <v>0</v>
      </c>
      <c r="N892">
        <v>1563406.3632</v>
      </c>
      <c r="O892">
        <v>0</v>
      </c>
      <c r="P892">
        <v>0</v>
      </c>
      <c r="Q892">
        <v>0</v>
      </c>
      <c r="R892">
        <v>15776191.483200001</v>
      </c>
      <c r="S892">
        <v>5607550.2271170998</v>
      </c>
      <c r="T892">
        <v>39.454267265508001</v>
      </c>
      <c r="U892" t="str">
        <f t="shared" si="13"/>
        <v>Week 1</v>
      </c>
    </row>
    <row r="893" spans="1:21" x14ac:dyDescent="0.25">
      <c r="A893">
        <v>892</v>
      </c>
      <c r="B893" t="s">
        <v>1664</v>
      </c>
      <c r="C893" s="1">
        <v>46029</v>
      </c>
      <c r="D893" t="s">
        <v>116</v>
      </c>
      <c r="E893" t="s">
        <v>100</v>
      </c>
      <c r="F893" t="s">
        <v>30</v>
      </c>
      <c r="G893" t="s">
        <v>24</v>
      </c>
      <c r="H893" s="2">
        <v>1</v>
      </c>
      <c r="I893" t="s">
        <v>1665</v>
      </c>
      <c r="J893" t="s">
        <v>26</v>
      </c>
      <c r="K893">
        <v>1264428</v>
      </c>
      <c r="L893">
        <v>0</v>
      </c>
      <c r="M893">
        <v>0</v>
      </c>
      <c r="N893">
        <v>139087.07999999999</v>
      </c>
      <c r="O893">
        <v>0</v>
      </c>
      <c r="P893">
        <v>0</v>
      </c>
      <c r="Q893">
        <v>0</v>
      </c>
      <c r="R893">
        <v>1403515.08</v>
      </c>
      <c r="S893">
        <v>264428</v>
      </c>
      <c r="T893">
        <v>20.912855457170998</v>
      </c>
      <c r="U893" t="str">
        <f t="shared" si="13"/>
        <v>Week 1</v>
      </c>
    </row>
    <row r="894" spans="1:21" x14ac:dyDescent="0.25">
      <c r="A894">
        <v>893</v>
      </c>
      <c r="B894" t="s">
        <v>1666</v>
      </c>
      <c r="C894" s="1">
        <v>46029</v>
      </c>
      <c r="D894" t="s">
        <v>54</v>
      </c>
      <c r="E894" t="s">
        <v>1554</v>
      </c>
      <c r="F894" t="s">
        <v>30</v>
      </c>
      <c r="G894" t="s">
        <v>24</v>
      </c>
      <c r="H894" s="2">
        <v>1</v>
      </c>
      <c r="I894" t="s">
        <v>1667</v>
      </c>
      <c r="K894">
        <v>13631526</v>
      </c>
      <c r="L894">
        <v>0</v>
      </c>
      <c r="M894">
        <v>0</v>
      </c>
      <c r="N894">
        <v>1499467.86</v>
      </c>
      <c r="O894">
        <v>0</v>
      </c>
      <c r="P894">
        <v>0</v>
      </c>
      <c r="Q894">
        <v>0</v>
      </c>
      <c r="R894">
        <v>15130993.859999999</v>
      </c>
      <c r="S894">
        <v>-2734372</v>
      </c>
      <c r="T894">
        <v>-20.059177527153</v>
      </c>
      <c r="U894" t="str">
        <f t="shared" si="13"/>
        <v>Week 1</v>
      </c>
    </row>
    <row r="895" spans="1:21" x14ac:dyDescent="0.25">
      <c r="A895">
        <v>894</v>
      </c>
      <c r="B895" t="s">
        <v>1668</v>
      </c>
      <c r="C895" s="1">
        <v>46029</v>
      </c>
      <c r="D895" t="s">
        <v>21</v>
      </c>
      <c r="E895" t="s">
        <v>22</v>
      </c>
      <c r="F895" t="s">
        <v>881</v>
      </c>
      <c r="G895" t="s">
        <v>24</v>
      </c>
      <c r="H895" s="2">
        <v>1</v>
      </c>
      <c r="I895" t="s">
        <v>1669</v>
      </c>
      <c r="J895" t="s">
        <v>26</v>
      </c>
      <c r="K895">
        <v>16774365.765769999</v>
      </c>
      <c r="L895">
        <v>0</v>
      </c>
      <c r="M895">
        <v>0</v>
      </c>
      <c r="N895">
        <v>1845180.2342347</v>
      </c>
      <c r="O895">
        <v>0</v>
      </c>
      <c r="P895">
        <v>0</v>
      </c>
      <c r="Q895">
        <v>0</v>
      </c>
      <c r="R895">
        <v>18619546.000004999</v>
      </c>
      <c r="S895">
        <v>4214647.3247790001</v>
      </c>
      <c r="T895">
        <v>25.12552416962</v>
      </c>
      <c r="U895" t="str">
        <f t="shared" si="13"/>
        <v>Week 1</v>
      </c>
    </row>
    <row r="896" spans="1:21" x14ac:dyDescent="0.25">
      <c r="A896">
        <v>895</v>
      </c>
      <c r="B896" t="s">
        <v>1670</v>
      </c>
      <c r="C896" s="1">
        <v>46029</v>
      </c>
      <c r="D896" t="s">
        <v>312</v>
      </c>
      <c r="E896" t="s">
        <v>1303</v>
      </c>
      <c r="F896" t="s">
        <v>23</v>
      </c>
      <c r="G896" t="s">
        <v>24</v>
      </c>
      <c r="H896" s="2">
        <v>1</v>
      </c>
      <c r="I896" t="s">
        <v>1671</v>
      </c>
      <c r="J896" t="s">
        <v>26</v>
      </c>
      <c r="K896">
        <v>3970000</v>
      </c>
      <c r="L896">
        <v>0</v>
      </c>
      <c r="M896">
        <v>0</v>
      </c>
      <c r="N896">
        <v>436700</v>
      </c>
      <c r="O896">
        <v>0</v>
      </c>
      <c r="P896">
        <v>0</v>
      </c>
      <c r="Q896">
        <v>0</v>
      </c>
      <c r="R896">
        <v>4406700</v>
      </c>
      <c r="S896">
        <v>1190000</v>
      </c>
      <c r="T896">
        <v>29.974811083123001</v>
      </c>
      <c r="U896" t="str">
        <f t="shared" si="13"/>
        <v>Week 1</v>
      </c>
    </row>
    <row r="897" spans="1:21" x14ac:dyDescent="0.25">
      <c r="A897">
        <v>896</v>
      </c>
      <c r="B897" t="s">
        <v>1672</v>
      </c>
      <c r="C897" s="1">
        <v>46029</v>
      </c>
      <c r="D897" t="s">
        <v>1673</v>
      </c>
      <c r="E897" t="s">
        <v>205</v>
      </c>
      <c r="F897" t="s">
        <v>30</v>
      </c>
      <c r="G897" t="s">
        <v>24</v>
      </c>
      <c r="H897" s="2">
        <v>1</v>
      </c>
      <c r="I897" t="s">
        <v>1674</v>
      </c>
      <c r="J897" t="s">
        <v>26</v>
      </c>
      <c r="K897">
        <v>13600000</v>
      </c>
      <c r="L897">
        <v>0</v>
      </c>
      <c r="M897">
        <v>0</v>
      </c>
      <c r="N897">
        <v>1496000</v>
      </c>
      <c r="O897">
        <v>0</v>
      </c>
      <c r="P897">
        <v>0</v>
      </c>
      <c r="Q897">
        <v>0</v>
      </c>
      <c r="R897">
        <v>15096000</v>
      </c>
      <c r="S897">
        <v>3600000</v>
      </c>
      <c r="T897">
        <v>26.470588235293999</v>
      </c>
      <c r="U897" t="str">
        <f t="shared" si="13"/>
        <v>Week 1</v>
      </c>
    </row>
    <row r="898" spans="1:21" x14ac:dyDescent="0.25">
      <c r="A898">
        <v>897</v>
      </c>
      <c r="B898" t="s">
        <v>1675</v>
      </c>
      <c r="C898" s="1">
        <v>46029</v>
      </c>
      <c r="D898" t="s">
        <v>21</v>
      </c>
      <c r="E898" t="s">
        <v>22</v>
      </c>
      <c r="F898" t="s">
        <v>30</v>
      </c>
      <c r="G898" t="s">
        <v>24</v>
      </c>
      <c r="H898" s="2">
        <v>1</v>
      </c>
      <c r="I898" t="s">
        <v>1505</v>
      </c>
      <c r="J898" t="s">
        <v>26</v>
      </c>
      <c r="K898">
        <v>23438857.960000001</v>
      </c>
      <c r="L898">
        <v>0</v>
      </c>
      <c r="M898">
        <v>0</v>
      </c>
      <c r="N898">
        <v>2578274.3755999999</v>
      </c>
      <c r="O898">
        <v>0</v>
      </c>
      <c r="P898">
        <v>0</v>
      </c>
      <c r="Q898">
        <v>0</v>
      </c>
      <c r="R898">
        <v>26017132.3356</v>
      </c>
      <c r="S898">
        <v>5262975.2609917996</v>
      </c>
      <c r="T898">
        <v>22.454060133704001</v>
      </c>
      <c r="U898" t="str">
        <f t="shared" si="13"/>
        <v>Week 1</v>
      </c>
    </row>
    <row r="899" spans="1:21" x14ac:dyDescent="0.25">
      <c r="A899">
        <v>898</v>
      </c>
      <c r="B899" t="s">
        <v>1676</v>
      </c>
      <c r="C899" s="1">
        <v>46029</v>
      </c>
      <c r="D899" t="s">
        <v>33</v>
      </c>
      <c r="E899" t="s">
        <v>1554</v>
      </c>
      <c r="F899" t="s">
        <v>30</v>
      </c>
      <c r="G899" t="s">
        <v>24</v>
      </c>
      <c r="H899" s="2">
        <v>1</v>
      </c>
      <c r="I899" t="s">
        <v>1677</v>
      </c>
      <c r="K899">
        <v>15656725</v>
      </c>
      <c r="L899">
        <v>0</v>
      </c>
      <c r="M899">
        <v>0</v>
      </c>
      <c r="N899">
        <v>1722239.75</v>
      </c>
      <c r="O899">
        <v>0</v>
      </c>
      <c r="P899">
        <v>0</v>
      </c>
      <c r="Q899">
        <v>0</v>
      </c>
      <c r="R899">
        <v>17378964.75</v>
      </c>
      <c r="S899">
        <v>4051706.9819820002</v>
      </c>
      <c r="T899">
        <v>25.878381219457001</v>
      </c>
      <c r="U899" t="str">
        <f t="shared" ref="U899:U962" si="14">"Week " &amp;IF(DAY(C899)&gt;=24,4,INT((DAY(C899)-1)/7)+1)</f>
        <v>Week 1</v>
      </c>
    </row>
    <row r="900" spans="1:21" x14ac:dyDescent="0.25">
      <c r="A900">
        <v>899</v>
      </c>
      <c r="B900" t="s">
        <v>1678</v>
      </c>
      <c r="C900" s="1">
        <v>46029</v>
      </c>
      <c r="D900" t="s">
        <v>255</v>
      </c>
      <c r="E900" t="s">
        <v>22</v>
      </c>
      <c r="F900" t="s">
        <v>30</v>
      </c>
      <c r="G900" t="s">
        <v>24</v>
      </c>
      <c r="H900" s="2">
        <v>1</v>
      </c>
      <c r="I900" t="s">
        <v>1679</v>
      </c>
      <c r="J900" t="s">
        <v>57</v>
      </c>
      <c r="K900">
        <v>39687486</v>
      </c>
      <c r="L900">
        <v>0</v>
      </c>
      <c r="M900">
        <v>0</v>
      </c>
      <c r="N900">
        <v>4365623.46</v>
      </c>
      <c r="O900">
        <v>0</v>
      </c>
      <c r="P900">
        <v>0</v>
      </c>
      <c r="Q900">
        <v>0</v>
      </c>
      <c r="R900">
        <v>44053109.460000001</v>
      </c>
      <c r="S900">
        <v>3259558</v>
      </c>
      <c r="T900">
        <v>8.2130624247652992</v>
      </c>
      <c r="U900" t="str">
        <f t="shared" si="14"/>
        <v>Week 1</v>
      </c>
    </row>
    <row r="901" spans="1:21" x14ac:dyDescent="0.25">
      <c r="A901">
        <v>900</v>
      </c>
      <c r="B901" t="s">
        <v>1680</v>
      </c>
      <c r="C901" s="1">
        <v>46029</v>
      </c>
      <c r="D901" t="s">
        <v>33</v>
      </c>
      <c r="E901" t="s">
        <v>1554</v>
      </c>
      <c r="F901" t="s">
        <v>23</v>
      </c>
      <c r="G901" t="s">
        <v>24</v>
      </c>
      <c r="H901" s="2">
        <v>1</v>
      </c>
      <c r="I901" t="s">
        <v>1681</v>
      </c>
      <c r="K901">
        <v>30610000</v>
      </c>
      <c r="L901">
        <v>0</v>
      </c>
      <c r="M901">
        <v>0</v>
      </c>
      <c r="N901">
        <v>3367100</v>
      </c>
      <c r="O901">
        <v>0</v>
      </c>
      <c r="P901">
        <v>0</v>
      </c>
      <c r="Q901">
        <v>0</v>
      </c>
      <c r="R901">
        <v>33977100</v>
      </c>
      <c r="S901">
        <v>6220000</v>
      </c>
      <c r="T901">
        <v>20.320156811499999</v>
      </c>
      <c r="U901" t="str">
        <f t="shared" si="14"/>
        <v>Week 1</v>
      </c>
    </row>
    <row r="902" spans="1:21" x14ac:dyDescent="0.25">
      <c r="A902">
        <v>901</v>
      </c>
      <c r="B902" t="s">
        <v>1682</v>
      </c>
      <c r="C902" s="1">
        <v>46029</v>
      </c>
      <c r="D902" t="s">
        <v>204</v>
      </c>
      <c r="E902" t="s">
        <v>205</v>
      </c>
      <c r="F902" t="s">
        <v>39</v>
      </c>
      <c r="G902" t="s">
        <v>24</v>
      </c>
      <c r="H902" s="2">
        <v>1</v>
      </c>
      <c r="I902" t="s">
        <v>1166</v>
      </c>
      <c r="K902">
        <v>2865000</v>
      </c>
      <c r="L902">
        <v>0</v>
      </c>
      <c r="M902">
        <v>0</v>
      </c>
      <c r="N902">
        <v>315150</v>
      </c>
      <c r="O902">
        <v>0</v>
      </c>
      <c r="P902">
        <v>0</v>
      </c>
      <c r="Q902">
        <v>0</v>
      </c>
      <c r="R902">
        <v>3180150</v>
      </c>
      <c r="S902">
        <v>1198500</v>
      </c>
      <c r="T902">
        <v>41.832460732984003</v>
      </c>
      <c r="U902" t="str">
        <f t="shared" si="14"/>
        <v>Week 1</v>
      </c>
    </row>
    <row r="903" spans="1:21" x14ac:dyDescent="0.25">
      <c r="A903">
        <v>902</v>
      </c>
      <c r="B903" t="s">
        <v>1683</v>
      </c>
      <c r="C903" s="1">
        <v>46029</v>
      </c>
      <c r="D903" t="s">
        <v>28</v>
      </c>
      <c r="E903" t="s">
        <v>1547</v>
      </c>
      <c r="F903" t="s">
        <v>30</v>
      </c>
      <c r="G903" t="s">
        <v>24</v>
      </c>
      <c r="H903" s="2">
        <v>1</v>
      </c>
      <c r="I903" t="s">
        <v>1684</v>
      </c>
      <c r="J903" t="s">
        <v>26</v>
      </c>
      <c r="K903">
        <v>1575900</v>
      </c>
      <c r="L903">
        <v>0</v>
      </c>
      <c r="M903">
        <v>0</v>
      </c>
      <c r="N903">
        <v>173349</v>
      </c>
      <c r="O903">
        <v>0</v>
      </c>
      <c r="P903">
        <v>0</v>
      </c>
      <c r="Q903">
        <v>0</v>
      </c>
      <c r="R903">
        <v>1749249</v>
      </c>
      <c r="S903">
        <v>45900</v>
      </c>
      <c r="T903">
        <v>2.9126213592233001</v>
      </c>
      <c r="U903" t="str">
        <f t="shared" si="14"/>
        <v>Week 1</v>
      </c>
    </row>
    <row r="904" spans="1:21" x14ac:dyDescent="0.25">
      <c r="A904">
        <v>903</v>
      </c>
      <c r="B904" t="s">
        <v>1685</v>
      </c>
      <c r="C904" s="1">
        <v>46029</v>
      </c>
      <c r="D904" t="s">
        <v>186</v>
      </c>
      <c r="E904" t="s">
        <v>100</v>
      </c>
      <c r="F904" t="s">
        <v>23</v>
      </c>
      <c r="G904" t="s">
        <v>24</v>
      </c>
      <c r="H904" s="2">
        <v>1</v>
      </c>
      <c r="I904" t="s">
        <v>1462</v>
      </c>
      <c r="K904">
        <v>8500000</v>
      </c>
      <c r="L904">
        <v>0</v>
      </c>
      <c r="M904">
        <v>0</v>
      </c>
      <c r="N904">
        <v>935000</v>
      </c>
      <c r="O904">
        <v>0</v>
      </c>
      <c r="P904">
        <v>0</v>
      </c>
      <c r="Q904">
        <v>0</v>
      </c>
      <c r="R904">
        <v>9435000</v>
      </c>
      <c r="S904">
        <v>5501081.0811016001</v>
      </c>
      <c r="T904">
        <v>64.718600954135994</v>
      </c>
      <c r="U904" t="str">
        <f t="shared" si="14"/>
        <v>Week 1</v>
      </c>
    </row>
    <row r="905" spans="1:21" x14ac:dyDescent="0.25">
      <c r="A905">
        <v>904</v>
      </c>
      <c r="B905" t="s">
        <v>1686</v>
      </c>
      <c r="C905" s="1">
        <v>46029</v>
      </c>
      <c r="D905" t="s">
        <v>204</v>
      </c>
      <c r="E905" t="s">
        <v>205</v>
      </c>
      <c r="F905" t="s">
        <v>265</v>
      </c>
      <c r="G905" t="s">
        <v>24</v>
      </c>
      <c r="H905" s="2">
        <v>1</v>
      </c>
      <c r="I905" t="s">
        <v>1687</v>
      </c>
      <c r="J905" t="s">
        <v>26</v>
      </c>
      <c r="K905">
        <v>15850000</v>
      </c>
      <c r="L905">
        <v>0</v>
      </c>
      <c r="M905">
        <v>0</v>
      </c>
      <c r="N905">
        <v>1743500</v>
      </c>
      <c r="O905">
        <v>0</v>
      </c>
      <c r="P905">
        <v>0</v>
      </c>
      <c r="Q905">
        <v>0</v>
      </c>
      <c r="R905">
        <v>17593500</v>
      </c>
      <c r="S905">
        <v>6738602.7019999996</v>
      </c>
      <c r="T905">
        <v>42.514843545741002</v>
      </c>
      <c r="U905" t="str">
        <f t="shared" si="14"/>
        <v>Week 1</v>
      </c>
    </row>
    <row r="906" spans="1:21" x14ac:dyDescent="0.25">
      <c r="A906">
        <v>905</v>
      </c>
      <c r="B906" t="s">
        <v>1688</v>
      </c>
      <c r="C906" s="1">
        <v>46029</v>
      </c>
      <c r="D906" t="s">
        <v>54</v>
      </c>
      <c r="E906" t="s">
        <v>1554</v>
      </c>
      <c r="F906" t="s">
        <v>23</v>
      </c>
      <c r="G906" t="s">
        <v>24</v>
      </c>
      <c r="H906" s="2">
        <v>1</v>
      </c>
      <c r="I906" t="s">
        <v>1326</v>
      </c>
      <c r="K906">
        <v>8530000</v>
      </c>
      <c r="L906">
        <v>0</v>
      </c>
      <c r="M906">
        <v>0</v>
      </c>
      <c r="N906">
        <v>938300</v>
      </c>
      <c r="O906">
        <v>0</v>
      </c>
      <c r="P906">
        <v>0</v>
      </c>
      <c r="Q906">
        <v>0</v>
      </c>
      <c r="R906">
        <v>9468300</v>
      </c>
      <c r="S906">
        <v>2080000</v>
      </c>
      <c r="T906">
        <v>24.384525205157999</v>
      </c>
      <c r="U906" t="str">
        <f t="shared" si="14"/>
        <v>Week 1</v>
      </c>
    </row>
    <row r="907" spans="1:21" x14ac:dyDescent="0.25">
      <c r="A907">
        <v>906</v>
      </c>
      <c r="B907" t="s">
        <v>1689</v>
      </c>
      <c r="C907" s="1">
        <v>46029</v>
      </c>
      <c r="D907" t="s">
        <v>204</v>
      </c>
      <c r="E907" t="s">
        <v>205</v>
      </c>
      <c r="F907" t="s">
        <v>265</v>
      </c>
      <c r="G907" t="s">
        <v>24</v>
      </c>
      <c r="H907" s="2">
        <v>1</v>
      </c>
      <c r="I907" t="s">
        <v>1690</v>
      </c>
      <c r="J907" t="s">
        <v>26</v>
      </c>
      <c r="K907">
        <v>7670000</v>
      </c>
      <c r="L907">
        <v>0</v>
      </c>
      <c r="M907">
        <v>0</v>
      </c>
      <c r="N907">
        <v>843700</v>
      </c>
      <c r="O907">
        <v>0</v>
      </c>
      <c r="P907">
        <v>0</v>
      </c>
      <c r="Q907">
        <v>0</v>
      </c>
      <c r="R907">
        <v>8513700</v>
      </c>
      <c r="S907">
        <v>3085989.0950455</v>
      </c>
      <c r="T907">
        <v>40.234538396943002</v>
      </c>
      <c r="U907" t="str">
        <f t="shared" si="14"/>
        <v>Week 1</v>
      </c>
    </row>
    <row r="908" spans="1:21" x14ac:dyDescent="0.25">
      <c r="A908">
        <v>907</v>
      </c>
      <c r="B908" t="s">
        <v>1691</v>
      </c>
      <c r="C908" s="1">
        <v>46029</v>
      </c>
      <c r="D908" t="s">
        <v>33</v>
      </c>
      <c r="E908" t="s">
        <v>34</v>
      </c>
      <c r="F908" t="s">
        <v>30</v>
      </c>
      <c r="G908" t="s">
        <v>24</v>
      </c>
      <c r="H908" s="2">
        <v>1</v>
      </c>
      <c r="I908" t="s">
        <v>557</v>
      </c>
      <c r="J908" t="s">
        <v>57</v>
      </c>
      <c r="K908">
        <v>111474680.52</v>
      </c>
      <c r="L908">
        <v>0</v>
      </c>
      <c r="M908">
        <v>0</v>
      </c>
      <c r="N908">
        <v>12262214.8572</v>
      </c>
      <c r="O908">
        <v>0</v>
      </c>
      <c r="P908">
        <v>0</v>
      </c>
      <c r="Q908">
        <v>0</v>
      </c>
      <c r="R908">
        <v>123736895.37720001</v>
      </c>
      <c r="S908">
        <v>14276626.465948001</v>
      </c>
      <c r="T908">
        <v>12.807057530330001</v>
      </c>
      <c r="U908" t="str">
        <f t="shared" si="14"/>
        <v>Week 1</v>
      </c>
    </row>
    <row r="909" spans="1:21" x14ac:dyDescent="0.25">
      <c r="A909">
        <v>908</v>
      </c>
      <c r="B909" t="s">
        <v>1692</v>
      </c>
      <c r="C909" s="1">
        <v>46029</v>
      </c>
      <c r="D909" t="s">
        <v>252</v>
      </c>
      <c r="E909" t="s">
        <v>100</v>
      </c>
      <c r="F909" t="s">
        <v>23</v>
      </c>
      <c r="G909" t="s">
        <v>24</v>
      </c>
      <c r="H909" s="2">
        <v>1</v>
      </c>
      <c r="I909" t="s">
        <v>1693</v>
      </c>
      <c r="K909">
        <v>206060000</v>
      </c>
      <c r="L909">
        <v>0</v>
      </c>
      <c r="M909">
        <v>0</v>
      </c>
      <c r="N909">
        <v>22666600</v>
      </c>
      <c r="O909">
        <v>0</v>
      </c>
      <c r="P909">
        <v>0</v>
      </c>
      <c r="Q909">
        <v>0</v>
      </c>
      <c r="R909">
        <v>228726600</v>
      </c>
      <c r="S909">
        <v>62060000</v>
      </c>
      <c r="T909">
        <v>30.117441521886999</v>
      </c>
      <c r="U909" t="str">
        <f t="shared" si="14"/>
        <v>Week 1</v>
      </c>
    </row>
    <row r="910" spans="1:21" x14ac:dyDescent="0.25">
      <c r="A910">
        <v>909</v>
      </c>
      <c r="B910" t="s">
        <v>1694</v>
      </c>
      <c r="C910" s="1">
        <v>46028</v>
      </c>
      <c r="D910" t="s">
        <v>33</v>
      </c>
      <c r="E910" t="s">
        <v>34</v>
      </c>
      <c r="F910" t="s">
        <v>30</v>
      </c>
      <c r="G910" t="s">
        <v>24</v>
      </c>
      <c r="H910" s="2">
        <v>1</v>
      </c>
      <c r="I910" t="s">
        <v>1695</v>
      </c>
      <c r="K910">
        <v>254800</v>
      </c>
      <c r="L910">
        <v>0</v>
      </c>
      <c r="M910">
        <v>0</v>
      </c>
      <c r="N910">
        <v>28028</v>
      </c>
      <c r="O910">
        <v>0</v>
      </c>
      <c r="P910">
        <v>0</v>
      </c>
      <c r="Q910">
        <v>0</v>
      </c>
      <c r="R910">
        <v>282828</v>
      </c>
      <c r="S910">
        <v>136845.04504600001</v>
      </c>
      <c r="T910">
        <v>53.706846564364</v>
      </c>
      <c r="U910" t="str">
        <f t="shared" si="14"/>
        <v>Week 1</v>
      </c>
    </row>
    <row r="911" spans="1:21" x14ac:dyDescent="0.25">
      <c r="A911">
        <v>910</v>
      </c>
      <c r="B911" t="s">
        <v>1696</v>
      </c>
      <c r="C911" s="1">
        <v>46028</v>
      </c>
      <c r="D911" t="s">
        <v>33</v>
      </c>
      <c r="E911" t="s">
        <v>34</v>
      </c>
      <c r="F911" t="s">
        <v>30</v>
      </c>
      <c r="G911" t="s">
        <v>24</v>
      </c>
      <c r="H911" s="2">
        <v>1</v>
      </c>
      <c r="I911" t="s">
        <v>1697</v>
      </c>
      <c r="K911">
        <v>192864</v>
      </c>
      <c r="L911">
        <v>0</v>
      </c>
      <c r="M911">
        <v>0</v>
      </c>
      <c r="N911">
        <v>21215.040000000001</v>
      </c>
      <c r="O911">
        <v>0</v>
      </c>
      <c r="P911">
        <v>0</v>
      </c>
      <c r="Q911">
        <v>0</v>
      </c>
      <c r="R911">
        <v>214079.04</v>
      </c>
      <c r="S911">
        <v>112864</v>
      </c>
      <c r="T911">
        <v>58.519993363198999</v>
      </c>
      <c r="U911" t="str">
        <f t="shared" si="14"/>
        <v>Week 1</v>
      </c>
    </row>
    <row r="912" spans="1:21" x14ac:dyDescent="0.25">
      <c r="A912">
        <v>911</v>
      </c>
      <c r="B912" t="s">
        <v>1698</v>
      </c>
      <c r="C912" s="1">
        <v>46028</v>
      </c>
      <c r="D912" t="s">
        <v>33</v>
      </c>
      <c r="E912" t="s">
        <v>34</v>
      </c>
      <c r="F912" t="s">
        <v>30</v>
      </c>
      <c r="G912" t="s">
        <v>24</v>
      </c>
      <c r="H912" s="2">
        <v>1</v>
      </c>
      <c r="I912" t="s">
        <v>1699</v>
      </c>
      <c r="K912">
        <v>5056800</v>
      </c>
      <c r="L912">
        <v>0</v>
      </c>
      <c r="M912">
        <v>0</v>
      </c>
      <c r="N912">
        <v>556248</v>
      </c>
      <c r="O912">
        <v>0</v>
      </c>
      <c r="P912">
        <v>0</v>
      </c>
      <c r="Q912">
        <v>0</v>
      </c>
      <c r="R912">
        <v>5613048</v>
      </c>
      <c r="S912">
        <v>2269400</v>
      </c>
      <c r="T912">
        <v>44.878183831671997</v>
      </c>
      <c r="U912" t="str">
        <f t="shared" si="14"/>
        <v>Week 1</v>
      </c>
    </row>
    <row r="913" spans="1:21" x14ac:dyDescent="0.25">
      <c r="C913" s="1"/>
      <c r="H913" s="2"/>
    </row>
    <row r="914" spans="1:21" x14ac:dyDescent="0.25">
      <c r="C914" s="1"/>
      <c r="H914" s="2"/>
    </row>
    <row r="915" spans="1:21" x14ac:dyDescent="0.25">
      <c r="A915">
        <v>914</v>
      </c>
      <c r="B915" t="s">
        <v>1701</v>
      </c>
      <c r="C915" s="1">
        <v>46028</v>
      </c>
      <c r="D915" t="s">
        <v>21</v>
      </c>
      <c r="E915" t="s">
        <v>22</v>
      </c>
      <c r="F915" t="s">
        <v>30</v>
      </c>
      <c r="G915" t="s">
        <v>24</v>
      </c>
      <c r="H915" s="2">
        <v>1</v>
      </c>
      <c r="I915" t="s">
        <v>1641</v>
      </c>
      <c r="J915" t="s">
        <v>26</v>
      </c>
      <c r="K915">
        <v>434434</v>
      </c>
      <c r="L915">
        <v>0</v>
      </c>
      <c r="M915">
        <v>0</v>
      </c>
      <c r="N915">
        <v>47787.74</v>
      </c>
      <c r="O915">
        <v>0</v>
      </c>
      <c r="P915">
        <v>0</v>
      </c>
      <c r="Q915">
        <v>0</v>
      </c>
      <c r="R915">
        <v>482221.74</v>
      </c>
      <c r="S915">
        <v>16434</v>
      </c>
      <c r="T915">
        <v>3.7828530916088998</v>
      </c>
      <c r="U915" t="str">
        <f t="shared" si="14"/>
        <v>Week 1</v>
      </c>
    </row>
    <row r="916" spans="1:21" x14ac:dyDescent="0.25">
      <c r="A916">
        <v>915</v>
      </c>
      <c r="B916" t="s">
        <v>1702</v>
      </c>
      <c r="C916" s="1">
        <v>46028</v>
      </c>
      <c r="D916" t="s">
        <v>33</v>
      </c>
      <c r="E916" t="s">
        <v>34</v>
      </c>
      <c r="F916" t="s">
        <v>23</v>
      </c>
      <c r="G916" t="s">
        <v>24</v>
      </c>
      <c r="H916" s="2">
        <v>1</v>
      </c>
      <c r="I916" t="s">
        <v>1703</v>
      </c>
      <c r="K916">
        <v>4392000</v>
      </c>
      <c r="L916">
        <v>0</v>
      </c>
      <c r="M916">
        <v>0</v>
      </c>
      <c r="N916">
        <v>483120</v>
      </c>
      <c r="O916">
        <v>0</v>
      </c>
      <c r="P916">
        <v>0</v>
      </c>
      <c r="Q916">
        <v>0</v>
      </c>
      <c r="R916">
        <v>4875120</v>
      </c>
      <c r="S916">
        <v>2466842.5135134999</v>
      </c>
      <c r="T916">
        <v>56.166723896027001</v>
      </c>
      <c r="U916" t="str">
        <f t="shared" si="14"/>
        <v>Week 1</v>
      </c>
    </row>
    <row r="917" spans="1:21" x14ac:dyDescent="0.25">
      <c r="A917">
        <v>916</v>
      </c>
      <c r="B917" t="s">
        <v>1704</v>
      </c>
      <c r="C917" s="1">
        <v>46028</v>
      </c>
      <c r="D917" t="s">
        <v>54</v>
      </c>
      <c r="E917" t="s">
        <v>1554</v>
      </c>
      <c r="F917" t="s">
        <v>23</v>
      </c>
      <c r="G917" t="s">
        <v>24</v>
      </c>
      <c r="H917" s="2">
        <v>1</v>
      </c>
      <c r="I917" t="s">
        <v>1705</v>
      </c>
      <c r="K917">
        <v>92872600</v>
      </c>
      <c r="L917">
        <v>0</v>
      </c>
      <c r="M917">
        <v>0</v>
      </c>
      <c r="N917">
        <v>10215986</v>
      </c>
      <c r="O917">
        <v>0</v>
      </c>
      <c r="P917">
        <v>0</v>
      </c>
      <c r="Q917">
        <v>0</v>
      </c>
      <c r="R917">
        <v>103088586</v>
      </c>
      <c r="S917">
        <v>70149369.332432002</v>
      </c>
      <c r="T917">
        <v>75.532901342733993</v>
      </c>
      <c r="U917" t="str">
        <f t="shared" si="14"/>
        <v>Week 1</v>
      </c>
    </row>
    <row r="918" spans="1:21" x14ac:dyDescent="0.25">
      <c r="A918">
        <v>917</v>
      </c>
      <c r="B918" t="s">
        <v>1706</v>
      </c>
      <c r="C918" s="1">
        <v>46028</v>
      </c>
      <c r="D918" t="s">
        <v>21</v>
      </c>
      <c r="E918" t="s">
        <v>22</v>
      </c>
      <c r="F918" t="s">
        <v>30</v>
      </c>
      <c r="G918" t="s">
        <v>24</v>
      </c>
      <c r="H918" s="2">
        <v>1</v>
      </c>
      <c r="I918" t="s">
        <v>1707</v>
      </c>
      <c r="J918" t="s">
        <v>26</v>
      </c>
      <c r="K918">
        <v>6955550</v>
      </c>
      <c r="L918">
        <v>0</v>
      </c>
      <c r="M918">
        <v>0</v>
      </c>
      <c r="N918">
        <v>765110.5</v>
      </c>
      <c r="O918">
        <v>0</v>
      </c>
      <c r="P918">
        <v>0</v>
      </c>
      <c r="Q918">
        <v>0</v>
      </c>
      <c r="R918">
        <v>7720660.5</v>
      </c>
      <c r="S918">
        <v>2663658.1081081</v>
      </c>
      <c r="T918">
        <v>38.295434697588</v>
      </c>
      <c r="U918" t="str">
        <f t="shared" si="14"/>
        <v>Week 1</v>
      </c>
    </row>
    <row r="919" spans="1:21" x14ac:dyDescent="0.25">
      <c r="A919">
        <v>918</v>
      </c>
      <c r="B919" t="s">
        <v>1708</v>
      </c>
      <c r="C919" s="1">
        <v>46028</v>
      </c>
      <c r="D919" t="s">
        <v>21</v>
      </c>
      <c r="E919" t="s">
        <v>22</v>
      </c>
      <c r="F919" t="s">
        <v>23</v>
      </c>
      <c r="G919" t="s">
        <v>24</v>
      </c>
      <c r="H919" s="2">
        <v>1</v>
      </c>
      <c r="I919" t="s">
        <v>368</v>
      </c>
      <c r="J919" t="s">
        <v>26</v>
      </c>
      <c r="K919">
        <v>3487500</v>
      </c>
      <c r="L919">
        <v>0</v>
      </c>
      <c r="M919">
        <v>0</v>
      </c>
      <c r="N919">
        <v>383625</v>
      </c>
      <c r="O919">
        <v>0</v>
      </c>
      <c r="P919">
        <v>0</v>
      </c>
      <c r="Q919">
        <v>0</v>
      </c>
      <c r="R919">
        <v>3871125</v>
      </c>
      <c r="S919">
        <v>837500</v>
      </c>
      <c r="T919">
        <v>24.014336917563</v>
      </c>
      <c r="U919" t="str">
        <f t="shared" si="14"/>
        <v>Week 1</v>
      </c>
    </row>
    <row r="920" spans="1:21" x14ac:dyDescent="0.25">
      <c r="A920">
        <v>919</v>
      </c>
      <c r="B920" t="s">
        <v>1709</v>
      </c>
      <c r="C920" s="1">
        <v>46028</v>
      </c>
      <c r="D920" t="s">
        <v>21</v>
      </c>
      <c r="E920" t="s">
        <v>22</v>
      </c>
      <c r="F920" t="s">
        <v>30</v>
      </c>
      <c r="G920" t="s">
        <v>24</v>
      </c>
      <c r="H920" s="2">
        <v>1</v>
      </c>
      <c r="I920" t="s">
        <v>1710</v>
      </c>
      <c r="J920" t="s">
        <v>26</v>
      </c>
      <c r="K920">
        <v>64680</v>
      </c>
      <c r="L920">
        <v>0</v>
      </c>
      <c r="M920">
        <v>0</v>
      </c>
      <c r="N920">
        <v>7114.8</v>
      </c>
      <c r="O920">
        <v>0</v>
      </c>
      <c r="P920">
        <v>0</v>
      </c>
      <c r="Q920">
        <v>0</v>
      </c>
      <c r="R920">
        <v>71794.8</v>
      </c>
      <c r="S920">
        <v>2468.64</v>
      </c>
      <c r="T920">
        <v>3.8166975881262002</v>
      </c>
      <c r="U920" t="str">
        <f t="shared" si="14"/>
        <v>Week 1</v>
      </c>
    </row>
    <row r="921" spans="1:21" x14ac:dyDescent="0.25">
      <c r="A921">
        <v>920</v>
      </c>
      <c r="B921" t="s">
        <v>1711</v>
      </c>
      <c r="C921" s="1">
        <v>46028</v>
      </c>
      <c r="D921" t="s">
        <v>113</v>
      </c>
      <c r="E921" t="s">
        <v>1554</v>
      </c>
      <c r="F921" t="s">
        <v>23</v>
      </c>
      <c r="G921" t="s">
        <v>24</v>
      </c>
      <c r="H921" s="2">
        <v>1</v>
      </c>
      <c r="I921" t="s">
        <v>1712</v>
      </c>
      <c r="K921">
        <v>4005000</v>
      </c>
      <c r="L921">
        <v>0</v>
      </c>
      <c r="M921">
        <v>0</v>
      </c>
      <c r="N921">
        <v>440550</v>
      </c>
      <c r="O921">
        <v>0</v>
      </c>
      <c r="P921">
        <v>0</v>
      </c>
      <c r="Q921">
        <v>0</v>
      </c>
      <c r="R921">
        <v>4445550</v>
      </c>
      <c r="S921">
        <v>1352078</v>
      </c>
      <c r="T921">
        <v>33.75975031211</v>
      </c>
      <c r="U921" t="str">
        <f t="shared" si="14"/>
        <v>Week 1</v>
      </c>
    </row>
    <row r="922" spans="1:21" x14ac:dyDescent="0.25">
      <c r="A922">
        <v>921</v>
      </c>
      <c r="B922" t="s">
        <v>1713</v>
      </c>
      <c r="C922" s="1">
        <v>46028</v>
      </c>
      <c r="D922" t="s">
        <v>33</v>
      </c>
      <c r="E922" t="s">
        <v>1554</v>
      </c>
      <c r="F922" t="s">
        <v>30</v>
      </c>
      <c r="G922" t="s">
        <v>24</v>
      </c>
      <c r="H922" s="2">
        <v>1</v>
      </c>
      <c r="I922" t="s">
        <v>1714</v>
      </c>
      <c r="K922">
        <v>72572720</v>
      </c>
      <c r="L922">
        <v>0</v>
      </c>
      <c r="M922">
        <v>0</v>
      </c>
      <c r="N922">
        <v>7982999.2000000002</v>
      </c>
      <c r="O922">
        <v>0</v>
      </c>
      <c r="P922">
        <v>0</v>
      </c>
      <c r="Q922">
        <v>0</v>
      </c>
      <c r="R922">
        <v>80555719.200000003</v>
      </c>
      <c r="S922">
        <v>7069858</v>
      </c>
      <c r="T922">
        <v>9.7417569577108001</v>
      </c>
      <c r="U922" t="str">
        <f t="shared" si="14"/>
        <v>Week 1</v>
      </c>
    </row>
    <row r="923" spans="1:21" x14ac:dyDescent="0.25">
      <c r="A923">
        <v>922</v>
      </c>
      <c r="B923" t="s">
        <v>1715</v>
      </c>
      <c r="C923" s="1">
        <v>46028</v>
      </c>
      <c r="D923" t="s">
        <v>33</v>
      </c>
      <c r="E923" t="s">
        <v>34</v>
      </c>
      <c r="F923" t="s">
        <v>30</v>
      </c>
      <c r="G923" t="s">
        <v>24</v>
      </c>
      <c r="H923" s="2">
        <v>1</v>
      </c>
      <c r="I923" t="s">
        <v>1716</v>
      </c>
      <c r="K923">
        <v>4321800</v>
      </c>
      <c r="L923">
        <v>0</v>
      </c>
      <c r="M923">
        <v>0</v>
      </c>
      <c r="N923">
        <v>475398</v>
      </c>
      <c r="O923">
        <v>0</v>
      </c>
      <c r="P923">
        <v>0</v>
      </c>
      <c r="Q923">
        <v>0</v>
      </c>
      <c r="R923">
        <v>4797198</v>
      </c>
      <c r="S923">
        <v>2071800</v>
      </c>
      <c r="T923">
        <v>47.938359017076003</v>
      </c>
      <c r="U923" t="str">
        <f t="shared" si="14"/>
        <v>Week 1</v>
      </c>
    </row>
    <row r="924" spans="1:21" x14ac:dyDescent="0.25">
      <c r="A924">
        <v>923</v>
      </c>
      <c r="B924" t="s">
        <v>1717</v>
      </c>
      <c r="C924" s="1">
        <v>46028</v>
      </c>
      <c r="D924" t="s">
        <v>33</v>
      </c>
      <c r="E924" t="s">
        <v>1554</v>
      </c>
      <c r="F924" t="s">
        <v>30</v>
      </c>
      <c r="G924" t="s">
        <v>24</v>
      </c>
      <c r="H924" s="2">
        <v>1</v>
      </c>
      <c r="I924" t="s">
        <v>1718</v>
      </c>
      <c r="K924">
        <v>3740960</v>
      </c>
      <c r="L924">
        <v>0</v>
      </c>
      <c r="M924">
        <v>0</v>
      </c>
      <c r="N924">
        <v>411505.6</v>
      </c>
      <c r="O924">
        <v>0</v>
      </c>
      <c r="P924">
        <v>0</v>
      </c>
      <c r="Q924">
        <v>0</v>
      </c>
      <c r="R924">
        <v>4152465.6</v>
      </c>
      <c r="S924">
        <v>1460960</v>
      </c>
      <c r="T924">
        <v>39.053077284974997</v>
      </c>
      <c r="U924" t="str">
        <f t="shared" si="14"/>
        <v>Week 1</v>
      </c>
    </row>
    <row r="925" spans="1:21" x14ac:dyDescent="0.25">
      <c r="A925">
        <v>924</v>
      </c>
      <c r="B925" t="s">
        <v>1719</v>
      </c>
      <c r="C925" s="1">
        <v>46028</v>
      </c>
      <c r="D925" t="s">
        <v>33</v>
      </c>
      <c r="E925" t="s">
        <v>34</v>
      </c>
      <c r="F925" t="s">
        <v>23</v>
      </c>
      <c r="G925" t="s">
        <v>24</v>
      </c>
      <c r="H925" s="2">
        <v>1</v>
      </c>
      <c r="I925" t="s">
        <v>683</v>
      </c>
      <c r="K925">
        <v>92212500</v>
      </c>
      <c r="L925">
        <v>0</v>
      </c>
      <c r="M925">
        <v>0</v>
      </c>
      <c r="N925">
        <v>10143375</v>
      </c>
      <c r="O925">
        <v>0</v>
      </c>
      <c r="P925">
        <v>0</v>
      </c>
      <c r="Q925">
        <v>0</v>
      </c>
      <c r="R925">
        <v>102355875</v>
      </c>
      <c r="S925">
        <v>25747253.243243001</v>
      </c>
      <c r="T925">
        <v>27.921651883685001</v>
      </c>
      <c r="U925" t="str">
        <f t="shared" si="14"/>
        <v>Week 1</v>
      </c>
    </row>
    <row r="926" spans="1:21" x14ac:dyDescent="0.25">
      <c r="A926">
        <v>925</v>
      </c>
      <c r="B926" t="s">
        <v>1720</v>
      </c>
      <c r="C926" s="1">
        <v>46028</v>
      </c>
      <c r="D926" t="s">
        <v>323</v>
      </c>
      <c r="E926" t="s">
        <v>34</v>
      </c>
      <c r="F926" t="s">
        <v>23</v>
      </c>
      <c r="G926" t="s">
        <v>24</v>
      </c>
      <c r="H926" s="2">
        <v>1</v>
      </c>
      <c r="I926" t="s">
        <v>1721</v>
      </c>
      <c r="K926">
        <v>1750000</v>
      </c>
      <c r="L926">
        <v>0</v>
      </c>
      <c r="M926">
        <v>0</v>
      </c>
      <c r="N926">
        <v>192500</v>
      </c>
      <c r="O926">
        <v>0</v>
      </c>
      <c r="P926">
        <v>0</v>
      </c>
      <c r="Q926">
        <v>0</v>
      </c>
      <c r="R926">
        <v>1942500</v>
      </c>
      <c r="S926">
        <v>700000</v>
      </c>
      <c r="T926">
        <v>40</v>
      </c>
      <c r="U926" t="str">
        <f t="shared" si="14"/>
        <v>Week 1</v>
      </c>
    </row>
    <row r="927" spans="1:21" x14ac:dyDescent="0.25">
      <c r="A927">
        <v>926</v>
      </c>
      <c r="B927" t="s">
        <v>1722</v>
      </c>
      <c r="C927" s="1">
        <v>46028</v>
      </c>
      <c r="D927" t="s">
        <v>37</v>
      </c>
      <c r="E927" t="s">
        <v>34</v>
      </c>
      <c r="F927" t="s">
        <v>23</v>
      </c>
      <c r="G927" t="s">
        <v>24</v>
      </c>
      <c r="H927" s="2">
        <v>1</v>
      </c>
      <c r="I927" t="s">
        <v>1723</v>
      </c>
      <c r="K927">
        <v>23894000</v>
      </c>
      <c r="L927">
        <v>0</v>
      </c>
      <c r="M927">
        <v>0</v>
      </c>
      <c r="N927">
        <v>2628340</v>
      </c>
      <c r="O927">
        <v>0</v>
      </c>
      <c r="P927">
        <v>0</v>
      </c>
      <c r="Q927">
        <v>0</v>
      </c>
      <c r="R927">
        <v>26522340</v>
      </c>
      <c r="S927">
        <v>10422671.983783999</v>
      </c>
      <c r="T927">
        <v>43.620456950631002</v>
      </c>
      <c r="U927" t="str">
        <f t="shared" si="14"/>
        <v>Week 1</v>
      </c>
    </row>
    <row r="928" spans="1:21" x14ac:dyDescent="0.25">
      <c r="A928">
        <v>927</v>
      </c>
      <c r="B928" t="s">
        <v>1724</v>
      </c>
      <c r="C928" s="1">
        <v>46028</v>
      </c>
      <c r="D928" t="s">
        <v>171</v>
      </c>
      <c r="E928" t="s">
        <v>1303</v>
      </c>
      <c r="F928" t="s">
        <v>23</v>
      </c>
      <c r="G928" t="s">
        <v>24</v>
      </c>
      <c r="H928" s="2">
        <v>1</v>
      </c>
      <c r="I928" t="s">
        <v>1725</v>
      </c>
      <c r="K928">
        <v>18461600</v>
      </c>
      <c r="L928">
        <v>0</v>
      </c>
      <c r="M928">
        <v>0</v>
      </c>
      <c r="N928">
        <v>2030776</v>
      </c>
      <c r="O928">
        <v>0</v>
      </c>
      <c r="P928">
        <v>0</v>
      </c>
      <c r="Q928">
        <v>0</v>
      </c>
      <c r="R928">
        <v>20492376</v>
      </c>
      <c r="S928">
        <v>4235021.6216216004</v>
      </c>
      <c r="T928">
        <v>22.939623985036999</v>
      </c>
      <c r="U928" t="str">
        <f t="shared" si="14"/>
        <v>Week 1</v>
      </c>
    </row>
    <row r="929" spans="1:21" x14ac:dyDescent="0.25">
      <c r="A929">
        <v>928</v>
      </c>
      <c r="B929" t="s">
        <v>1726</v>
      </c>
      <c r="C929" s="1">
        <v>46028</v>
      </c>
      <c r="D929" t="s">
        <v>171</v>
      </c>
      <c r="E929" t="s">
        <v>1303</v>
      </c>
      <c r="F929" t="s">
        <v>30</v>
      </c>
      <c r="G929" t="s">
        <v>24</v>
      </c>
      <c r="H929" s="2">
        <v>1</v>
      </c>
      <c r="I929" t="s">
        <v>1727</v>
      </c>
      <c r="J929" t="s">
        <v>26</v>
      </c>
      <c r="K929">
        <v>26233600</v>
      </c>
      <c r="L929">
        <v>0</v>
      </c>
      <c r="M929">
        <v>0</v>
      </c>
      <c r="N929">
        <v>2885696</v>
      </c>
      <c r="O929">
        <v>0</v>
      </c>
      <c r="P929">
        <v>0</v>
      </c>
      <c r="Q929">
        <v>0</v>
      </c>
      <c r="R929">
        <v>29119296</v>
      </c>
      <c r="S929">
        <v>6594590.9909910001</v>
      </c>
      <c r="T929">
        <v>25.137956631919</v>
      </c>
      <c r="U929" t="str">
        <f t="shared" si="14"/>
        <v>Week 1</v>
      </c>
    </row>
    <row r="930" spans="1:21" x14ac:dyDescent="0.25">
      <c r="A930">
        <v>929</v>
      </c>
      <c r="B930" t="s">
        <v>1728</v>
      </c>
      <c r="C930" s="1">
        <v>46027</v>
      </c>
      <c r="D930" t="s">
        <v>1582</v>
      </c>
      <c r="E930" t="s">
        <v>55</v>
      </c>
      <c r="F930" t="s">
        <v>30</v>
      </c>
      <c r="G930" t="s">
        <v>24</v>
      </c>
      <c r="H930" s="2">
        <v>1</v>
      </c>
      <c r="I930" t="s">
        <v>1729</v>
      </c>
      <c r="K930">
        <v>510365.5</v>
      </c>
      <c r="L930">
        <v>0</v>
      </c>
      <c r="M930">
        <v>0</v>
      </c>
      <c r="N930">
        <v>56140.205000000002</v>
      </c>
      <c r="O930">
        <v>0</v>
      </c>
      <c r="P930">
        <v>0</v>
      </c>
      <c r="Q930">
        <v>0</v>
      </c>
      <c r="R930">
        <v>566505.70499999996</v>
      </c>
      <c r="S930">
        <v>210365.5</v>
      </c>
      <c r="T930">
        <v>41.218597260198997</v>
      </c>
      <c r="U930" t="str">
        <f t="shared" si="14"/>
        <v>Week 1</v>
      </c>
    </row>
    <row r="931" spans="1:21" x14ac:dyDescent="0.25">
      <c r="A931">
        <v>930</v>
      </c>
      <c r="B931" t="s">
        <v>1730</v>
      </c>
      <c r="C931" s="1">
        <v>46027</v>
      </c>
      <c r="D931" t="s">
        <v>54</v>
      </c>
      <c r="E931" t="s">
        <v>1554</v>
      </c>
      <c r="F931" t="s">
        <v>30</v>
      </c>
      <c r="G931" t="s">
        <v>24</v>
      </c>
      <c r="H931" s="2">
        <v>1</v>
      </c>
      <c r="I931" t="s">
        <v>1731</v>
      </c>
      <c r="K931">
        <v>86928188</v>
      </c>
      <c r="L931">
        <v>0</v>
      </c>
      <c r="M931">
        <v>0</v>
      </c>
      <c r="N931">
        <v>9562100.6799999997</v>
      </c>
      <c r="O931">
        <v>0</v>
      </c>
      <c r="P931">
        <v>0</v>
      </c>
      <c r="Q931">
        <v>0</v>
      </c>
      <c r="R931">
        <v>96490288.680000007</v>
      </c>
      <c r="S931">
        <v>18420508.508108001</v>
      </c>
      <c r="T931">
        <v>21.190489451026</v>
      </c>
      <c r="U931" t="str">
        <f t="shared" si="14"/>
        <v>Week 1</v>
      </c>
    </row>
    <row r="932" spans="1:21" x14ac:dyDescent="0.25">
      <c r="A932">
        <v>931</v>
      </c>
      <c r="B932" t="s">
        <v>1732</v>
      </c>
      <c r="C932" s="1">
        <v>46027</v>
      </c>
      <c r="D932" t="s">
        <v>255</v>
      </c>
      <c r="E932" t="s">
        <v>22</v>
      </c>
      <c r="F932" t="s">
        <v>23</v>
      </c>
      <c r="G932" t="s">
        <v>24</v>
      </c>
      <c r="H932" s="2">
        <v>1</v>
      </c>
      <c r="I932" t="s">
        <v>1733</v>
      </c>
      <c r="K932">
        <v>847058880</v>
      </c>
      <c r="L932">
        <v>0</v>
      </c>
      <c r="M932">
        <v>0</v>
      </c>
      <c r="N932">
        <v>93176476.799999997</v>
      </c>
      <c r="O932">
        <v>0</v>
      </c>
      <c r="P932">
        <v>0</v>
      </c>
      <c r="Q932">
        <v>0</v>
      </c>
      <c r="R932">
        <v>940235356.79999995</v>
      </c>
      <c r="S932">
        <v>271058880</v>
      </c>
      <c r="T932">
        <v>32.000004533332998</v>
      </c>
      <c r="U932" t="str">
        <f t="shared" si="14"/>
        <v>Week 1</v>
      </c>
    </row>
    <row r="933" spans="1:21" x14ac:dyDescent="0.25">
      <c r="A933">
        <v>932</v>
      </c>
      <c r="B933" t="s">
        <v>1734</v>
      </c>
      <c r="C933" s="1">
        <v>46027</v>
      </c>
      <c r="D933" t="s">
        <v>54</v>
      </c>
      <c r="E933" t="s">
        <v>1554</v>
      </c>
      <c r="F933" t="s">
        <v>23</v>
      </c>
      <c r="G933" t="s">
        <v>24</v>
      </c>
      <c r="H933" s="2">
        <v>1</v>
      </c>
      <c r="I933" t="s">
        <v>1735</v>
      </c>
      <c r="K933">
        <v>5050000</v>
      </c>
      <c r="L933">
        <v>0</v>
      </c>
      <c r="M933">
        <v>0</v>
      </c>
      <c r="N933">
        <v>555500</v>
      </c>
      <c r="O933">
        <v>0</v>
      </c>
      <c r="P933">
        <v>0</v>
      </c>
      <c r="Q933">
        <v>0</v>
      </c>
      <c r="R933">
        <v>5605500</v>
      </c>
      <c r="S933">
        <v>1050000</v>
      </c>
      <c r="T933">
        <v>20.792079207920999</v>
      </c>
      <c r="U933" t="str">
        <f t="shared" si="14"/>
        <v>Week 1</v>
      </c>
    </row>
    <row r="934" spans="1:21" x14ac:dyDescent="0.25">
      <c r="A934">
        <v>933</v>
      </c>
      <c r="B934" t="s">
        <v>1736</v>
      </c>
      <c r="C934" s="1">
        <v>46027</v>
      </c>
      <c r="D934" t="s">
        <v>33</v>
      </c>
      <c r="E934" t="s">
        <v>34</v>
      </c>
      <c r="F934" t="s">
        <v>23</v>
      </c>
      <c r="G934" t="s">
        <v>24</v>
      </c>
      <c r="H934" s="2">
        <v>1</v>
      </c>
      <c r="I934" t="s">
        <v>1737</v>
      </c>
      <c r="K934">
        <v>2322380.6306305998</v>
      </c>
      <c r="L934">
        <v>0</v>
      </c>
      <c r="M934">
        <v>0</v>
      </c>
      <c r="N934">
        <v>255461.86936936999</v>
      </c>
      <c r="O934">
        <v>0</v>
      </c>
      <c r="P934">
        <v>0</v>
      </c>
      <c r="Q934">
        <v>0</v>
      </c>
      <c r="R934">
        <v>2577842.5</v>
      </c>
      <c r="S934">
        <v>452420.12612610002</v>
      </c>
      <c r="T934">
        <v>19.48087751676</v>
      </c>
      <c r="U934" t="str">
        <f t="shared" si="14"/>
        <v>Week 1</v>
      </c>
    </row>
    <row r="935" spans="1:21" x14ac:dyDescent="0.25">
      <c r="A935">
        <v>934</v>
      </c>
      <c r="B935" t="s">
        <v>1738</v>
      </c>
      <c r="C935" s="1">
        <v>46027</v>
      </c>
      <c r="D935" t="s">
        <v>33</v>
      </c>
      <c r="E935" t="s">
        <v>34</v>
      </c>
      <c r="F935" t="s">
        <v>23</v>
      </c>
      <c r="G935" t="s">
        <v>24</v>
      </c>
      <c r="H935" s="2">
        <v>1</v>
      </c>
      <c r="I935" t="s">
        <v>1739</v>
      </c>
      <c r="K935">
        <v>51062500</v>
      </c>
      <c r="L935">
        <v>0</v>
      </c>
      <c r="M935">
        <v>0</v>
      </c>
      <c r="N935">
        <v>5616875</v>
      </c>
      <c r="O935">
        <v>0</v>
      </c>
      <c r="P935">
        <v>0</v>
      </c>
      <c r="Q935">
        <v>0</v>
      </c>
      <c r="R935">
        <v>56679375</v>
      </c>
      <c r="S935">
        <v>13062500</v>
      </c>
      <c r="T935">
        <v>25.581395348836999</v>
      </c>
      <c r="U935" t="str">
        <f t="shared" si="14"/>
        <v>Week 1</v>
      </c>
    </row>
    <row r="936" spans="1:21" x14ac:dyDescent="0.25">
      <c r="A936">
        <v>935</v>
      </c>
      <c r="B936" t="s">
        <v>1740</v>
      </c>
      <c r="C936" s="1">
        <v>46027</v>
      </c>
      <c r="D936" t="s">
        <v>21</v>
      </c>
      <c r="E936" t="s">
        <v>22</v>
      </c>
      <c r="F936" t="s">
        <v>23</v>
      </c>
      <c r="G936" t="s">
        <v>24</v>
      </c>
      <c r="H936" s="2">
        <v>1</v>
      </c>
      <c r="I936" t="s">
        <v>1741</v>
      </c>
      <c r="J936" t="s">
        <v>26</v>
      </c>
      <c r="K936">
        <v>29361325</v>
      </c>
      <c r="L936">
        <v>0</v>
      </c>
      <c r="M936">
        <v>0</v>
      </c>
      <c r="N936">
        <v>3229745.75</v>
      </c>
      <c r="O936">
        <v>0</v>
      </c>
      <c r="P936">
        <v>0</v>
      </c>
      <c r="Q936">
        <v>0</v>
      </c>
      <c r="R936">
        <v>32591070.75</v>
      </c>
      <c r="S936">
        <v>10210803.266577</v>
      </c>
      <c r="T936">
        <v>34.776370843538999</v>
      </c>
      <c r="U936" t="str">
        <f t="shared" si="14"/>
        <v>Week 1</v>
      </c>
    </row>
    <row r="937" spans="1:21" x14ac:dyDescent="0.25">
      <c r="A937">
        <v>936</v>
      </c>
      <c r="B937" t="s">
        <v>1742</v>
      </c>
      <c r="C937" s="1">
        <v>46027</v>
      </c>
      <c r="D937" t="s">
        <v>33</v>
      </c>
      <c r="E937" t="s">
        <v>34</v>
      </c>
      <c r="F937" t="s">
        <v>23</v>
      </c>
      <c r="G937" t="s">
        <v>24</v>
      </c>
      <c r="H937" s="2">
        <v>1</v>
      </c>
      <c r="I937" t="s">
        <v>1743</v>
      </c>
      <c r="K937">
        <v>360000</v>
      </c>
      <c r="L937">
        <v>0</v>
      </c>
      <c r="M937">
        <v>0</v>
      </c>
      <c r="N937">
        <v>39600</v>
      </c>
      <c r="O937">
        <v>0</v>
      </c>
      <c r="P937">
        <v>0</v>
      </c>
      <c r="Q937">
        <v>0</v>
      </c>
      <c r="R937">
        <v>399600</v>
      </c>
      <c r="S937">
        <v>126000</v>
      </c>
      <c r="T937">
        <v>35</v>
      </c>
      <c r="U937" t="str">
        <f t="shared" si="14"/>
        <v>Week 1</v>
      </c>
    </row>
    <row r="938" spans="1:21" x14ac:dyDescent="0.25">
      <c r="A938">
        <v>937</v>
      </c>
      <c r="B938" t="s">
        <v>1744</v>
      </c>
      <c r="C938" s="1">
        <v>46027</v>
      </c>
      <c r="D938" t="s">
        <v>37</v>
      </c>
      <c r="E938" t="s">
        <v>34</v>
      </c>
      <c r="F938" t="s">
        <v>23</v>
      </c>
      <c r="G938" t="s">
        <v>24</v>
      </c>
      <c r="H938" s="2">
        <v>1</v>
      </c>
      <c r="I938" t="s">
        <v>1745</v>
      </c>
      <c r="K938">
        <v>14505000</v>
      </c>
      <c r="L938">
        <v>0</v>
      </c>
      <c r="M938">
        <v>0</v>
      </c>
      <c r="N938">
        <v>1595550</v>
      </c>
      <c r="O938">
        <v>0</v>
      </c>
      <c r="P938">
        <v>0</v>
      </c>
      <c r="Q938">
        <v>0</v>
      </c>
      <c r="R938">
        <v>16100550</v>
      </c>
      <c r="S938">
        <v>5497454.8688514</v>
      </c>
      <c r="T938">
        <v>37.900412746303999</v>
      </c>
      <c r="U938" t="str">
        <f t="shared" si="14"/>
        <v>Week 1</v>
      </c>
    </row>
    <row r="939" spans="1:21" x14ac:dyDescent="0.25">
      <c r="A939">
        <v>938</v>
      </c>
      <c r="B939" t="s">
        <v>1746</v>
      </c>
      <c r="C939" s="1">
        <v>46027</v>
      </c>
      <c r="D939" t="s">
        <v>54</v>
      </c>
      <c r="E939" t="s">
        <v>1554</v>
      </c>
      <c r="F939" t="s">
        <v>23</v>
      </c>
      <c r="G939" t="s">
        <v>24</v>
      </c>
      <c r="H939" s="2">
        <v>1</v>
      </c>
      <c r="I939" t="s">
        <v>1747</v>
      </c>
      <c r="K939">
        <v>1168226000</v>
      </c>
      <c r="L939">
        <v>0</v>
      </c>
      <c r="M939">
        <v>0</v>
      </c>
      <c r="N939">
        <v>128504860</v>
      </c>
      <c r="O939">
        <v>0</v>
      </c>
      <c r="P939">
        <v>0</v>
      </c>
      <c r="Q939">
        <v>0</v>
      </c>
      <c r="R939">
        <v>1296730860</v>
      </c>
      <c r="S939">
        <v>426963807.95621997</v>
      </c>
      <c r="T939">
        <v>36.548048747092999</v>
      </c>
      <c r="U939" t="str">
        <f t="shared" si="14"/>
        <v>Week 1</v>
      </c>
    </row>
    <row r="940" spans="1:21" x14ac:dyDescent="0.25">
      <c r="A940">
        <v>939</v>
      </c>
      <c r="B940" t="s">
        <v>1748</v>
      </c>
      <c r="C940" s="1">
        <v>46027</v>
      </c>
      <c r="D940" t="s">
        <v>54</v>
      </c>
      <c r="E940" t="s">
        <v>22</v>
      </c>
      <c r="F940" t="s">
        <v>23</v>
      </c>
      <c r="G940" t="s">
        <v>24</v>
      </c>
      <c r="H940" s="2">
        <v>1</v>
      </c>
      <c r="I940" t="s">
        <v>1749</v>
      </c>
      <c r="K940">
        <v>7510000</v>
      </c>
      <c r="L940">
        <v>0</v>
      </c>
      <c r="M940">
        <v>0</v>
      </c>
      <c r="N940">
        <v>826100</v>
      </c>
      <c r="O940">
        <v>0</v>
      </c>
      <c r="P940">
        <v>0</v>
      </c>
      <c r="Q940">
        <v>0</v>
      </c>
      <c r="R940">
        <v>8336100</v>
      </c>
      <c r="S940">
        <v>3128558.5585586</v>
      </c>
      <c r="T940">
        <v>41.658569354973999</v>
      </c>
      <c r="U940" t="str">
        <f t="shared" si="14"/>
        <v>Week 1</v>
      </c>
    </row>
    <row r="941" spans="1:21" x14ac:dyDescent="0.25">
      <c r="A941">
        <v>940</v>
      </c>
      <c r="B941" t="s">
        <v>1750</v>
      </c>
      <c r="C941" s="1">
        <v>46027</v>
      </c>
      <c r="D941" t="s">
        <v>54</v>
      </c>
      <c r="E941" t="s">
        <v>1554</v>
      </c>
      <c r="F941" t="s">
        <v>23</v>
      </c>
      <c r="G941" t="s">
        <v>24</v>
      </c>
      <c r="H941" s="2">
        <v>1</v>
      </c>
      <c r="I941" t="s">
        <v>1751</v>
      </c>
      <c r="K941">
        <v>106135000</v>
      </c>
      <c r="L941">
        <v>0</v>
      </c>
      <c r="M941">
        <v>0</v>
      </c>
      <c r="N941">
        <v>11674850</v>
      </c>
      <c r="O941">
        <v>0</v>
      </c>
      <c r="P941">
        <v>0</v>
      </c>
      <c r="Q941">
        <v>0</v>
      </c>
      <c r="R941">
        <v>117809850</v>
      </c>
      <c r="S941">
        <v>15493468.470000001</v>
      </c>
      <c r="T941">
        <v>14.597888038818001</v>
      </c>
      <c r="U941" t="str">
        <f t="shared" si="14"/>
        <v>Week 1</v>
      </c>
    </row>
    <row r="942" spans="1:21" x14ac:dyDescent="0.25">
      <c r="A942">
        <v>941</v>
      </c>
      <c r="B942" t="s">
        <v>1752</v>
      </c>
      <c r="C942" s="1">
        <v>46027</v>
      </c>
      <c r="D942" t="s">
        <v>255</v>
      </c>
      <c r="E942" t="s">
        <v>22</v>
      </c>
      <c r="F942" t="s">
        <v>30</v>
      </c>
      <c r="G942" t="s">
        <v>24</v>
      </c>
      <c r="H942" s="2">
        <v>1</v>
      </c>
      <c r="I942" t="s">
        <v>1753</v>
      </c>
      <c r="J942" t="s">
        <v>57</v>
      </c>
      <c r="K942">
        <v>91052000</v>
      </c>
      <c r="L942">
        <v>0</v>
      </c>
      <c r="M942">
        <v>0</v>
      </c>
      <c r="N942">
        <v>10015720</v>
      </c>
      <c r="O942">
        <v>0</v>
      </c>
      <c r="P942">
        <v>0</v>
      </c>
      <c r="Q942">
        <v>0</v>
      </c>
      <c r="R942">
        <v>101067720</v>
      </c>
      <c r="S942">
        <v>2652000</v>
      </c>
      <c r="T942">
        <v>2.9126213592233001</v>
      </c>
      <c r="U942" t="str">
        <f t="shared" si="14"/>
        <v>Week 1</v>
      </c>
    </row>
    <row r="943" spans="1:21" x14ac:dyDescent="0.25">
      <c r="A943">
        <v>942</v>
      </c>
      <c r="B943" t="s">
        <v>1754</v>
      </c>
      <c r="C943" s="1">
        <v>46027</v>
      </c>
      <c r="D943" t="s">
        <v>54</v>
      </c>
      <c r="E943" t="s">
        <v>1554</v>
      </c>
      <c r="F943" t="s">
        <v>23</v>
      </c>
      <c r="G943" t="s">
        <v>24</v>
      </c>
      <c r="H943" s="2">
        <v>1</v>
      </c>
      <c r="I943" t="s">
        <v>1755</v>
      </c>
      <c r="K943">
        <v>9392208</v>
      </c>
      <c r="L943">
        <v>0</v>
      </c>
      <c r="M943">
        <v>0</v>
      </c>
      <c r="N943">
        <v>1033142.88</v>
      </c>
      <c r="O943">
        <v>0</v>
      </c>
      <c r="P943">
        <v>0</v>
      </c>
      <c r="Q943">
        <v>0</v>
      </c>
      <c r="R943">
        <v>10425350.880000001</v>
      </c>
      <c r="S943">
        <v>5095968</v>
      </c>
      <c r="T943">
        <v>54.257401454482</v>
      </c>
      <c r="U943" t="str">
        <f t="shared" si="14"/>
        <v>Week 1</v>
      </c>
    </row>
    <row r="944" spans="1:21" x14ac:dyDescent="0.25">
      <c r="A944">
        <v>943</v>
      </c>
      <c r="B944" t="s">
        <v>1756</v>
      </c>
      <c r="C944" s="1">
        <v>46027</v>
      </c>
      <c r="D944" t="s">
        <v>33</v>
      </c>
      <c r="E944" t="s">
        <v>1554</v>
      </c>
      <c r="F944" t="s">
        <v>23</v>
      </c>
      <c r="G944" t="s">
        <v>24</v>
      </c>
      <c r="H944" s="2">
        <v>1</v>
      </c>
      <c r="I944" t="s">
        <v>1757</v>
      </c>
      <c r="K944">
        <v>52000</v>
      </c>
      <c r="L944">
        <v>0</v>
      </c>
      <c r="M944">
        <v>0</v>
      </c>
      <c r="N944">
        <v>5720</v>
      </c>
      <c r="O944">
        <v>0</v>
      </c>
      <c r="P944">
        <v>0</v>
      </c>
      <c r="Q944">
        <v>0</v>
      </c>
      <c r="R944">
        <v>57720</v>
      </c>
      <c r="S944">
        <v>40569</v>
      </c>
      <c r="T944">
        <v>78.017307692307995</v>
      </c>
      <c r="U944" t="str">
        <f t="shared" si="14"/>
        <v>Week 1</v>
      </c>
    </row>
    <row r="945" spans="1:21" x14ac:dyDescent="0.25">
      <c r="A945">
        <v>944</v>
      </c>
      <c r="B945" t="s">
        <v>1758</v>
      </c>
      <c r="C945" s="1">
        <v>46027</v>
      </c>
      <c r="D945" t="s">
        <v>1341</v>
      </c>
      <c r="E945" t="s">
        <v>22</v>
      </c>
      <c r="F945" t="s">
        <v>30</v>
      </c>
      <c r="G945" t="s">
        <v>24</v>
      </c>
      <c r="H945" s="2">
        <v>1</v>
      </c>
      <c r="I945" t="s">
        <v>1759</v>
      </c>
      <c r="J945" t="s">
        <v>26</v>
      </c>
      <c r="K945">
        <v>427000</v>
      </c>
      <c r="L945">
        <v>0</v>
      </c>
      <c r="M945">
        <v>0</v>
      </c>
      <c r="N945">
        <v>46970</v>
      </c>
      <c r="O945">
        <v>0</v>
      </c>
      <c r="P945">
        <v>0</v>
      </c>
      <c r="Q945">
        <v>0</v>
      </c>
      <c r="R945">
        <v>473970</v>
      </c>
      <c r="S945">
        <v>12810</v>
      </c>
      <c r="T945">
        <v>3</v>
      </c>
      <c r="U945" t="str">
        <f t="shared" si="14"/>
        <v>Week 1</v>
      </c>
    </row>
    <row r="946" spans="1:21" x14ac:dyDescent="0.25">
      <c r="A946">
        <v>945</v>
      </c>
      <c r="B946" t="s">
        <v>1760</v>
      </c>
      <c r="C946" s="1">
        <v>46027</v>
      </c>
      <c r="D946" t="s">
        <v>1761</v>
      </c>
      <c r="E946" t="s">
        <v>22</v>
      </c>
      <c r="F946" t="s">
        <v>30</v>
      </c>
      <c r="G946" t="s">
        <v>24</v>
      </c>
      <c r="H946" s="2">
        <v>1</v>
      </c>
      <c r="I946" t="s">
        <v>1762</v>
      </c>
      <c r="J946" t="s">
        <v>26</v>
      </c>
      <c r="K946">
        <v>427000</v>
      </c>
      <c r="L946">
        <v>0</v>
      </c>
      <c r="M946">
        <v>0</v>
      </c>
      <c r="N946">
        <v>46970</v>
      </c>
      <c r="O946">
        <v>0</v>
      </c>
      <c r="P946">
        <v>0</v>
      </c>
      <c r="Q946">
        <v>0</v>
      </c>
      <c r="R946">
        <v>473970</v>
      </c>
      <c r="S946">
        <v>12810</v>
      </c>
      <c r="T946">
        <v>3</v>
      </c>
      <c r="U946" t="str">
        <f t="shared" si="14"/>
        <v>Week 1</v>
      </c>
    </row>
    <row r="947" spans="1:21" x14ac:dyDescent="0.25">
      <c r="A947">
        <v>946</v>
      </c>
      <c r="B947" t="s">
        <v>1763</v>
      </c>
      <c r="C947" s="1">
        <v>46027</v>
      </c>
      <c r="D947" t="s">
        <v>204</v>
      </c>
      <c r="E947" t="s">
        <v>22</v>
      </c>
      <c r="F947" t="s">
        <v>265</v>
      </c>
      <c r="G947" t="s">
        <v>24</v>
      </c>
      <c r="H947" s="2">
        <v>1</v>
      </c>
      <c r="I947" t="s">
        <v>1764</v>
      </c>
      <c r="J947" t="s">
        <v>26</v>
      </c>
      <c r="K947">
        <v>17080000</v>
      </c>
      <c r="L947">
        <v>0</v>
      </c>
      <c r="M947">
        <v>0</v>
      </c>
      <c r="N947">
        <v>1878800</v>
      </c>
      <c r="O947">
        <v>0</v>
      </c>
      <c r="P947">
        <v>0</v>
      </c>
      <c r="Q947">
        <v>0</v>
      </c>
      <c r="R947">
        <v>18958800</v>
      </c>
      <c r="S947">
        <v>6340315.3399999999</v>
      </c>
      <c r="T947">
        <v>37.121284192037002</v>
      </c>
      <c r="U947" t="str">
        <f t="shared" si="14"/>
        <v>Week 1</v>
      </c>
    </row>
    <row r="948" spans="1:21" x14ac:dyDescent="0.25">
      <c r="A948">
        <v>947</v>
      </c>
      <c r="B948" t="s">
        <v>1765</v>
      </c>
      <c r="C948" s="1">
        <v>46027</v>
      </c>
      <c r="D948" t="s">
        <v>21</v>
      </c>
      <c r="E948" t="s">
        <v>22</v>
      </c>
      <c r="F948" t="s">
        <v>30</v>
      </c>
      <c r="G948" t="s">
        <v>24</v>
      </c>
      <c r="H948" s="2">
        <v>1</v>
      </c>
      <c r="I948" t="s">
        <v>1766</v>
      </c>
      <c r="J948" t="s">
        <v>26</v>
      </c>
      <c r="K948">
        <v>213659.6</v>
      </c>
      <c r="L948">
        <v>0</v>
      </c>
      <c r="M948">
        <v>0</v>
      </c>
      <c r="N948">
        <v>23502.556</v>
      </c>
      <c r="O948">
        <v>0</v>
      </c>
      <c r="P948">
        <v>0</v>
      </c>
      <c r="Q948">
        <v>0</v>
      </c>
      <c r="R948">
        <v>237162.15599999999</v>
      </c>
      <c r="S948">
        <v>71317.260900900001</v>
      </c>
      <c r="T948">
        <v>33.378917165856002</v>
      </c>
      <c r="U948" t="str">
        <f t="shared" si="14"/>
        <v>Week 1</v>
      </c>
    </row>
    <row r="949" spans="1:21" x14ac:dyDescent="0.25">
      <c r="A949">
        <v>948</v>
      </c>
      <c r="B949" t="s">
        <v>1767</v>
      </c>
      <c r="C949" s="1">
        <v>46027</v>
      </c>
      <c r="D949" t="s">
        <v>323</v>
      </c>
      <c r="E949" t="s">
        <v>34</v>
      </c>
      <c r="F949" t="s">
        <v>265</v>
      </c>
      <c r="G949" t="s">
        <v>24</v>
      </c>
      <c r="H949" s="2">
        <v>1</v>
      </c>
      <c r="I949" t="s">
        <v>1768</v>
      </c>
      <c r="K949">
        <v>2360990.2400000002</v>
      </c>
      <c r="L949">
        <v>0</v>
      </c>
      <c r="M949">
        <v>0</v>
      </c>
      <c r="N949">
        <v>259708.9264</v>
      </c>
      <c r="O949">
        <v>0</v>
      </c>
      <c r="P949">
        <v>0</v>
      </c>
      <c r="Q949">
        <v>0</v>
      </c>
      <c r="R949">
        <v>2620699.1664</v>
      </c>
      <c r="S949">
        <v>296490.23999999999</v>
      </c>
      <c r="T949">
        <v>12.557876562843999</v>
      </c>
      <c r="U949" t="str">
        <f t="shared" si="14"/>
        <v>Week 1</v>
      </c>
    </row>
    <row r="950" spans="1:21" x14ac:dyDescent="0.25">
      <c r="A950">
        <v>949</v>
      </c>
      <c r="B950" t="s">
        <v>1769</v>
      </c>
      <c r="C950" s="1">
        <v>46027</v>
      </c>
      <c r="D950" t="s">
        <v>33</v>
      </c>
      <c r="E950" t="s">
        <v>1554</v>
      </c>
      <c r="F950" t="s">
        <v>23</v>
      </c>
      <c r="G950" t="s">
        <v>24</v>
      </c>
      <c r="H950" s="2">
        <v>1</v>
      </c>
      <c r="I950" t="s">
        <v>1770</v>
      </c>
      <c r="K950">
        <v>140532500</v>
      </c>
      <c r="L950">
        <v>0</v>
      </c>
      <c r="M950">
        <v>0</v>
      </c>
      <c r="N950">
        <v>15458575</v>
      </c>
      <c r="O950">
        <v>0</v>
      </c>
      <c r="P950">
        <v>0</v>
      </c>
      <c r="Q950">
        <v>0</v>
      </c>
      <c r="R950">
        <v>155991075</v>
      </c>
      <c r="S950">
        <v>32471500</v>
      </c>
      <c r="T950">
        <v>23.106043086119001</v>
      </c>
      <c r="U950" t="str">
        <f t="shared" si="14"/>
        <v>Week 1</v>
      </c>
    </row>
    <row r="951" spans="1:21" x14ac:dyDescent="0.25">
      <c r="A951">
        <v>950</v>
      </c>
      <c r="B951" t="s">
        <v>1771</v>
      </c>
      <c r="C951" s="1">
        <v>46027</v>
      </c>
      <c r="D951" t="s">
        <v>54</v>
      </c>
      <c r="E951" t="s">
        <v>1554</v>
      </c>
      <c r="F951" t="s">
        <v>23</v>
      </c>
      <c r="G951" t="s">
        <v>24</v>
      </c>
      <c r="H951" s="2">
        <v>1</v>
      </c>
      <c r="I951" t="s">
        <v>1772</v>
      </c>
      <c r="K951">
        <v>10447500.359999999</v>
      </c>
      <c r="L951">
        <v>0</v>
      </c>
      <c r="M951">
        <v>0</v>
      </c>
      <c r="N951">
        <v>1149225.0396</v>
      </c>
      <c r="O951">
        <v>0</v>
      </c>
      <c r="P951">
        <v>0</v>
      </c>
      <c r="Q951">
        <v>0</v>
      </c>
      <c r="R951">
        <v>11596725.399599999</v>
      </c>
      <c r="S951">
        <v>2917770.36</v>
      </c>
      <c r="T951">
        <v>27.927927824449998</v>
      </c>
      <c r="U951" t="str">
        <f t="shared" si="14"/>
        <v>Week 1</v>
      </c>
    </row>
    <row r="952" spans="1:21" x14ac:dyDescent="0.25">
      <c r="A952">
        <v>951</v>
      </c>
      <c r="B952" t="s">
        <v>1773</v>
      </c>
      <c r="C952" s="1">
        <v>46025</v>
      </c>
      <c r="D952" t="s">
        <v>37</v>
      </c>
      <c r="E952" t="s">
        <v>34</v>
      </c>
      <c r="F952" t="s">
        <v>23</v>
      </c>
      <c r="G952" t="s">
        <v>24</v>
      </c>
      <c r="H952" s="2">
        <v>1</v>
      </c>
      <c r="I952" t="s">
        <v>1774</v>
      </c>
      <c r="K952">
        <v>28656000</v>
      </c>
      <c r="L952">
        <v>0</v>
      </c>
      <c r="M952">
        <v>0</v>
      </c>
      <c r="N952">
        <v>3152160</v>
      </c>
      <c r="O952">
        <v>0</v>
      </c>
      <c r="P952">
        <v>0</v>
      </c>
      <c r="Q952">
        <v>0</v>
      </c>
      <c r="R952">
        <v>31808160</v>
      </c>
      <c r="S952">
        <v>17753693.699999999</v>
      </c>
      <c r="T952">
        <v>61.954542504187998</v>
      </c>
      <c r="U952" t="str">
        <f t="shared" si="14"/>
        <v>Week 1</v>
      </c>
    </row>
    <row r="953" spans="1:21" x14ac:dyDescent="0.25">
      <c r="A953">
        <v>952</v>
      </c>
      <c r="B953" t="s">
        <v>1775</v>
      </c>
      <c r="C953" s="1">
        <v>46025</v>
      </c>
      <c r="D953" t="s">
        <v>33</v>
      </c>
      <c r="E953" t="s">
        <v>34</v>
      </c>
      <c r="F953" t="s">
        <v>30</v>
      </c>
      <c r="G953" t="s">
        <v>24</v>
      </c>
      <c r="H953" s="2">
        <v>1</v>
      </c>
      <c r="I953" t="s">
        <v>1776</v>
      </c>
      <c r="K953">
        <v>8064858</v>
      </c>
      <c r="L953">
        <v>0</v>
      </c>
      <c r="M953">
        <v>0</v>
      </c>
      <c r="N953">
        <v>887134.38</v>
      </c>
      <c r="O953">
        <v>0</v>
      </c>
      <c r="P953">
        <v>0</v>
      </c>
      <c r="Q953">
        <v>0</v>
      </c>
      <c r="R953">
        <v>8951992.3800000008</v>
      </c>
      <c r="S953">
        <v>2005482</v>
      </c>
      <c r="T953">
        <v>24.866922641415002</v>
      </c>
      <c r="U953" t="str">
        <f t="shared" si="14"/>
        <v>Week 1</v>
      </c>
    </row>
    <row r="954" spans="1:21" x14ac:dyDescent="0.25">
      <c r="A954">
        <v>953</v>
      </c>
      <c r="B954" t="s">
        <v>1777</v>
      </c>
      <c r="C954" s="1">
        <v>46025</v>
      </c>
      <c r="D954" t="s">
        <v>33</v>
      </c>
      <c r="E954" t="s">
        <v>34</v>
      </c>
      <c r="F954" t="s">
        <v>30</v>
      </c>
      <c r="G954" t="s">
        <v>24</v>
      </c>
      <c r="H954" s="2">
        <v>1</v>
      </c>
      <c r="I954" t="s">
        <v>1778</v>
      </c>
      <c r="K954">
        <v>1470000</v>
      </c>
      <c r="L954">
        <v>0</v>
      </c>
      <c r="M954">
        <v>0</v>
      </c>
      <c r="N954">
        <v>161700</v>
      </c>
      <c r="O954">
        <v>0</v>
      </c>
      <c r="P954">
        <v>0</v>
      </c>
      <c r="Q954">
        <v>0</v>
      </c>
      <c r="R954">
        <v>1631700</v>
      </c>
      <c r="S954">
        <v>1070000</v>
      </c>
      <c r="T954">
        <v>72.789115646259006</v>
      </c>
      <c r="U954" t="str">
        <f t="shared" si="14"/>
        <v>Week 1</v>
      </c>
    </row>
    <row r="955" spans="1:21" x14ac:dyDescent="0.25">
      <c r="A955">
        <v>954</v>
      </c>
      <c r="B955" t="s">
        <v>1779</v>
      </c>
      <c r="C955" s="1">
        <v>46025</v>
      </c>
      <c r="D955" t="s">
        <v>33</v>
      </c>
      <c r="E955" t="s">
        <v>34</v>
      </c>
      <c r="F955" t="s">
        <v>30</v>
      </c>
      <c r="G955" t="s">
        <v>24</v>
      </c>
      <c r="H955" s="2">
        <v>1</v>
      </c>
      <c r="I955" t="s">
        <v>1780</v>
      </c>
      <c r="K955">
        <v>2003904</v>
      </c>
      <c r="L955">
        <v>0</v>
      </c>
      <c r="M955">
        <v>0</v>
      </c>
      <c r="N955">
        <v>220429.44</v>
      </c>
      <c r="O955">
        <v>0</v>
      </c>
      <c r="P955">
        <v>0</v>
      </c>
      <c r="Q955">
        <v>0</v>
      </c>
      <c r="R955">
        <v>2224333.44</v>
      </c>
      <c r="S955">
        <v>1293904</v>
      </c>
      <c r="T955">
        <v>64.569160997731998</v>
      </c>
      <c r="U955" t="str">
        <f t="shared" si="14"/>
        <v>Week 1</v>
      </c>
    </row>
    <row r="956" spans="1:21" x14ac:dyDescent="0.25">
      <c r="A956">
        <v>955</v>
      </c>
      <c r="B956" t="s">
        <v>1781</v>
      </c>
      <c r="C956" s="1">
        <v>46025</v>
      </c>
      <c r="D956" t="s">
        <v>33</v>
      </c>
      <c r="E956" t="s">
        <v>34</v>
      </c>
      <c r="F956" t="s">
        <v>30</v>
      </c>
      <c r="G956" t="s">
        <v>24</v>
      </c>
      <c r="H956" s="2">
        <v>1</v>
      </c>
      <c r="I956" t="s">
        <v>1782</v>
      </c>
      <c r="K956">
        <v>30226380</v>
      </c>
      <c r="L956">
        <v>0</v>
      </c>
      <c r="M956">
        <v>0</v>
      </c>
      <c r="N956">
        <v>3324901.8</v>
      </c>
      <c r="O956">
        <v>0</v>
      </c>
      <c r="P956">
        <v>0</v>
      </c>
      <c r="Q956">
        <v>0</v>
      </c>
      <c r="R956">
        <v>33551281.800000001</v>
      </c>
      <c r="S956">
        <v>880380</v>
      </c>
      <c r="T956">
        <v>2.9126213592233001</v>
      </c>
      <c r="U956" t="str">
        <f t="shared" si="14"/>
        <v>Week 1</v>
      </c>
    </row>
    <row r="957" spans="1:21" x14ac:dyDescent="0.25">
      <c r="A957">
        <v>956</v>
      </c>
      <c r="B957" t="s">
        <v>1783</v>
      </c>
      <c r="C957" s="1">
        <v>46025</v>
      </c>
      <c r="D957" t="s">
        <v>33</v>
      </c>
      <c r="E957" t="s">
        <v>34</v>
      </c>
      <c r="F957" t="s">
        <v>30</v>
      </c>
      <c r="G957" t="s">
        <v>24</v>
      </c>
      <c r="H957" s="2">
        <v>1</v>
      </c>
      <c r="I957" t="s">
        <v>1784</v>
      </c>
      <c r="K957">
        <v>8543850</v>
      </c>
      <c r="L957">
        <v>0</v>
      </c>
      <c r="M957">
        <v>0</v>
      </c>
      <c r="N957">
        <v>939823.5</v>
      </c>
      <c r="O957">
        <v>0</v>
      </c>
      <c r="P957">
        <v>0</v>
      </c>
      <c r="Q957">
        <v>0</v>
      </c>
      <c r="R957">
        <v>9483673.5</v>
      </c>
      <c r="S957">
        <v>-1046150</v>
      </c>
      <c r="T957">
        <v>-12.244479947565001</v>
      </c>
      <c r="U957" t="str">
        <f t="shared" si="14"/>
        <v>Week 1</v>
      </c>
    </row>
    <row r="958" spans="1:21" x14ac:dyDescent="0.25">
      <c r="A958">
        <v>957</v>
      </c>
      <c r="B958" t="s">
        <v>1785</v>
      </c>
      <c r="C958" s="1">
        <v>46025</v>
      </c>
      <c r="D958" t="s">
        <v>186</v>
      </c>
      <c r="E958" t="s">
        <v>100</v>
      </c>
      <c r="F958" t="s">
        <v>30</v>
      </c>
      <c r="G958" t="s">
        <v>24</v>
      </c>
      <c r="H958" s="2">
        <v>1</v>
      </c>
      <c r="I958" t="s">
        <v>1786</v>
      </c>
      <c r="J958" t="s">
        <v>26</v>
      </c>
      <c r="K958">
        <v>790525</v>
      </c>
      <c r="L958">
        <v>0</v>
      </c>
      <c r="M958">
        <v>0</v>
      </c>
      <c r="N958">
        <v>86957.75</v>
      </c>
      <c r="O958">
        <v>0</v>
      </c>
      <c r="P958">
        <v>0</v>
      </c>
      <c r="Q958">
        <v>0</v>
      </c>
      <c r="R958">
        <v>877482.75</v>
      </c>
      <c r="S958">
        <v>86475</v>
      </c>
      <c r="T958">
        <v>10.938932987572</v>
      </c>
      <c r="U958" t="str">
        <f t="shared" si="14"/>
        <v>Week 1</v>
      </c>
    </row>
    <row r="959" spans="1:21" x14ac:dyDescent="0.25">
      <c r="A959">
        <v>958</v>
      </c>
      <c r="B959" t="s">
        <v>1787</v>
      </c>
      <c r="C959" s="1">
        <v>46025</v>
      </c>
      <c r="D959" t="s">
        <v>33</v>
      </c>
      <c r="E959" t="s">
        <v>34</v>
      </c>
      <c r="F959" t="s">
        <v>30</v>
      </c>
      <c r="G959" t="s">
        <v>24</v>
      </c>
      <c r="H959" s="2">
        <v>1</v>
      </c>
      <c r="I959" t="s">
        <v>1788</v>
      </c>
      <c r="K959">
        <v>69545930</v>
      </c>
      <c r="L959">
        <v>0</v>
      </c>
      <c r="M959">
        <v>0</v>
      </c>
      <c r="N959">
        <v>7650052.2999999998</v>
      </c>
      <c r="O959">
        <v>0</v>
      </c>
      <c r="P959">
        <v>0</v>
      </c>
      <c r="Q959">
        <v>0</v>
      </c>
      <c r="R959">
        <v>77195982.299999997</v>
      </c>
      <c r="S959">
        <v>12465930</v>
      </c>
      <c r="T959">
        <v>17.924744122338002</v>
      </c>
      <c r="U959" t="str">
        <f t="shared" si="14"/>
        <v>Week 1</v>
      </c>
    </row>
    <row r="960" spans="1:21" x14ac:dyDescent="0.25">
      <c r="A960">
        <v>959</v>
      </c>
      <c r="B960" t="s">
        <v>1789</v>
      </c>
      <c r="C960" s="1">
        <v>46025</v>
      </c>
      <c r="D960" t="s">
        <v>33</v>
      </c>
      <c r="E960" t="s">
        <v>34</v>
      </c>
      <c r="F960" t="s">
        <v>30</v>
      </c>
      <c r="G960" t="s">
        <v>24</v>
      </c>
      <c r="H960" s="2">
        <v>1</v>
      </c>
      <c r="I960" t="s">
        <v>1790</v>
      </c>
      <c r="K960">
        <v>835205</v>
      </c>
      <c r="L960">
        <v>0</v>
      </c>
      <c r="M960">
        <v>0</v>
      </c>
      <c r="N960">
        <v>91872.55</v>
      </c>
      <c r="O960">
        <v>0</v>
      </c>
      <c r="P960">
        <v>0</v>
      </c>
      <c r="Q960">
        <v>0</v>
      </c>
      <c r="R960">
        <v>927077.55</v>
      </c>
      <c r="S960">
        <v>214521</v>
      </c>
      <c r="T960">
        <v>25.684831867625</v>
      </c>
      <c r="U960" t="str">
        <f t="shared" si="14"/>
        <v>Week 1</v>
      </c>
    </row>
    <row r="961" spans="1:21" x14ac:dyDescent="0.25">
      <c r="A961">
        <v>960</v>
      </c>
      <c r="B961" t="s">
        <v>1791</v>
      </c>
      <c r="C961" s="1">
        <v>46025</v>
      </c>
      <c r="D961" t="s">
        <v>33</v>
      </c>
      <c r="E961" t="s">
        <v>34</v>
      </c>
      <c r="F961" t="s">
        <v>30</v>
      </c>
      <c r="G961" t="s">
        <v>24</v>
      </c>
      <c r="H961" s="2">
        <v>1</v>
      </c>
      <c r="I961" t="s">
        <v>1792</v>
      </c>
      <c r="K961">
        <v>617400</v>
      </c>
      <c r="L961">
        <v>0</v>
      </c>
      <c r="M961">
        <v>0</v>
      </c>
      <c r="N961">
        <v>67914</v>
      </c>
      <c r="O961">
        <v>0</v>
      </c>
      <c r="P961">
        <v>0</v>
      </c>
      <c r="Q961">
        <v>0</v>
      </c>
      <c r="R961">
        <v>685314</v>
      </c>
      <c r="S961">
        <v>342200</v>
      </c>
      <c r="T961">
        <v>55.425979915775997</v>
      </c>
      <c r="U961" t="str">
        <f t="shared" si="14"/>
        <v>Week 1</v>
      </c>
    </row>
    <row r="962" spans="1:21" x14ac:dyDescent="0.25">
      <c r="A962">
        <v>961</v>
      </c>
      <c r="B962" t="s">
        <v>1793</v>
      </c>
      <c r="C962" s="1">
        <v>46025</v>
      </c>
      <c r="D962" t="s">
        <v>33</v>
      </c>
      <c r="E962" t="s">
        <v>34</v>
      </c>
      <c r="F962" t="s">
        <v>30</v>
      </c>
      <c r="G962" t="s">
        <v>24</v>
      </c>
      <c r="H962" s="2">
        <v>1</v>
      </c>
      <c r="I962" t="s">
        <v>1794</v>
      </c>
      <c r="K962">
        <v>9523542</v>
      </c>
      <c r="L962">
        <v>0</v>
      </c>
      <c r="M962">
        <v>0</v>
      </c>
      <c r="N962">
        <v>1047589.62</v>
      </c>
      <c r="O962">
        <v>0</v>
      </c>
      <c r="P962">
        <v>0</v>
      </c>
      <c r="Q962">
        <v>0</v>
      </c>
      <c r="R962">
        <v>10571131.619999999</v>
      </c>
      <c r="S962">
        <v>3593542</v>
      </c>
      <c r="T962">
        <v>37.733250927019</v>
      </c>
      <c r="U962" t="str">
        <f t="shared" si="14"/>
        <v>Week 1</v>
      </c>
    </row>
    <row r="963" spans="1:21" x14ac:dyDescent="0.25">
      <c r="A963">
        <v>962</v>
      </c>
      <c r="B963" t="s">
        <v>1795</v>
      </c>
      <c r="C963" s="1">
        <v>46025</v>
      </c>
      <c r="D963" t="s">
        <v>33</v>
      </c>
      <c r="E963" t="s">
        <v>34</v>
      </c>
      <c r="F963" t="s">
        <v>30</v>
      </c>
      <c r="G963" t="s">
        <v>24</v>
      </c>
      <c r="H963" s="2">
        <v>1</v>
      </c>
      <c r="I963" t="s">
        <v>1796</v>
      </c>
      <c r="K963">
        <v>13913240</v>
      </c>
      <c r="L963">
        <v>0</v>
      </c>
      <c r="M963">
        <v>0</v>
      </c>
      <c r="N963">
        <v>1530456.4</v>
      </c>
      <c r="O963">
        <v>0</v>
      </c>
      <c r="P963">
        <v>0</v>
      </c>
      <c r="Q963">
        <v>0</v>
      </c>
      <c r="R963">
        <v>15443696.4</v>
      </c>
      <c r="S963">
        <v>1961888.6486487</v>
      </c>
      <c r="T963">
        <v>14.100875487295999</v>
      </c>
      <c r="U963" t="str">
        <f t="shared" ref="U963:U1026" si="15">"Week " &amp;IF(DAY(C963)&gt;=24,4,INT((DAY(C963)-1)/7)+1)</f>
        <v>Week 1</v>
      </c>
    </row>
    <row r="964" spans="1:21" x14ac:dyDescent="0.25">
      <c r="A964">
        <v>963</v>
      </c>
      <c r="B964" t="s">
        <v>1797</v>
      </c>
      <c r="C964" s="1">
        <v>46025</v>
      </c>
      <c r="D964" t="s">
        <v>33</v>
      </c>
      <c r="E964" t="s">
        <v>34</v>
      </c>
      <c r="F964" t="s">
        <v>30</v>
      </c>
      <c r="G964" t="s">
        <v>24</v>
      </c>
      <c r="H964" s="2">
        <v>1</v>
      </c>
      <c r="I964" t="s">
        <v>1558</v>
      </c>
      <c r="K964">
        <v>59748185.539999999</v>
      </c>
      <c r="L964">
        <v>0</v>
      </c>
      <c r="M964">
        <v>0</v>
      </c>
      <c r="N964">
        <v>6572300.4094000002</v>
      </c>
      <c r="O964">
        <v>0</v>
      </c>
      <c r="P964">
        <v>0</v>
      </c>
      <c r="Q964">
        <v>0</v>
      </c>
      <c r="R964">
        <v>66320485.9494</v>
      </c>
      <c r="S964">
        <v>17279164.519000001</v>
      </c>
      <c r="T964">
        <v>28.919982025951001</v>
      </c>
      <c r="U964" t="str">
        <f t="shared" si="15"/>
        <v>Week 1</v>
      </c>
    </row>
    <row r="965" spans="1:21" x14ac:dyDescent="0.25">
      <c r="A965">
        <v>964</v>
      </c>
      <c r="B965" t="s">
        <v>1798</v>
      </c>
      <c r="C965" s="1">
        <v>46025</v>
      </c>
      <c r="D965" t="s">
        <v>33</v>
      </c>
      <c r="E965" t="s">
        <v>34</v>
      </c>
      <c r="F965" t="s">
        <v>30</v>
      </c>
      <c r="G965" t="s">
        <v>24</v>
      </c>
      <c r="H965" s="2">
        <v>1</v>
      </c>
      <c r="I965" t="s">
        <v>1799</v>
      </c>
      <c r="K965">
        <v>5306700</v>
      </c>
      <c r="L965">
        <v>0</v>
      </c>
      <c r="M965">
        <v>0</v>
      </c>
      <c r="N965">
        <v>583737</v>
      </c>
      <c r="O965">
        <v>0</v>
      </c>
      <c r="P965">
        <v>0</v>
      </c>
      <c r="Q965">
        <v>0</v>
      </c>
      <c r="R965">
        <v>5890437</v>
      </c>
      <c r="S965">
        <v>2207800.9009008999</v>
      </c>
      <c r="T965">
        <v>41.604027001732</v>
      </c>
      <c r="U965" t="str">
        <f t="shared" si="15"/>
        <v>Week 1</v>
      </c>
    </row>
    <row r="966" spans="1:21" x14ac:dyDescent="0.25">
      <c r="A966">
        <v>965</v>
      </c>
      <c r="B966" t="s">
        <v>1800</v>
      </c>
      <c r="C966" s="1">
        <v>46025</v>
      </c>
      <c r="D966" t="s">
        <v>33</v>
      </c>
      <c r="E966" t="s">
        <v>34</v>
      </c>
      <c r="F966" t="s">
        <v>30</v>
      </c>
      <c r="G966" t="s">
        <v>24</v>
      </c>
      <c r="H966" s="2">
        <v>1</v>
      </c>
      <c r="I966" t="s">
        <v>1801</v>
      </c>
      <c r="J966" t="s">
        <v>57</v>
      </c>
      <c r="K966">
        <v>125994564.88</v>
      </c>
      <c r="L966">
        <v>0</v>
      </c>
      <c r="M966">
        <v>0</v>
      </c>
      <c r="N966">
        <v>13859402.1368</v>
      </c>
      <c r="O966">
        <v>0</v>
      </c>
      <c r="P966">
        <v>0</v>
      </c>
      <c r="Q966">
        <v>0</v>
      </c>
      <c r="R966">
        <v>139853967.01679999</v>
      </c>
      <c r="S966">
        <v>17886456.771892</v>
      </c>
      <c r="T966">
        <v>14.196212978653</v>
      </c>
      <c r="U966" t="str">
        <f t="shared" si="15"/>
        <v>Week 1</v>
      </c>
    </row>
    <row r="967" spans="1:21" x14ac:dyDescent="0.25">
      <c r="A967">
        <v>966</v>
      </c>
      <c r="B967" t="s">
        <v>1802</v>
      </c>
      <c r="C967" s="1">
        <v>46025</v>
      </c>
      <c r="D967" t="s">
        <v>171</v>
      </c>
      <c r="E967" t="s">
        <v>100</v>
      </c>
      <c r="F967" t="s">
        <v>30</v>
      </c>
      <c r="G967" t="s">
        <v>24</v>
      </c>
      <c r="H967" s="2">
        <v>1</v>
      </c>
      <c r="I967" t="s">
        <v>1803</v>
      </c>
      <c r="K967">
        <v>161957253</v>
      </c>
      <c r="L967">
        <v>0</v>
      </c>
      <c r="M967">
        <v>0</v>
      </c>
      <c r="N967">
        <v>17815297.829999998</v>
      </c>
      <c r="O967">
        <v>0</v>
      </c>
      <c r="P967">
        <v>0</v>
      </c>
      <c r="Q967">
        <v>0</v>
      </c>
      <c r="R967">
        <v>179772550.83000001</v>
      </c>
      <c r="S967">
        <v>68006249</v>
      </c>
      <c r="T967">
        <v>41.990246031155003</v>
      </c>
      <c r="U967" t="str">
        <f t="shared" si="15"/>
        <v>Week 1</v>
      </c>
    </row>
    <row r="968" spans="1:21" x14ac:dyDescent="0.25">
      <c r="A968">
        <v>967</v>
      </c>
      <c r="B968" t="s">
        <v>1804</v>
      </c>
      <c r="C968" s="1">
        <v>46024</v>
      </c>
      <c r="D968" t="s">
        <v>54</v>
      </c>
      <c r="E968" t="s">
        <v>1554</v>
      </c>
      <c r="F968" t="s">
        <v>30</v>
      </c>
      <c r="G968" t="s">
        <v>24</v>
      </c>
      <c r="H968" s="2">
        <v>1</v>
      </c>
      <c r="I968" t="s">
        <v>1805</v>
      </c>
      <c r="K968">
        <v>6730000</v>
      </c>
      <c r="L968">
        <v>0</v>
      </c>
      <c r="M968">
        <v>0</v>
      </c>
      <c r="N968">
        <v>740300</v>
      </c>
      <c r="O968">
        <v>0</v>
      </c>
      <c r="P968">
        <v>0</v>
      </c>
      <c r="Q968">
        <v>0</v>
      </c>
      <c r="R968">
        <v>7470300</v>
      </c>
      <c r="S968">
        <v>1505000</v>
      </c>
      <c r="T968">
        <v>22.362555720654001</v>
      </c>
      <c r="U968" t="str">
        <f t="shared" si="15"/>
        <v>Week 1</v>
      </c>
    </row>
    <row r="969" spans="1:21" x14ac:dyDescent="0.25">
      <c r="C969" s="1"/>
      <c r="H969" s="2"/>
    </row>
    <row r="970" spans="1:21" x14ac:dyDescent="0.25">
      <c r="A970">
        <v>969</v>
      </c>
      <c r="B970" t="s">
        <v>1806</v>
      </c>
      <c r="C970" s="1">
        <v>46024</v>
      </c>
      <c r="D970" t="s">
        <v>312</v>
      </c>
      <c r="E970" t="s">
        <v>1303</v>
      </c>
      <c r="F970" t="s">
        <v>23</v>
      </c>
      <c r="G970" t="s">
        <v>24</v>
      </c>
      <c r="H970" s="2">
        <v>1</v>
      </c>
      <c r="I970" t="s">
        <v>1807</v>
      </c>
      <c r="K970">
        <v>160345588</v>
      </c>
      <c r="L970">
        <v>0</v>
      </c>
      <c r="M970">
        <v>0</v>
      </c>
      <c r="N970">
        <v>17638014.68</v>
      </c>
      <c r="O970">
        <v>0</v>
      </c>
      <c r="P970">
        <v>0</v>
      </c>
      <c r="Q970">
        <v>0</v>
      </c>
      <c r="R970">
        <v>177983602.68000001</v>
      </c>
      <c r="S970">
        <v>25645588</v>
      </c>
      <c r="T970">
        <v>15.993946774513001</v>
      </c>
      <c r="U970" t="str">
        <f t="shared" si="15"/>
        <v>Week 1</v>
      </c>
    </row>
    <row r="971" spans="1:21" x14ac:dyDescent="0.25">
      <c r="A971">
        <v>970</v>
      </c>
      <c r="B971" t="s">
        <v>1808</v>
      </c>
      <c r="C971" s="1">
        <v>46024</v>
      </c>
      <c r="D971" t="s">
        <v>54</v>
      </c>
      <c r="E971" t="s">
        <v>1554</v>
      </c>
      <c r="F971" t="s">
        <v>30</v>
      </c>
      <c r="G971" t="s">
        <v>24</v>
      </c>
      <c r="H971" s="2">
        <v>1</v>
      </c>
      <c r="I971" t="s">
        <v>1809</v>
      </c>
      <c r="K971">
        <v>4850000</v>
      </c>
      <c r="L971">
        <v>0</v>
      </c>
      <c r="M971">
        <v>0</v>
      </c>
      <c r="N971">
        <v>533500</v>
      </c>
      <c r="O971">
        <v>0</v>
      </c>
      <c r="P971">
        <v>0</v>
      </c>
      <c r="Q971">
        <v>0</v>
      </c>
      <c r="R971">
        <v>5383500</v>
      </c>
      <c r="S971">
        <v>150000</v>
      </c>
      <c r="T971">
        <v>3.0927835051546002</v>
      </c>
      <c r="U971" t="str">
        <f t="shared" si="15"/>
        <v>Week 1</v>
      </c>
    </row>
    <row r="972" spans="1:21" x14ac:dyDescent="0.25">
      <c r="A972">
        <v>971</v>
      </c>
      <c r="B972" t="s">
        <v>1810</v>
      </c>
      <c r="C972" s="1">
        <v>46024</v>
      </c>
      <c r="D972" t="s">
        <v>1341</v>
      </c>
      <c r="E972" t="s">
        <v>22</v>
      </c>
      <c r="F972" t="s">
        <v>30</v>
      </c>
      <c r="G972" t="s">
        <v>24</v>
      </c>
      <c r="H972" s="2">
        <v>1</v>
      </c>
      <c r="I972" t="s">
        <v>1811</v>
      </c>
      <c r="J972" t="s">
        <v>26</v>
      </c>
      <c r="K972">
        <v>735000</v>
      </c>
      <c r="L972">
        <v>0</v>
      </c>
      <c r="M972">
        <v>0</v>
      </c>
      <c r="N972">
        <v>80850</v>
      </c>
      <c r="O972">
        <v>0</v>
      </c>
      <c r="P972">
        <v>0</v>
      </c>
      <c r="Q972">
        <v>0</v>
      </c>
      <c r="R972">
        <v>815850</v>
      </c>
      <c r="S972">
        <v>285000</v>
      </c>
      <c r="T972">
        <v>38.775510204082003</v>
      </c>
      <c r="U972" t="str">
        <f t="shared" si="15"/>
        <v>Week 1</v>
      </c>
    </row>
    <row r="973" spans="1:21" x14ac:dyDescent="0.25">
      <c r="A973">
        <v>972</v>
      </c>
      <c r="B973" t="s">
        <v>1812</v>
      </c>
      <c r="C973" s="1">
        <v>46024</v>
      </c>
      <c r="D973" t="s">
        <v>171</v>
      </c>
      <c r="E973" t="s">
        <v>1303</v>
      </c>
      <c r="F973" t="s">
        <v>265</v>
      </c>
      <c r="G973" t="s">
        <v>24</v>
      </c>
      <c r="H973" s="2">
        <v>1</v>
      </c>
      <c r="I973" t="s">
        <v>1727</v>
      </c>
      <c r="J973" t="s">
        <v>26</v>
      </c>
      <c r="K973">
        <v>37807250</v>
      </c>
      <c r="L973">
        <v>0</v>
      </c>
      <c r="M973">
        <v>0</v>
      </c>
      <c r="N973">
        <v>4158797.5</v>
      </c>
      <c r="O973">
        <v>0</v>
      </c>
      <c r="P973">
        <v>0</v>
      </c>
      <c r="Q973">
        <v>0</v>
      </c>
      <c r="R973">
        <v>41966047.5</v>
      </c>
      <c r="S973">
        <v>10690853.6</v>
      </c>
      <c r="T973">
        <v>28.277257933333001</v>
      </c>
      <c r="U973" t="str">
        <f t="shared" si="15"/>
        <v>Week 1</v>
      </c>
    </row>
    <row r="974" spans="1:21" x14ac:dyDescent="0.25">
      <c r="A974">
        <v>973</v>
      </c>
      <c r="B974" t="s">
        <v>1813</v>
      </c>
      <c r="C974" s="1">
        <v>46021</v>
      </c>
      <c r="D974" t="s">
        <v>33</v>
      </c>
      <c r="E974" t="s">
        <v>34</v>
      </c>
      <c r="F974" t="s">
        <v>30</v>
      </c>
      <c r="G974" t="s">
        <v>24</v>
      </c>
      <c r="H974" s="2">
        <v>1</v>
      </c>
      <c r="I974" t="s">
        <v>1697</v>
      </c>
      <c r="K974">
        <v>42718216.799999997</v>
      </c>
      <c r="L974">
        <v>0</v>
      </c>
      <c r="M974">
        <v>0</v>
      </c>
      <c r="N974">
        <v>4699003.8480000002</v>
      </c>
      <c r="O974">
        <v>0</v>
      </c>
      <c r="P974">
        <v>0</v>
      </c>
      <c r="Q974">
        <v>0</v>
      </c>
      <c r="R974">
        <v>47417220.648000002</v>
      </c>
      <c r="S974">
        <v>9621994.9790000003</v>
      </c>
      <c r="T974">
        <v>22.524336687668001</v>
      </c>
      <c r="U974" t="str">
        <f t="shared" si="15"/>
        <v>Week 4</v>
      </c>
    </row>
    <row r="975" spans="1:21" x14ac:dyDescent="0.25">
      <c r="A975">
        <v>974</v>
      </c>
      <c r="B975" t="s">
        <v>1814</v>
      </c>
      <c r="C975" s="1">
        <v>46021</v>
      </c>
      <c r="D975" t="s">
        <v>312</v>
      </c>
      <c r="E975" t="s">
        <v>1303</v>
      </c>
      <c r="F975" t="s">
        <v>30</v>
      </c>
      <c r="G975" t="s">
        <v>24</v>
      </c>
      <c r="H975" s="2">
        <v>1</v>
      </c>
      <c r="I975" t="s">
        <v>1815</v>
      </c>
      <c r="J975" t="s">
        <v>26</v>
      </c>
      <c r="K975">
        <v>15810500</v>
      </c>
      <c r="L975">
        <v>0</v>
      </c>
      <c r="M975">
        <v>0</v>
      </c>
      <c r="N975">
        <v>1739155</v>
      </c>
      <c r="O975">
        <v>0</v>
      </c>
      <c r="P975">
        <v>0</v>
      </c>
      <c r="Q975">
        <v>0</v>
      </c>
      <c r="R975">
        <v>17549655</v>
      </c>
      <c r="S975">
        <v>5017707</v>
      </c>
      <c r="T975">
        <v>31.736548496251999</v>
      </c>
      <c r="U975" t="str">
        <f t="shared" si="15"/>
        <v>Week 4</v>
      </c>
    </row>
    <row r="976" spans="1:21" x14ac:dyDescent="0.25">
      <c r="A976">
        <v>975</v>
      </c>
      <c r="B976" t="s">
        <v>1816</v>
      </c>
      <c r="C976" s="1">
        <v>46021</v>
      </c>
      <c r="D976" t="s">
        <v>54</v>
      </c>
      <c r="E976" t="s">
        <v>1554</v>
      </c>
      <c r="F976" t="s">
        <v>30</v>
      </c>
      <c r="G976" t="s">
        <v>24</v>
      </c>
      <c r="H976" s="2">
        <v>1</v>
      </c>
      <c r="I976" t="s">
        <v>1817</v>
      </c>
      <c r="K976">
        <v>15190000</v>
      </c>
      <c r="L976">
        <v>0</v>
      </c>
      <c r="M976">
        <v>0</v>
      </c>
      <c r="N976">
        <v>1670900</v>
      </c>
      <c r="O976">
        <v>0</v>
      </c>
      <c r="P976">
        <v>0</v>
      </c>
      <c r="Q976">
        <v>0</v>
      </c>
      <c r="R976">
        <v>16860900</v>
      </c>
      <c r="S976">
        <v>-310000</v>
      </c>
      <c r="T976">
        <v>-2.0408163265305999</v>
      </c>
      <c r="U976" t="str">
        <f t="shared" si="15"/>
        <v>Week 4</v>
      </c>
    </row>
    <row r="977" spans="1:21" x14ac:dyDescent="0.25">
      <c r="A977">
        <v>976</v>
      </c>
      <c r="B977" t="s">
        <v>1818</v>
      </c>
      <c r="C977" s="1">
        <v>46021</v>
      </c>
      <c r="D977" t="s">
        <v>33</v>
      </c>
      <c r="E977" t="s">
        <v>34</v>
      </c>
      <c r="F977" t="s">
        <v>30</v>
      </c>
      <c r="G977" t="s">
        <v>24</v>
      </c>
      <c r="H977" s="2">
        <v>1</v>
      </c>
      <c r="I977" t="s">
        <v>1695</v>
      </c>
      <c r="K977">
        <v>56126560</v>
      </c>
      <c r="L977">
        <v>0</v>
      </c>
      <c r="M977">
        <v>0</v>
      </c>
      <c r="N977">
        <v>6173921.5999999996</v>
      </c>
      <c r="O977">
        <v>0</v>
      </c>
      <c r="P977">
        <v>0</v>
      </c>
      <c r="Q977">
        <v>0</v>
      </c>
      <c r="R977">
        <v>62300481.600000001</v>
      </c>
      <c r="S977">
        <v>26866560</v>
      </c>
      <c r="T977">
        <v>47.867818729671001</v>
      </c>
      <c r="U977" t="str">
        <f t="shared" si="15"/>
        <v>Week 4</v>
      </c>
    </row>
    <row r="978" spans="1:21" x14ac:dyDescent="0.25">
      <c r="A978">
        <v>977</v>
      </c>
      <c r="B978" t="s">
        <v>1819</v>
      </c>
      <c r="C978" s="1">
        <v>46021</v>
      </c>
      <c r="D978" t="s">
        <v>33</v>
      </c>
      <c r="E978" t="s">
        <v>34</v>
      </c>
      <c r="F978" t="s">
        <v>30</v>
      </c>
      <c r="G978" t="s">
        <v>24</v>
      </c>
      <c r="H978" s="2">
        <v>1</v>
      </c>
      <c r="I978" t="s">
        <v>1820</v>
      </c>
      <c r="K978">
        <v>5071500</v>
      </c>
      <c r="L978">
        <v>0</v>
      </c>
      <c r="M978">
        <v>0</v>
      </c>
      <c r="N978">
        <v>557865</v>
      </c>
      <c r="O978">
        <v>0</v>
      </c>
      <c r="P978">
        <v>0</v>
      </c>
      <c r="Q978">
        <v>0</v>
      </c>
      <c r="R978">
        <v>5629365</v>
      </c>
      <c r="S978">
        <v>3396500</v>
      </c>
      <c r="T978">
        <v>66.972296164843002</v>
      </c>
      <c r="U978" t="str">
        <f t="shared" si="15"/>
        <v>Week 4</v>
      </c>
    </row>
    <row r="979" spans="1:21" x14ac:dyDescent="0.25">
      <c r="A979">
        <v>978</v>
      </c>
      <c r="B979" t="s">
        <v>1821</v>
      </c>
      <c r="C979" s="1">
        <v>46021</v>
      </c>
      <c r="D979" t="s">
        <v>21</v>
      </c>
      <c r="E979" t="s">
        <v>22</v>
      </c>
      <c r="F979" t="s">
        <v>30</v>
      </c>
      <c r="G979" t="s">
        <v>24</v>
      </c>
      <c r="H979" s="2">
        <v>1</v>
      </c>
      <c r="I979" t="s">
        <v>1822</v>
      </c>
      <c r="J979" t="s">
        <v>26</v>
      </c>
      <c r="K979">
        <v>22245706</v>
      </c>
      <c r="L979">
        <v>0</v>
      </c>
      <c r="M979">
        <v>0</v>
      </c>
      <c r="N979">
        <v>2447027.66</v>
      </c>
      <c r="O979">
        <v>0</v>
      </c>
      <c r="P979">
        <v>0</v>
      </c>
      <c r="Q979">
        <v>0</v>
      </c>
      <c r="R979">
        <v>24692733.66</v>
      </c>
      <c r="S979">
        <v>4817253.4189189002</v>
      </c>
      <c r="T979">
        <v>21.654756288331999</v>
      </c>
      <c r="U979" t="str">
        <f t="shared" si="15"/>
        <v>Week 4</v>
      </c>
    </row>
    <row r="980" spans="1:21" x14ac:dyDescent="0.25">
      <c r="A980">
        <v>979</v>
      </c>
      <c r="B980" t="s">
        <v>1823</v>
      </c>
      <c r="C980" s="1">
        <v>46021</v>
      </c>
      <c r="D980" t="s">
        <v>204</v>
      </c>
      <c r="E980" t="s">
        <v>22</v>
      </c>
      <c r="F980" t="s">
        <v>30</v>
      </c>
      <c r="G980" t="s">
        <v>24</v>
      </c>
      <c r="H980" s="2">
        <v>1</v>
      </c>
      <c r="I980" t="s">
        <v>1824</v>
      </c>
      <c r="J980" t="s">
        <v>26</v>
      </c>
      <c r="K980">
        <v>12780240</v>
      </c>
      <c r="L980">
        <v>0</v>
      </c>
      <c r="M980">
        <v>0</v>
      </c>
      <c r="N980">
        <v>1405826.4</v>
      </c>
      <c r="O980">
        <v>0</v>
      </c>
      <c r="P980">
        <v>0</v>
      </c>
      <c r="Q980">
        <v>0</v>
      </c>
      <c r="R980">
        <v>14186066.4</v>
      </c>
      <c r="S980">
        <v>372240</v>
      </c>
      <c r="T980">
        <v>2.9126213592233001</v>
      </c>
      <c r="U980" t="str">
        <f t="shared" si="15"/>
        <v>Week 4</v>
      </c>
    </row>
    <row r="981" spans="1:21" x14ac:dyDescent="0.25">
      <c r="A981">
        <v>980</v>
      </c>
      <c r="B981" t="s">
        <v>1825</v>
      </c>
      <c r="C981" s="1">
        <v>46021</v>
      </c>
      <c r="D981" t="s">
        <v>37</v>
      </c>
      <c r="E981" t="s">
        <v>34</v>
      </c>
      <c r="F981" t="s">
        <v>23</v>
      </c>
      <c r="G981" t="s">
        <v>24</v>
      </c>
      <c r="H981" s="2">
        <v>1</v>
      </c>
      <c r="I981" t="s">
        <v>1826</v>
      </c>
      <c r="K981">
        <v>9965400</v>
      </c>
      <c r="L981">
        <v>0</v>
      </c>
      <c r="M981">
        <v>0</v>
      </c>
      <c r="N981">
        <v>1096194</v>
      </c>
      <c r="O981">
        <v>0</v>
      </c>
      <c r="P981">
        <v>0</v>
      </c>
      <c r="Q981">
        <v>0</v>
      </c>
      <c r="R981">
        <v>11061594</v>
      </c>
      <c r="S981">
        <v>2815900</v>
      </c>
      <c r="T981">
        <v>28.256768418728999</v>
      </c>
      <c r="U981" t="str">
        <f t="shared" si="15"/>
        <v>Week 4</v>
      </c>
    </row>
    <row r="982" spans="1:21" x14ac:dyDescent="0.25">
      <c r="A982">
        <v>981</v>
      </c>
      <c r="B982" t="s">
        <v>1827</v>
      </c>
      <c r="C982" s="1">
        <v>46020</v>
      </c>
      <c r="D982" t="s">
        <v>54</v>
      </c>
      <c r="E982" t="s">
        <v>1554</v>
      </c>
      <c r="F982" t="s">
        <v>30</v>
      </c>
      <c r="G982" t="s">
        <v>24</v>
      </c>
      <c r="H982" s="2">
        <v>1</v>
      </c>
      <c r="I982" t="s">
        <v>1828</v>
      </c>
      <c r="K982">
        <v>82320</v>
      </c>
      <c r="L982">
        <v>0</v>
      </c>
      <c r="M982">
        <v>0</v>
      </c>
      <c r="N982">
        <v>9055.2000000000007</v>
      </c>
      <c r="O982">
        <v>0</v>
      </c>
      <c r="P982">
        <v>0</v>
      </c>
      <c r="Q982">
        <v>0</v>
      </c>
      <c r="R982">
        <v>91375.2</v>
      </c>
      <c r="S982">
        <v>40320</v>
      </c>
      <c r="T982">
        <v>48.979591836734997</v>
      </c>
      <c r="U982" t="str">
        <f t="shared" si="15"/>
        <v>Week 4</v>
      </c>
    </row>
    <row r="983" spans="1:21" x14ac:dyDescent="0.25">
      <c r="A983">
        <v>982</v>
      </c>
      <c r="B983" t="s">
        <v>1829</v>
      </c>
      <c r="C983" s="1">
        <v>46020</v>
      </c>
      <c r="D983" t="s">
        <v>54</v>
      </c>
      <c r="E983" t="s">
        <v>1554</v>
      </c>
      <c r="F983" t="s">
        <v>30</v>
      </c>
      <c r="G983" t="s">
        <v>24</v>
      </c>
      <c r="H983" s="2">
        <v>1</v>
      </c>
      <c r="I983" t="s">
        <v>1830</v>
      </c>
      <c r="K983">
        <v>3516250</v>
      </c>
      <c r="L983">
        <v>0</v>
      </c>
      <c r="M983">
        <v>0</v>
      </c>
      <c r="N983">
        <v>386787.5</v>
      </c>
      <c r="O983">
        <v>0</v>
      </c>
      <c r="P983">
        <v>0</v>
      </c>
      <c r="Q983">
        <v>0</v>
      </c>
      <c r="R983">
        <v>3903037.5</v>
      </c>
      <c r="S983">
        <v>516250</v>
      </c>
      <c r="T983">
        <v>14.681834340562</v>
      </c>
      <c r="U983" t="str">
        <f t="shared" si="15"/>
        <v>Week 4</v>
      </c>
    </row>
    <row r="984" spans="1:21" x14ac:dyDescent="0.25">
      <c r="A984">
        <v>983</v>
      </c>
      <c r="B984" t="s">
        <v>1831</v>
      </c>
      <c r="C984" s="1">
        <v>46020</v>
      </c>
      <c r="D984" t="s">
        <v>33</v>
      </c>
      <c r="E984" t="s">
        <v>34</v>
      </c>
      <c r="F984" t="s">
        <v>30</v>
      </c>
      <c r="G984" t="s">
        <v>24</v>
      </c>
      <c r="H984" s="2">
        <v>1</v>
      </c>
      <c r="I984" t="s">
        <v>1832</v>
      </c>
      <c r="K984">
        <v>1004500</v>
      </c>
      <c r="L984">
        <v>0</v>
      </c>
      <c r="M984">
        <v>0</v>
      </c>
      <c r="N984">
        <v>110495</v>
      </c>
      <c r="O984">
        <v>0</v>
      </c>
      <c r="P984">
        <v>0</v>
      </c>
      <c r="Q984">
        <v>0</v>
      </c>
      <c r="R984">
        <v>1114995</v>
      </c>
      <c r="S984">
        <v>554500</v>
      </c>
      <c r="T984">
        <v>55.201592832255002</v>
      </c>
      <c r="U984" t="str">
        <f t="shared" si="15"/>
        <v>Week 4</v>
      </c>
    </row>
    <row r="985" spans="1:21" x14ac:dyDescent="0.25">
      <c r="A985">
        <v>984</v>
      </c>
      <c r="B985" t="s">
        <v>1833</v>
      </c>
      <c r="C985" s="1">
        <v>46020</v>
      </c>
      <c r="D985" t="s">
        <v>54</v>
      </c>
      <c r="E985" t="s">
        <v>1554</v>
      </c>
      <c r="F985" t="s">
        <v>30</v>
      </c>
      <c r="G985" t="s">
        <v>24</v>
      </c>
      <c r="H985" s="2">
        <v>1</v>
      </c>
      <c r="I985" t="s">
        <v>1834</v>
      </c>
      <c r="K985">
        <v>61481120</v>
      </c>
      <c r="L985">
        <v>0</v>
      </c>
      <c r="M985">
        <v>0</v>
      </c>
      <c r="N985">
        <v>6762923.2000000002</v>
      </c>
      <c r="O985">
        <v>0</v>
      </c>
      <c r="P985">
        <v>0</v>
      </c>
      <c r="Q985">
        <v>0</v>
      </c>
      <c r="R985">
        <v>68244043.200000003</v>
      </c>
      <c r="S985">
        <v>1790720</v>
      </c>
      <c r="T985">
        <v>2.9126339923540998</v>
      </c>
      <c r="U985" t="str">
        <f t="shared" si="15"/>
        <v>Week 4</v>
      </c>
    </row>
    <row r="986" spans="1:21" x14ac:dyDescent="0.25">
      <c r="A986">
        <v>985</v>
      </c>
      <c r="B986" t="s">
        <v>1835</v>
      </c>
      <c r="C986" s="1">
        <v>46020</v>
      </c>
      <c r="D986" t="s">
        <v>54</v>
      </c>
      <c r="E986" t="s">
        <v>1554</v>
      </c>
      <c r="F986" t="s">
        <v>30</v>
      </c>
      <c r="G986" t="s">
        <v>24</v>
      </c>
      <c r="H986" s="2">
        <v>1</v>
      </c>
      <c r="I986" t="s">
        <v>1836</v>
      </c>
      <c r="K986">
        <v>15232632</v>
      </c>
      <c r="L986">
        <v>0</v>
      </c>
      <c r="M986">
        <v>0</v>
      </c>
      <c r="N986">
        <v>1675589.52</v>
      </c>
      <c r="O986">
        <v>0</v>
      </c>
      <c r="P986">
        <v>0</v>
      </c>
      <c r="Q986">
        <v>0</v>
      </c>
      <c r="R986">
        <v>16908221.52</v>
      </c>
      <c r="S986">
        <v>9295385.5999999996</v>
      </c>
      <c r="T986">
        <v>61.02284621594</v>
      </c>
      <c r="U986" t="str">
        <f t="shared" si="15"/>
        <v>Week 4</v>
      </c>
    </row>
    <row r="987" spans="1:21" x14ac:dyDescent="0.25">
      <c r="A987">
        <v>986</v>
      </c>
      <c r="B987" t="s">
        <v>1837</v>
      </c>
      <c r="C987" s="1">
        <v>46020</v>
      </c>
      <c r="D987" t="s">
        <v>54</v>
      </c>
      <c r="E987" t="s">
        <v>1554</v>
      </c>
      <c r="F987" t="s">
        <v>30</v>
      </c>
      <c r="G987" t="s">
        <v>24</v>
      </c>
      <c r="H987" s="2">
        <v>1</v>
      </c>
      <c r="I987" t="s">
        <v>1838</v>
      </c>
      <c r="K987">
        <v>28840000</v>
      </c>
      <c r="L987">
        <v>0</v>
      </c>
      <c r="M987">
        <v>0</v>
      </c>
      <c r="N987">
        <v>3172400</v>
      </c>
      <c r="O987">
        <v>0</v>
      </c>
      <c r="P987">
        <v>0</v>
      </c>
      <c r="Q987">
        <v>0</v>
      </c>
      <c r="R987">
        <v>32012400</v>
      </c>
      <c r="S987">
        <v>-160000</v>
      </c>
      <c r="T987">
        <v>-0.55478502080444003</v>
      </c>
      <c r="U987" t="str">
        <f t="shared" si="15"/>
        <v>Week 4</v>
      </c>
    </row>
    <row r="988" spans="1:21" x14ac:dyDescent="0.25">
      <c r="A988">
        <v>987</v>
      </c>
      <c r="B988" t="s">
        <v>1839</v>
      </c>
      <c r="C988" s="1">
        <v>46020</v>
      </c>
      <c r="D988" t="s">
        <v>21</v>
      </c>
      <c r="E988" t="s">
        <v>22</v>
      </c>
      <c r="F988" t="s">
        <v>30</v>
      </c>
      <c r="G988" t="s">
        <v>24</v>
      </c>
      <c r="H988" s="2">
        <v>1</v>
      </c>
      <c r="I988" t="s">
        <v>1840</v>
      </c>
      <c r="K988">
        <v>5299311</v>
      </c>
      <c r="L988">
        <v>0</v>
      </c>
      <c r="M988">
        <v>0</v>
      </c>
      <c r="N988">
        <v>582924.21</v>
      </c>
      <c r="O988">
        <v>0</v>
      </c>
      <c r="P988">
        <v>0</v>
      </c>
      <c r="Q988">
        <v>0</v>
      </c>
      <c r="R988">
        <v>5882235.21</v>
      </c>
      <c r="S988">
        <v>1904101.9627026999</v>
      </c>
      <c r="T988">
        <v>35.931123172478998</v>
      </c>
      <c r="U988" t="str">
        <f t="shared" si="15"/>
        <v>Week 4</v>
      </c>
    </row>
    <row r="989" spans="1:21" x14ac:dyDescent="0.25">
      <c r="A989">
        <v>988</v>
      </c>
      <c r="B989" t="s">
        <v>1841</v>
      </c>
      <c r="C989" s="1">
        <v>46020</v>
      </c>
      <c r="D989" t="s">
        <v>312</v>
      </c>
      <c r="E989" t="s">
        <v>1303</v>
      </c>
      <c r="F989" t="s">
        <v>30</v>
      </c>
      <c r="G989" t="s">
        <v>24</v>
      </c>
      <c r="H989" s="2">
        <v>1</v>
      </c>
      <c r="I989" t="s">
        <v>1842</v>
      </c>
      <c r="J989" t="s">
        <v>57</v>
      </c>
      <c r="K989">
        <v>266741020</v>
      </c>
      <c r="L989">
        <v>0</v>
      </c>
      <c r="M989">
        <v>0</v>
      </c>
      <c r="N989">
        <v>29341512.199999999</v>
      </c>
      <c r="O989">
        <v>0</v>
      </c>
      <c r="P989">
        <v>0</v>
      </c>
      <c r="Q989">
        <v>0</v>
      </c>
      <c r="R989">
        <v>296082532.19999999</v>
      </c>
      <c r="S989">
        <v>7769160</v>
      </c>
      <c r="T989">
        <v>2.9126228879233</v>
      </c>
      <c r="U989" t="str">
        <f t="shared" si="15"/>
        <v>Week 4</v>
      </c>
    </row>
    <row r="990" spans="1:21" x14ac:dyDescent="0.25">
      <c r="C990" s="1"/>
      <c r="H990" s="2"/>
    </row>
    <row r="991" spans="1:21" x14ac:dyDescent="0.25">
      <c r="A991">
        <v>990</v>
      </c>
      <c r="B991" t="s">
        <v>1843</v>
      </c>
      <c r="C991" s="1">
        <v>46020</v>
      </c>
      <c r="D991" t="s">
        <v>54</v>
      </c>
      <c r="E991" t="s">
        <v>1554</v>
      </c>
      <c r="F991" t="s">
        <v>23</v>
      </c>
      <c r="G991" t="s">
        <v>24</v>
      </c>
      <c r="H991" s="2">
        <v>1</v>
      </c>
      <c r="I991" t="s">
        <v>1844</v>
      </c>
      <c r="K991">
        <v>12993000</v>
      </c>
      <c r="L991">
        <v>0</v>
      </c>
      <c r="M991">
        <v>0</v>
      </c>
      <c r="N991">
        <v>1429230</v>
      </c>
      <c r="O991">
        <v>0</v>
      </c>
      <c r="P991">
        <v>0</v>
      </c>
      <c r="Q991">
        <v>0</v>
      </c>
      <c r="R991">
        <v>14422230</v>
      </c>
      <c r="S991">
        <v>3879477</v>
      </c>
      <c r="T991">
        <v>29.858208265988999</v>
      </c>
      <c r="U991" t="str">
        <f t="shared" si="15"/>
        <v>Week 4</v>
      </c>
    </row>
    <row r="992" spans="1:21" x14ac:dyDescent="0.25">
      <c r="A992">
        <v>991</v>
      </c>
      <c r="B992" t="s">
        <v>1845</v>
      </c>
      <c r="C992" s="1">
        <v>46020</v>
      </c>
      <c r="D992" t="s">
        <v>54</v>
      </c>
      <c r="E992" t="s">
        <v>1554</v>
      </c>
      <c r="F992" t="s">
        <v>23</v>
      </c>
      <c r="G992" t="s">
        <v>24</v>
      </c>
      <c r="H992" s="2">
        <v>1</v>
      </c>
      <c r="I992" t="s">
        <v>1844</v>
      </c>
      <c r="K992">
        <v>15552000</v>
      </c>
      <c r="L992">
        <v>0</v>
      </c>
      <c r="M992">
        <v>0</v>
      </c>
      <c r="N992">
        <v>1710720</v>
      </c>
      <c r="O992">
        <v>0</v>
      </c>
      <c r="P992">
        <v>0</v>
      </c>
      <c r="Q992">
        <v>0</v>
      </c>
      <c r="R992">
        <v>17262720</v>
      </c>
      <c r="S992">
        <v>4287567</v>
      </c>
      <c r="T992">
        <v>27.569232253086</v>
      </c>
      <c r="U992" t="str">
        <f t="shared" si="15"/>
        <v>Week 4</v>
      </c>
    </row>
    <row r="993" spans="1:21" x14ac:dyDescent="0.25">
      <c r="A993">
        <v>992</v>
      </c>
      <c r="B993" t="s">
        <v>1846</v>
      </c>
      <c r="C993" s="1">
        <v>46020</v>
      </c>
      <c r="D993" t="s">
        <v>54</v>
      </c>
      <c r="E993" t="s">
        <v>1554</v>
      </c>
      <c r="F993" t="s">
        <v>23</v>
      </c>
      <c r="G993" t="s">
        <v>24</v>
      </c>
      <c r="H993" s="2">
        <v>1</v>
      </c>
      <c r="I993" t="s">
        <v>1847</v>
      </c>
      <c r="K993">
        <v>92716360</v>
      </c>
      <c r="L993">
        <v>0</v>
      </c>
      <c r="M993">
        <v>0</v>
      </c>
      <c r="N993">
        <v>10198799.6</v>
      </c>
      <c r="O993">
        <v>0</v>
      </c>
      <c r="P993">
        <v>0</v>
      </c>
      <c r="Q993">
        <v>0</v>
      </c>
      <c r="R993">
        <v>102915159.59999999</v>
      </c>
      <c r="S993">
        <v>23925369</v>
      </c>
      <c r="T993">
        <v>25.804905412594</v>
      </c>
      <c r="U993" t="str">
        <f t="shared" si="15"/>
        <v>Week 4</v>
      </c>
    </row>
    <row r="994" spans="1:21" x14ac:dyDescent="0.25">
      <c r="C994" s="1"/>
      <c r="H994" s="2"/>
    </row>
    <row r="995" spans="1:21" x14ac:dyDescent="0.25">
      <c r="A995">
        <v>994</v>
      </c>
      <c r="B995" t="s">
        <v>1848</v>
      </c>
      <c r="C995" s="1">
        <v>46020</v>
      </c>
      <c r="D995" t="s">
        <v>21</v>
      </c>
      <c r="E995" t="s">
        <v>22</v>
      </c>
      <c r="F995" t="s">
        <v>30</v>
      </c>
      <c r="G995" t="s">
        <v>24</v>
      </c>
      <c r="H995" s="2">
        <v>1</v>
      </c>
      <c r="I995" t="s">
        <v>1849</v>
      </c>
      <c r="J995" t="s">
        <v>26</v>
      </c>
      <c r="K995">
        <v>61288295.460000001</v>
      </c>
      <c r="L995">
        <v>0</v>
      </c>
      <c r="M995">
        <v>0</v>
      </c>
      <c r="N995">
        <v>6741712.5005999999</v>
      </c>
      <c r="O995">
        <v>0</v>
      </c>
      <c r="P995">
        <v>0</v>
      </c>
      <c r="Q995">
        <v>0</v>
      </c>
      <c r="R995">
        <v>68030007.960600004</v>
      </c>
      <c r="S995">
        <v>28686439.842937</v>
      </c>
      <c r="T995">
        <v>46.805739379160002</v>
      </c>
      <c r="U995" t="str">
        <f t="shared" si="15"/>
        <v>Week 4</v>
      </c>
    </row>
    <row r="996" spans="1:21" x14ac:dyDescent="0.25">
      <c r="A996">
        <v>995</v>
      </c>
      <c r="B996" t="s">
        <v>1850</v>
      </c>
      <c r="C996" s="1">
        <v>46020</v>
      </c>
      <c r="D996" t="s">
        <v>171</v>
      </c>
      <c r="E996" t="s">
        <v>1303</v>
      </c>
      <c r="F996" t="s">
        <v>30</v>
      </c>
      <c r="G996" t="s">
        <v>24</v>
      </c>
      <c r="H996" s="2">
        <v>1</v>
      </c>
      <c r="I996" t="s">
        <v>1851</v>
      </c>
      <c r="J996" t="s">
        <v>26</v>
      </c>
      <c r="K996">
        <v>4521330</v>
      </c>
      <c r="L996">
        <v>0</v>
      </c>
      <c r="M996">
        <v>0</v>
      </c>
      <c r="N996">
        <v>497346.3</v>
      </c>
      <c r="O996">
        <v>0</v>
      </c>
      <c r="P996">
        <v>0</v>
      </c>
      <c r="Q996">
        <v>0</v>
      </c>
      <c r="R996">
        <v>5018676.3</v>
      </c>
      <c r="S996">
        <v>651132</v>
      </c>
      <c r="T996">
        <v>14.401337659494001</v>
      </c>
      <c r="U996" t="str">
        <f t="shared" si="15"/>
        <v>Week 4</v>
      </c>
    </row>
    <row r="997" spans="1:21" x14ac:dyDescent="0.25">
      <c r="A997">
        <v>996</v>
      </c>
      <c r="B997" t="s">
        <v>1852</v>
      </c>
      <c r="C997" s="1">
        <v>46020</v>
      </c>
      <c r="D997" t="s">
        <v>33</v>
      </c>
      <c r="E997" t="s">
        <v>34</v>
      </c>
      <c r="F997" t="s">
        <v>30</v>
      </c>
      <c r="G997" t="s">
        <v>24</v>
      </c>
      <c r="H997" s="2">
        <v>1</v>
      </c>
      <c r="I997" t="s">
        <v>1780</v>
      </c>
      <c r="K997">
        <v>73153542</v>
      </c>
      <c r="L997">
        <v>0</v>
      </c>
      <c r="M997">
        <v>0</v>
      </c>
      <c r="N997">
        <v>8046889.6200000001</v>
      </c>
      <c r="O997">
        <v>0</v>
      </c>
      <c r="P997">
        <v>0</v>
      </c>
      <c r="Q997">
        <v>0</v>
      </c>
      <c r="R997">
        <v>81200431.620000005</v>
      </c>
      <c r="S997">
        <v>13971295.489499999</v>
      </c>
      <c r="T997">
        <v>19.098590591143001</v>
      </c>
      <c r="U997" t="str">
        <f t="shared" si="15"/>
        <v>Week 4</v>
      </c>
    </row>
    <row r="998" spans="1:21" x14ac:dyDescent="0.25">
      <c r="A998">
        <v>997</v>
      </c>
      <c r="B998" t="s">
        <v>1853</v>
      </c>
      <c r="C998" s="1">
        <v>46020</v>
      </c>
      <c r="D998" t="s">
        <v>520</v>
      </c>
      <c r="E998" t="s">
        <v>1554</v>
      </c>
      <c r="F998" t="s">
        <v>30</v>
      </c>
      <c r="G998" t="s">
        <v>24</v>
      </c>
      <c r="H998" s="2">
        <v>1</v>
      </c>
      <c r="I998" t="s">
        <v>1854</v>
      </c>
      <c r="K998">
        <v>62307650</v>
      </c>
      <c r="L998">
        <v>0</v>
      </c>
      <c r="M998">
        <v>0</v>
      </c>
      <c r="N998">
        <v>6853841.5</v>
      </c>
      <c r="O998">
        <v>0</v>
      </c>
      <c r="P998">
        <v>0</v>
      </c>
      <c r="Q998">
        <v>0</v>
      </c>
      <c r="R998">
        <v>69161491.5</v>
      </c>
      <c r="S998">
        <v>8284820</v>
      </c>
      <c r="T998">
        <v>13.296633719936001</v>
      </c>
      <c r="U998" t="str">
        <f t="shared" si="15"/>
        <v>Week 4</v>
      </c>
    </row>
    <row r="999" spans="1:21" x14ac:dyDescent="0.25">
      <c r="A999">
        <v>998</v>
      </c>
      <c r="B999" t="s">
        <v>1855</v>
      </c>
      <c r="C999" s="1">
        <v>46018</v>
      </c>
      <c r="D999" t="s">
        <v>33</v>
      </c>
      <c r="E999" t="s">
        <v>34</v>
      </c>
      <c r="F999" t="s">
        <v>30</v>
      </c>
      <c r="G999" t="s">
        <v>24</v>
      </c>
      <c r="H999" s="2">
        <v>1</v>
      </c>
      <c r="I999" t="s">
        <v>1856</v>
      </c>
      <c r="K999">
        <v>289100</v>
      </c>
      <c r="L999">
        <v>0</v>
      </c>
      <c r="M999">
        <v>0</v>
      </c>
      <c r="N999">
        <v>31801</v>
      </c>
      <c r="O999">
        <v>0</v>
      </c>
      <c r="P999">
        <v>0</v>
      </c>
      <c r="Q999">
        <v>0</v>
      </c>
      <c r="R999">
        <v>320901</v>
      </c>
      <c r="S999">
        <v>44600</v>
      </c>
      <c r="T999">
        <v>15.427187824282001</v>
      </c>
      <c r="U999" t="str">
        <f t="shared" si="15"/>
        <v>Week 4</v>
      </c>
    </row>
    <row r="1000" spans="1:21" x14ac:dyDescent="0.25">
      <c r="A1000">
        <v>999</v>
      </c>
      <c r="B1000" t="s">
        <v>1857</v>
      </c>
      <c r="C1000" s="1">
        <v>46018</v>
      </c>
      <c r="D1000" t="s">
        <v>21</v>
      </c>
      <c r="E1000" t="s">
        <v>22</v>
      </c>
      <c r="F1000" t="s">
        <v>30</v>
      </c>
      <c r="G1000" t="s">
        <v>24</v>
      </c>
      <c r="H1000" s="2">
        <v>1</v>
      </c>
      <c r="I1000" t="s">
        <v>1858</v>
      </c>
      <c r="K1000">
        <v>491225</v>
      </c>
      <c r="L1000">
        <v>0</v>
      </c>
      <c r="M1000">
        <v>0</v>
      </c>
      <c r="N1000">
        <v>54034.75</v>
      </c>
      <c r="O1000">
        <v>0</v>
      </c>
      <c r="P1000">
        <v>0</v>
      </c>
      <c r="Q1000">
        <v>0</v>
      </c>
      <c r="R1000">
        <v>545259.75</v>
      </c>
      <c r="S1000">
        <v>205187.08</v>
      </c>
      <c r="T1000">
        <v>41.770488065549998</v>
      </c>
      <c r="U1000" t="str">
        <f t="shared" si="15"/>
        <v>Week 4</v>
      </c>
    </row>
    <row r="1001" spans="1:21" x14ac:dyDescent="0.25">
      <c r="A1001">
        <v>1000</v>
      </c>
      <c r="B1001" t="s">
        <v>1859</v>
      </c>
      <c r="C1001" s="1">
        <v>46018</v>
      </c>
      <c r="D1001" t="s">
        <v>21</v>
      </c>
      <c r="E1001" t="s">
        <v>22</v>
      </c>
      <c r="F1001" t="s">
        <v>30</v>
      </c>
      <c r="G1001" t="s">
        <v>24</v>
      </c>
      <c r="H1001" s="2">
        <v>1</v>
      </c>
      <c r="I1001" t="s">
        <v>1860</v>
      </c>
      <c r="K1001">
        <v>4111260</v>
      </c>
      <c r="L1001">
        <v>0</v>
      </c>
      <c r="M1001">
        <v>0</v>
      </c>
      <c r="N1001">
        <v>452238.6</v>
      </c>
      <c r="O1001">
        <v>0</v>
      </c>
      <c r="P1001">
        <v>0</v>
      </c>
      <c r="Q1001">
        <v>0</v>
      </c>
      <c r="R1001">
        <v>4563498.5999999996</v>
      </c>
      <c r="S1001">
        <v>42100.800000000003</v>
      </c>
      <c r="T1001">
        <v>1.0240364267888999</v>
      </c>
      <c r="U1001" t="str">
        <f t="shared" si="15"/>
        <v>Week 4</v>
      </c>
    </row>
    <row r="1002" spans="1:21" x14ac:dyDescent="0.25">
      <c r="A1002">
        <v>1001</v>
      </c>
      <c r="B1002" t="s">
        <v>1861</v>
      </c>
      <c r="C1002" s="1">
        <v>46018</v>
      </c>
      <c r="D1002" t="s">
        <v>54</v>
      </c>
      <c r="E1002" t="s">
        <v>1554</v>
      </c>
      <c r="F1002" t="s">
        <v>23</v>
      </c>
      <c r="G1002" t="s">
        <v>24</v>
      </c>
      <c r="H1002" s="2">
        <v>1</v>
      </c>
      <c r="I1002" t="s">
        <v>1751</v>
      </c>
      <c r="K1002">
        <v>71000000</v>
      </c>
      <c r="L1002">
        <v>0</v>
      </c>
      <c r="M1002">
        <v>0</v>
      </c>
      <c r="N1002">
        <v>7810000</v>
      </c>
      <c r="O1002">
        <v>0</v>
      </c>
      <c r="P1002">
        <v>0</v>
      </c>
      <c r="Q1002">
        <v>0</v>
      </c>
      <c r="R1002">
        <v>78810000</v>
      </c>
      <c r="S1002">
        <v>8837837.8399999999</v>
      </c>
      <c r="T1002">
        <v>12.447658929577001</v>
      </c>
      <c r="U1002" t="str">
        <f t="shared" si="15"/>
        <v>Week 4</v>
      </c>
    </row>
    <row r="1003" spans="1:21" x14ac:dyDescent="0.25">
      <c r="A1003">
        <v>1002</v>
      </c>
      <c r="B1003" t="s">
        <v>1862</v>
      </c>
      <c r="C1003" s="1">
        <v>46018</v>
      </c>
      <c r="D1003" t="s">
        <v>21</v>
      </c>
      <c r="E1003" t="s">
        <v>22</v>
      </c>
      <c r="F1003" t="s">
        <v>30</v>
      </c>
      <c r="G1003" t="s">
        <v>24</v>
      </c>
      <c r="H1003" s="2">
        <v>1</v>
      </c>
      <c r="I1003" t="s">
        <v>1863</v>
      </c>
      <c r="K1003">
        <v>1679000</v>
      </c>
      <c r="L1003">
        <v>0</v>
      </c>
      <c r="M1003">
        <v>0</v>
      </c>
      <c r="N1003">
        <v>184690</v>
      </c>
      <c r="O1003">
        <v>0</v>
      </c>
      <c r="P1003">
        <v>0</v>
      </c>
      <c r="Q1003">
        <v>0</v>
      </c>
      <c r="R1003">
        <v>1863690</v>
      </c>
      <c r="S1003">
        <v>229000</v>
      </c>
      <c r="T1003">
        <v>13.639070875521</v>
      </c>
      <c r="U1003" t="str">
        <f t="shared" si="15"/>
        <v>Week 4</v>
      </c>
    </row>
    <row r="1004" spans="1:21" x14ac:dyDescent="0.25">
      <c r="A1004">
        <v>1003</v>
      </c>
      <c r="B1004" t="s">
        <v>1864</v>
      </c>
      <c r="C1004" s="1">
        <v>46018</v>
      </c>
      <c r="D1004" t="s">
        <v>33</v>
      </c>
      <c r="E1004" t="s">
        <v>34</v>
      </c>
      <c r="F1004" t="s">
        <v>30</v>
      </c>
      <c r="G1004" t="s">
        <v>24</v>
      </c>
      <c r="H1004" s="2">
        <v>1</v>
      </c>
      <c r="I1004" t="s">
        <v>1865</v>
      </c>
      <c r="K1004">
        <v>37899800</v>
      </c>
      <c r="L1004">
        <v>0</v>
      </c>
      <c r="M1004">
        <v>0</v>
      </c>
      <c r="N1004">
        <v>4168978</v>
      </c>
      <c r="O1004">
        <v>0</v>
      </c>
      <c r="P1004">
        <v>0</v>
      </c>
      <c r="Q1004">
        <v>0</v>
      </c>
      <c r="R1004">
        <v>42068778</v>
      </c>
      <c r="S1004">
        <v>1187021.1711711001</v>
      </c>
      <c r="T1004">
        <v>3.1319985096784002</v>
      </c>
      <c r="U1004" t="str">
        <f t="shared" si="15"/>
        <v>Week 4</v>
      </c>
    </row>
    <row r="1005" spans="1:21" x14ac:dyDescent="0.25">
      <c r="A1005">
        <v>1004</v>
      </c>
      <c r="B1005" t="s">
        <v>1866</v>
      </c>
      <c r="C1005" s="1">
        <v>46018</v>
      </c>
      <c r="D1005" t="s">
        <v>33</v>
      </c>
      <c r="E1005" t="s">
        <v>34</v>
      </c>
      <c r="F1005" t="s">
        <v>30</v>
      </c>
      <c r="G1005" t="s">
        <v>24</v>
      </c>
      <c r="H1005" s="2">
        <v>1</v>
      </c>
      <c r="I1005" t="s">
        <v>1867</v>
      </c>
      <c r="K1005">
        <v>880000</v>
      </c>
      <c r="L1005">
        <v>0</v>
      </c>
      <c r="M1005">
        <v>0</v>
      </c>
      <c r="N1005">
        <v>96800</v>
      </c>
      <c r="O1005">
        <v>0</v>
      </c>
      <c r="P1005">
        <v>0</v>
      </c>
      <c r="Q1005">
        <v>0</v>
      </c>
      <c r="R1005">
        <v>976800</v>
      </c>
      <c r="S1005">
        <v>20260</v>
      </c>
      <c r="T1005">
        <v>2.3022727272727002</v>
      </c>
      <c r="U1005" t="str">
        <f t="shared" si="15"/>
        <v>Week 4</v>
      </c>
    </row>
    <row r="1006" spans="1:21" x14ac:dyDescent="0.25">
      <c r="A1006">
        <v>1005</v>
      </c>
      <c r="B1006" t="s">
        <v>1868</v>
      </c>
      <c r="C1006" s="1">
        <v>46018</v>
      </c>
      <c r="D1006" t="s">
        <v>171</v>
      </c>
      <c r="E1006" t="s">
        <v>1303</v>
      </c>
      <c r="F1006" t="s">
        <v>30</v>
      </c>
      <c r="G1006" t="s">
        <v>24</v>
      </c>
      <c r="H1006" s="2">
        <v>1</v>
      </c>
      <c r="I1006" t="s">
        <v>1869</v>
      </c>
      <c r="J1006" t="s">
        <v>26</v>
      </c>
      <c r="K1006">
        <v>50039400</v>
      </c>
      <c r="L1006">
        <v>0</v>
      </c>
      <c r="M1006">
        <v>0</v>
      </c>
      <c r="N1006">
        <v>5504334</v>
      </c>
      <c r="O1006">
        <v>0</v>
      </c>
      <c r="P1006">
        <v>0</v>
      </c>
      <c r="Q1006">
        <v>0</v>
      </c>
      <c r="R1006">
        <v>55543734</v>
      </c>
      <c r="S1006">
        <v>3186900</v>
      </c>
      <c r="T1006">
        <v>6.3687814002565997</v>
      </c>
      <c r="U1006" t="str">
        <f t="shared" si="15"/>
        <v>Week 4</v>
      </c>
    </row>
    <row r="1007" spans="1:21" x14ac:dyDescent="0.25">
      <c r="A1007">
        <v>1006</v>
      </c>
      <c r="B1007" t="s">
        <v>1870</v>
      </c>
      <c r="C1007" s="1">
        <v>46018</v>
      </c>
      <c r="D1007" t="s">
        <v>21</v>
      </c>
      <c r="E1007" t="s">
        <v>22</v>
      </c>
      <c r="F1007" t="s">
        <v>30</v>
      </c>
      <c r="G1007" t="s">
        <v>24</v>
      </c>
      <c r="H1007" s="2">
        <v>1</v>
      </c>
      <c r="I1007" t="s">
        <v>1871</v>
      </c>
      <c r="J1007" t="s">
        <v>26</v>
      </c>
      <c r="K1007">
        <v>13671000</v>
      </c>
      <c r="L1007">
        <v>0</v>
      </c>
      <c r="M1007">
        <v>0</v>
      </c>
      <c r="N1007">
        <v>1503810</v>
      </c>
      <c r="O1007">
        <v>0</v>
      </c>
      <c r="P1007">
        <v>0</v>
      </c>
      <c r="Q1007">
        <v>0</v>
      </c>
      <c r="R1007">
        <v>15174810</v>
      </c>
      <c r="S1007">
        <v>3736945.9459500001</v>
      </c>
      <c r="T1007">
        <v>27.334839777266001</v>
      </c>
      <c r="U1007" t="str">
        <f t="shared" si="15"/>
        <v>Week 4</v>
      </c>
    </row>
    <row r="1008" spans="1:21" x14ac:dyDescent="0.25">
      <c r="A1008">
        <v>1007</v>
      </c>
      <c r="B1008" t="s">
        <v>1872</v>
      </c>
      <c r="C1008" s="1">
        <v>46018</v>
      </c>
      <c r="D1008" t="s">
        <v>440</v>
      </c>
      <c r="E1008" t="s">
        <v>100</v>
      </c>
      <c r="F1008" t="s">
        <v>30</v>
      </c>
      <c r="G1008" t="s">
        <v>24</v>
      </c>
      <c r="H1008" s="2">
        <v>1</v>
      </c>
      <c r="I1008" t="s">
        <v>1873</v>
      </c>
      <c r="K1008">
        <v>26265000</v>
      </c>
      <c r="L1008">
        <v>0</v>
      </c>
      <c r="M1008">
        <v>0</v>
      </c>
      <c r="N1008">
        <v>2889150</v>
      </c>
      <c r="O1008">
        <v>0</v>
      </c>
      <c r="P1008">
        <v>0</v>
      </c>
      <c r="Q1008">
        <v>0</v>
      </c>
      <c r="R1008">
        <v>29154150</v>
      </c>
      <c r="S1008">
        <v>765000</v>
      </c>
      <c r="T1008">
        <v>2.9126213592233001</v>
      </c>
      <c r="U1008" t="str">
        <f t="shared" si="15"/>
        <v>Week 4</v>
      </c>
    </row>
    <row r="1009" spans="1:21" x14ac:dyDescent="0.25">
      <c r="A1009">
        <v>1008</v>
      </c>
      <c r="B1009" t="s">
        <v>1874</v>
      </c>
      <c r="C1009" s="1">
        <v>46018</v>
      </c>
      <c r="D1009" t="s">
        <v>171</v>
      </c>
      <c r="E1009" t="s">
        <v>1303</v>
      </c>
      <c r="F1009" t="s">
        <v>23</v>
      </c>
      <c r="G1009" t="s">
        <v>24</v>
      </c>
      <c r="H1009" s="2">
        <v>1</v>
      </c>
      <c r="I1009" t="s">
        <v>1875</v>
      </c>
      <c r="J1009" t="s">
        <v>57</v>
      </c>
      <c r="K1009">
        <v>161178750</v>
      </c>
      <c r="L1009">
        <v>0</v>
      </c>
      <c r="M1009">
        <v>0</v>
      </c>
      <c r="N1009">
        <v>17729662.5</v>
      </c>
      <c r="O1009">
        <v>0</v>
      </c>
      <c r="P1009">
        <v>0</v>
      </c>
      <c r="Q1009">
        <v>0</v>
      </c>
      <c r="R1009">
        <v>178908412.5</v>
      </c>
      <c r="S1009">
        <v>32230750</v>
      </c>
      <c r="T1009">
        <v>19.996897854090999</v>
      </c>
      <c r="U1009" t="str">
        <f t="shared" si="15"/>
        <v>Week 4</v>
      </c>
    </row>
    <row r="1010" spans="1:21" x14ac:dyDescent="0.25">
      <c r="A1010">
        <v>1009</v>
      </c>
      <c r="B1010" t="s">
        <v>1876</v>
      </c>
      <c r="C1010" s="1">
        <v>46017</v>
      </c>
      <c r="D1010" t="s">
        <v>113</v>
      </c>
      <c r="E1010" t="s">
        <v>1554</v>
      </c>
      <c r="F1010" t="s">
        <v>23</v>
      </c>
      <c r="G1010" t="s">
        <v>24</v>
      </c>
      <c r="H1010" s="2">
        <v>1</v>
      </c>
      <c r="I1010" t="s">
        <v>1877</v>
      </c>
      <c r="K1010">
        <v>63160489</v>
      </c>
      <c r="L1010">
        <v>0</v>
      </c>
      <c r="M1010">
        <v>0</v>
      </c>
      <c r="N1010">
        <v>6947653.79</v>
      </c>
      <c r="O1010">
        <v>0</v>
      </c>
      <c r="P1010">
        <v>0</v>
      </c>
      <c r="Q1010">
        <v>0</v>
      </c>
      <c r="R1010">
        <v>70108142.790000007</v>
      </c>
      <c r="S1010">
        <v>8709489</v>
      </c>
      <c r="T1010">
        <v>13.789457836527999</v>
      </c>
      <c r="U1010" t="str">
        <f t="shared" si="15"/>
        <v>Week 4</v>
      </c>
    </row>
    <row r="1011" spans="1:21" x14ac:dyDescent="0.25">
      <c r="A1011">
        <v>1010</v>
      </c>
      <c r="B1011" t="s">
        <v>1878</v>
      </c>
      <c r="C1011" s="1">
        <v>46017</v>
      </c>
      <c r="D1011" t="s">
        <v>33</v>
      </c>
      <c r="E1011" t="s">
        <v>34</v>
      </c>
      <c r="F1011" t="s">
        <v>30</v>
      </c>
      <c r="G1011" t="s">
        <v>24</v>
      </c>
      <c r="H1011" s="2">
        <v>1</v>
      </c>
      <c r="I1011" t="s">
        <v>1879</v>
      </c>
      <c r="J1011" t="s">
        <v>26</v>
      </c>
      <c r="K1011">
        <v>5141864</v>
      </c>
      <c r="L1011">
        <v>0</v>
      </c>
      <c r="M1011">
        <v>0</v>
      </c>
      <c r="N1011">
        <v>565605.04</v>
      </c>
      <c r="O1011">
        <v>0</v>
      </c>
      <c r="P1011">
        <v>0</v>
      </c>
      <c r="Q1011">
        <v>0</v>
      </c>
      <c r="R1011">
        <v>5707469.04</v>
      </c>
      <c r="S1011">
        <v>1283040.5765766001</v>
      </c>
      <c r="T1011">
        <v>24.952829879915001</v>
      </c>
      <c r="U1011" t="str">
        <f t="shared" si="15"/>
        <v>Week 4</v>
      </c>
    </row>
    <row r="1012" spans="1:21" x14ac:dyDescent="0.25">
      <c r="A1012">
        <v>1011</v>
      </c>
      <c r="B1012" t="s">
        <v>1880</v>
      </c>
      <c r="C1012" s="1">
        <v>46017</v>
      </c>
      <c r="D1012" t="s">
        <v>54</v>
      </c>
      <c r="E1012" t="s">
        <v>1554</v>
      </c>
      <c r="F1012" t="s">
        <v>30</v>
      </c>
      <c r="G1012" t="s">
        <v>24</v>
      </c>
      <c r="H1012" s="2">
        <v>1</v>
      </c>
      <c r="I1012" t="s">
        <v>1881</v>
      </c>
      <c r="K1012">
        <v>1470000</v>
      </c>
      <c r="L1012">
        <v>0</v>
      </c>
      <c r="M1012">
        <v>0</v>
      </c>
      <c r="N1012">
        <v>161700</v>
      </c>
      <c r="O1012">
        <v>0</v>
      </c>
      <c r="P1012">
        <v>0</v>
      </c>
      <c r="Q1012">
        <v>0</v>
      </c>
      <c r="R1012">
        <v>1631700</v>
      </c>
      <c r="S1012">
        <v>300000</v>
      </c>
      <c r="T1012">
        <v>20.408163265306001</v>
      </c>
      <c r="U1012" t="str">
        <f t="shared" si="15"/>
        <v>Week 4</v>
      </c>
    </row>
    <row r="1013" spans="1:21" x14ac:dyDescent="0.25">
      <c r="A1013">
        <v>1012</v>
      </c>
      <c r="B1013" t="s">
        <v>1882</v>
      </c>
      <c r="C1013" s="1">
        <v>46017</v>
      </c>
      <c r="D1013" t="s">
        <v>21</v>
      </c>
      <c r="E1013" t="s">
        <v>22</v>
      </c>
      <c r="F1013" t="s">
        <v>30</v>
      </c>
      <c r="G1013" t="s">
        <v>24</v>
      </c>
      <c r="H1013" s="2">
        <v>1</v>
      </c>
      <c r="I1013" t="s">
        <v>1883</v>
      </c>
      <c r="J1013" t="s">
        <v>26</v>
      </c>
      <c r="K1013">
        <v>57463759</v>
      </c>
      <c r="L1013">
        <v>0</v>
      </c>
      <c r="M1013">
        <v>0</v>
      </c>
      <c r="N1013">
        <v>6321013.4900000002</v>
      </c>
      <c r="O1013">
        <v>0</v>
      </c>
      <c r="P1013">
        <v>0</v>
      </c>
      <c r="Q1013">
        <v>0</v>
      </c>
      <c r="R1013">
        <v>63784772.490000002</v>
      </c>
      <c r="S1013">
        <v>1673688</v>
      </c>
      <c r="T1013">
        <v>2.9125974860085</v>
      </c>
      <c r="U1013" t="str">
        <f t="shared" si="15"/>
        <v>Week 4</v>
      </c>
    </row>
    <row r="1014" spans="1:21" x14ac:dyDescent="0.25">
      <c r="A1014">
        <v>1013</v>
      </c>
      <c r="B1014" t="s">
        <v>1884</v>
      </c>
      <c r="C1014" s="1">
        <v>46017</v>
      </c>
      <c r="D1014" t="s">
        <v>21</v>
      </c>
      <c r="E1014" t="s">
        <v>22</v>
      </c>
      <c r="F1014" t="s">
        <v>30</v>
      </c>
      <c r="G1014" t="s">
        <v>24</v>
      </c>
      <c r="H1014" s="2">
        <v>1</v>
      </c>
      <c r="I1014" t="s">
        <v>1885</v>
      </c>
      <c r="K1014">
        <v>337120</v>
      </c>
      <c r="L1014">
        <v>0</v>
      </c>
      <c r="M1014">
        <v>0</v>
      </c>
      <c r="N1014">
        <v>37083.199999999997</v>
      </c>
      <c r="O1014">
        <v>0</v>
      </c>
      <c r="P1014">
        <v>0</v>
      </c>
      <c r="Q1014">
        <v>0</v>
      </c>
      <c r="R1014">
        <v>374203.2</v>
      </c>
      <c r="S1014">
        <v>-369666.62162162003</v>
      </c>
      <c r="T1014">
        <v>-109.65431348529</v>
      </c>
      <c r="U1014" t="str">
        <f t="shared" si="15"/>
        <v>Week 4</v>
      </c>
    </row>
    <row r="1015" spans="1:21" x14ac:dyDescent="0.25">
      <c r="A1015">
        <v>1014</v>
      </c>
      <c r="B1015" t="s">
        <v>1886</v>
      </c>
      <c r="C1015" s="1">
        <v>46017</v>
      </c>
      <c r="D1015" t="s">
        <v>21</v>
      </c>
      <c r="E1015" t="s">
        <v>22</v>
      </c>
      <c r="F1015" t="s">
        <v>30</v>
      </c>
      <c r="G1015" t="s">
        <v>24</v>
      </c>
      <c r="H1015" s="2">
        <v>1</v>
      </c>
      <c r="I1015" t="s">
        <v>1887</v>
      </c>
      <c r="J1015" t="s">
        <v>26</v>
      </c>
      <c r="K1015">
        <v>17806795.02</v>
      </c>
      <c r="L1015">
        <v>0</v>
      </c>
      <c r="M1015">
        <v>0</v>
      </c>
      <c r="N1015">
        <v>1958747.4521999999</v>
      </c>
      <c r="O1015">
        <v>0</v>
      </c>
      <c r="P1015">
        <v>0</v>
      </c>
      <c r="Q1015">
        <v>0</v>
      </c>
      <c r="R1015">
        <v>19765542.472199999</v>
      </c>
      <c r="S1015">
        <v>5349396.8882926004</v>
      </c>
      <c r="T1015">
        <v>30.041323451436998</v>
      </c>
      <c r="U1015" t="str">
        <f t="shared" si="15"/>
        <v>Week 4</v>
      </c>
    </row>
    <row r="1016" spans="1:21" x14ac:dyDescent="0.25">
      <c r="A1016">
        <v>1015</v>
      </c>
      <c r="B1016" t="s">
        <v>1888</v>
      </c>
      <c r="C1016" s="1">
        <v>46017</v>
      </c>
      <c r="D1016" t="s">
        <v>204</v>
      </c>
      <c r="E1016" t="s">
        <v>22</v>
      </c>
      <c r="F1016" t="s">
        <v>30</v>
      </c>
      <c r="G1016" t="s">
        <v>24</v>
      </c>
      <c r="H1016" s="2">
        <v>1</v>
      </c>
      <c r="I1016" t="s">
        <v>1889</v>
      </c>
      <c r="J1016" t="s">
        <v>26</v>
      </c>
      <c r="K1016">
        <v>440000</v>
      </c>
      <c r="L1016">
        <v>0</v>
      </c>
      <c r="M1016">
        <v>0</v>
      </c>
      <c r="N1016">
        <v>48400</v>
      </c>
      <c r="O1016">
        <v>0</v>
      </c>
      <c r="P1016">
        <v>0</v>
      </c>
      <c r="Q1016">
        <v>0</v>
      </c>
      <c r="R1016">
        <v>488400</v>
      </c>
      <c r="S1016">
        <v>10130</v>
      </c>
      <c r="T1016">
        <v>2.3022727272727002</v>
      </c>
      <c r="U1016" t="str">
        <f t="shared" si="15"/>
        <v>Week 4</v>
      </c>
    </row>
    <row r="1017" spans="1:21" x14ac:dyDescent="0.25">
      <c r="A1017">
        <v>1016</v>
      </c>
      <c r="B1017" t="s">
        <v>1890</v>
      </c>
      <c r="C1017" s="1">
        <v>46017</v>
      </c>
      <c r="D1017" t="s">
        <v>21</v>
      </c>
      <c r="E1017" t="s">
        <v>22</v>
      </c>
      <c r="F1017" t="s">
        <v>30</v>
      </c>
      <c r="G1017" t="s">
        <v>24</v>
      </c>
      <c r="H1017" s="2">
        <v>1</v>
      </c>
      <c r="I1017" t="s">
        <v>1891</v>
      </c>
      <c r="J1017" t="s">
        <v>26</v>
      </c>
      <c r="K1017">
        <v>4518485</v>
      </c>
      <c r="L1017">
        <v>0</v>
      </c>
      <c r="M1017">
        <v>0</v>
      </c>
      <c r="N1017">
        <v>497033.35</v>
      </c>
      <c r="O1017">
        <v>0</v>
      </c>
      <c r="P1017">
        <v>0</v>
      </c>
      <c r="Q1017">
        <v>0</v>
      </c>
      <c r="R1017">
        <v>5015518.3499999996</v>
      </c>
      <c r="S1017">
        <v>2100154</v>
      </c>
      <c r="T1017">
        <v>46.479162816741002</v>
      </c>
      <c r="U1017" t="str">
        <f t="shared" si="15"/>
        <v>Week 4</v>
      </c>
    </row>
    <row r="1018" spans="1:21" x14ac:dyDescent="0.25">
      <c r="A1018">
        <v>1017</v>
      </c>
      <c r="B1018" t="s">
        <v>1892</v>
      </c>
      <c r="C1018" s="1">
        <v>46017</v>
      </c>
      <c r="D1018" t="s">
        <v>21</v>
      </c>
      <c r="E1018" t="s">
        <v>22</v>
      </c>
      <c r="F1018" t="s">
        <v>30</v>
      </c>
      <c r="G1018" t="s">
        <v>24</v>
      </c>
      <c r="H1018" s="2">
        <v>1</v>
      </c>
      <c r="I1018" t="s">
        <v>1893</v>
      </c>
      <c r="J1018" t="s">
        <v>26</v>
      </c>
      <c r="K1018">
        <v>201477887</v>
      </c>
      <c r="L1018">
        <v>0</v>
      </c>
      <c r="M1018">
        <v>0</v>
      </c>
      <c r="N1018">
        <v>22162567.57</v>
      </c>
      <c r="O1018">
        <v>0</v>
      </c>
      <c r="P1018">
        <v>0</v>
      </c>
      <c r="Q1018">
        <v>0</v>
      </c>
      <c r="R1018">
        <v>223640454.56999999</v>
      </c>
      <c r="S1018">
        <v>-60284113</v>
      </c>
      <c r="T1018">
        <v>-29.920957529199999</v>
      </c>
      <c r="U1018" t="str">
        <f t="shared" si="15"/>
        <v>Week 4</v>
      </c>
    </row>
    <row r="1019" spans="1:21" x14ac:dyDescent="0.25">
      <c r="A1019">
        <v>1018</v>
      </c>
      <c r="B1019" t="s">
        <v>1894</v>
      </c>
      <c r="C1019" s="1">
        <v>46017</v>
      </c>
      <c r="D1019" t="s">
        <v>171</v>
      </c>
      <c r="E1019" t="s">
        <v>1303</v>
      </c>
      <c r="F1019" t="s">
        <v>23</v>
      </c>
      <c r="G1019" t="s">
        <v>24</v>
      </c>
      <c r="H1019" s="2">
        <v>1</v>
      </c>
      <c r="I1019" t="s">
        <v>1895</v>
      </c>
      <c r="K1019">
        <v>55536000</v>
      </c>
      <c r="L1019">
        <v>0</v>
      </c>
      <c r="M1019">
        <v>0</v>
      </c>
      <c r="N1019">
        <v>6108960</v>
      </c>
      <c r="O1019">
        <v>0</v>
      </c>
      <c r="P1019">
        <v>0</v>
      </c>
      <c r="Q1019">
        <v>0</v>
      </c>
      <c r="R1019">
        <v>61644960</v>
      </c>
      <c r="S1019">
        <v>338760.90684665</v>
      </c>
      <c r="T1019">
        <v>0.60998434681404001</v>
      </c>
      <c r="U1019" t="str">
        <f t="shared" si="15"/>
        <v>Week 4</v>
      </c>
    </row>
    <row r="1020" spans="1:21" x14ac:dyDescent="0.25">
      <c r="A1020">
        <v>1019</v>
      </c>
      <c r="B1020" t="s">
        <v>1896</v>
      </c>
      <c r="C1020" s="1">
        <v>46015</v>
      </c>
      <c r="D1020" t="s">
        <v>54</v>
      </c>
      <c r="E1020" t="s">
        <v>1554</v>
      </c>
      <c r="F1020" t="s">
        <v>30</v>
      </c>
      <c r="G1020" t="s">
        <v>24</v>
      </c>
      <c r="H1020" s="2">
        <v>1</v>
      </c>
      <c r="I1020" t="s">
        <v>1897</v>
      </c>
      <c r="K1020">
        <v>59896858</v>
      </c>
      <c r="L1020">
        <v>0</v>
      </c>
      <c r="M1020">
        <v>0</v>
      </c>
      <c r="N1020">
        <v>6588654.3799999999</v>
      </c>
      <c r="O1020">
        <v>0</v>
      </c>
      <c r="P1020">
        <v>0</v>
      </c>
      <c r="Q1020">
        <v>0</v>
      </c>
      <c r="R1020">
        <v>66485512.380000003</v>
      </c>
      <c r="S1020">
        <v>3535479.5</v>
      </c>
      <c r="T1020">
        <v>5.9026126211829002</v>
      </c>
      <c r="U1020" t="str">
        <f t="shared" si="15"/>
        <v>Week 4</v>
      </c>
    </row>
    <row r="1021" spans="1:21" x14ac:dyDescent="0.25">
      <c r="A1021">
        <v>1020</v>
      </c>
      <c r="B1021" t="s">
        <v>1898</v>
      </c>
      <c r="C1021" s="1">
        <v>46015</v>
      </c>
      <c r="D1021" t="s">
        <v>520</v>
      </c>
      <c r="E1021" t="s">
        <v>1554</v>
      </c>
      <c r="F1021" t="s">
        <v>30</v>
      </c>
      <c r="G1021" t="s">
        <v>24</v>
      </c>
      <c r="H1021" s="2">
        <v>1</v>
      </c>
      <c r="I1021" t="s">
        <v>1899</v>
      </c>
      <c r="K1021">
        <v>2582674</v>
      </c>
      <c r="L1021">
        <v>0</v>
      </c>
      <c r="M1021">
        <v>0</v>
      </c>
      <c r="N1021">
        <v>284094.14</v>
      </c>
      <c r="O1021">
        <v>0</v>
      </c>
      <c r="P1021">
        <v>0</v>
      </c>
      <c r="Q1021">
        <v>0</v>
      </c>
      <c r="R1021">
        <v>2866768.14</v>
      </c>
      <c r="S1021">
        <v>-875326</v>
      </c>
      <c r="T1021">
        <v>-33.892237270363999</v>
      </c>
      <c r="U1021" t="str">
        <f t="shared" si="15"/>
        <v>Week 4</v>
      </c>
    </row>
    <row r="1022" spans="1:21" x14ac:dyDescent="0.25">
      <c r="A1022">
        <v>1021</v>
      </c>
      <c r="B1022" t="s">
        <v>1900</v>
      </c>
      <c r="C1022" s="1">
        <v>46015</v>
      </c>
      <c r="D1022" t="s">
        <v>54</v>
      </c>
      <c r="E1022" t="s">
        <v>1554</v>
      </c>
      <c r="F1022" t="s">
        <v>30</v>
      </c>
      <c r="G1022" t="s">
        <v>24</v>
      </c>
      <c r="H1022" s="2">
        <v>1</v>
      </c>
      <c r="I1022" t="s">
        <v>1901</v>
      </c>
      <c r="K1022">
        <v>6296500</v>
      </c>
      <c r="L1022">
        <v>0</v>
      </c>
      <c r="M1022">
        <v>0</v>
      </c>
      <c r="N1022">
        <v>692615</v>
      </c>
      <c r="O1022">
        <v>0</v>
      </c>
      <c r="P1022">
        <v>0</v>
      </c>
      <c r="Q1022">
        <v>0</v>
      </c>
      <c r="R1022">
        <v>6989115</v>
      </c>
      <c r="S1022">
        <v>761500</v>
      </c>
      <c r="T1022">
        <v>12.094020487571999</v>
      </c>
      <c r="U1022" t="str">
        <f t="shared" si="15"/>
        <v>Week 4</v>
      </c>
    </row>
    <row r="1023" spans="1:21" x14ac:dyDescent="0.25">
      <c r="A1023">
        <v>1022</v>
      </c>
      <c r="B1023" t="s">
        <v>1902</v>
      </c>
      <c r="C1023" s="1">
        <v>46015</v>
      </c>
      <c r="D1023" t="s">
        <v>54</v>
      </c>
      <c r="E1023" t="s">
        <v>1554</v>
      </c>
      <c r="F1023" t="s">
        <v>30</v>
      </c>
      <c r="G1023" t="s">
        <v>24</v>
      </c>
      <c r="H1023" s="2">
        <v>1</v>
      </c>
      <c r="I1023" t="s">
        <v>1903</v>
      </c>
      <c r="K1023">
        <v>1259300</v>
      </c>
      <c r="L1023">
        <v>0</v>
      </c>
      <c r="M1023">
        <v>0</v>
      </c>
      <c r="N1023">
        <v>138523</v>
      </c>
      <c r="O1023">
        <v>0</v>
      </c>
      <c r="P1023">
        <v>0</v>
      </c>
      <c r="Q1023">
        <v>0</v>
      </c>
      <c r="R1023">
        <v>1397823</v>
      </c>
      <c r="S1023">
        <v>152300</v>
      </c>
      <c r="T1023">
        <v>12.094020487571999</v>
      </c>
      <c r="U1023" t="str">
        <f t="shared" si="15"/>
        <v>Week 4</v>
      </c>
    </row>
    <row r="1024" spans="1:21" x14ac:dyDescent="0.25">
      <c r="A1024">
        <v>1023</v>
      </c>
      <c r="B1024" t="s">
        <v>1904</v>
      </c>
      <c r="C1024" s="1">
        <v>46015</v>
      </c>
      <c r="D1024" t="s">
        <v>252</v>
      </c>
      <c r="E1024" t="s">
        <v>100</v>
      </c>
      <c r="F1024" t="s">
        <v>30</v>
      </c>
      <c r="G1024" t="s">
        <v>24</v>
      </c>
      <c r="H1024" s="2">
        <v>1</v>
      </c>
      <c r="I1024" t="s">
        <v>1905</v>
      </c>
      <c r="J1024" t="s">
        <v>26</v>
      </c>
      <c r="K1024">
        <v>9300200</v>
      </c>
      <c r="L1024">
        <v>0</v>
      </c>
      <c r="M1024">
        <v>0</v>
      </c>
      <c r="N1024">
        <v>1023022</v>
      </c>
      <c r="O1024">
        <v>0</v>
      </c>
      <c r="P1024">
        <v>0</v>
      </c>
      <c r="Q1024">
        <v>0</v>
      </c>
      <c r="R1024">
        <v>10323222</v>
      </c>
      <c r="S1024">
        <v>1705605.42</v>
      </c>
      <c r="T1024">
        <v>18.339448829057002</v>
      </c>
      <c r="U1024" t="str">
        <f t="shared" si="15"/>
        <v>Week 4</v>
      </c>
    </row>
    <row r="1025" spans="1:21" x14ac:dyDescent="0.25">
      <c r="A1025">
        <v>1024</v>
      </c>
      <c r="B1025" t="s">
        <v>1906</v>
      </c>
      <c r="C1025" s="1">
        <v>46015</v>
      </c>
      <c r="D1025" t="s">
        <v>54</v>
      </c>
      <c r="E1025" t="s">
        <v>1554</v>
      </c>
      <c r="F1025" t="s">
        <v>30</v>
      </c>
      <c r="G1025" t="s">
        <v>24</v>
      </c>
      <c r="H1025" s="2">
        <v>1</v>
      </c>
      <c r="I1025" t="s">
        <v>1907</v>
      </c>
      <c r="K1025">
        <v>1116474.8</v>
      </c>
      <c r="L1025">
        <v>0</v>
      </c>
      <c r="M1025">
        <v>0</v>
      </c>
      <c r="N1025">
        <v>122812.228</v>
      </c>
      <c r="O1025">
        <v>0</v>
      </c>
      <c r="P1025">
        <v>0</v>
      </c>
      <c r="Q1025">
        <v>0</v>
      </c>
      <c r="R1025">
        <v>1239287.0279999999</v>
      </c>
      <c r="S1025">
        <v>611970.29549549997</v>
      </c>
      <c r="T1025">
        <v>54.812728016386998</v>
      </c>
      <c r="U1025" t="str">
        <f t="shared" si="15"/>
        <v>Week 4</v>
      </c>
    </row>
    <row r="1026" spans="1:21" x14ac:dyDescent="0.25">
      <c r="A1026">
        <v>1025</v>
      </c>
      <c r="B1026" t="s">
        <v>1908</v>
      </c>
      <c r="C1026" s="1">
        <v>46015</v>
      </c>
      <c r="D1026" t="s">
        <v>21</v>
      </c>
      <c r="E1026" t="s">
        <v>22</v>
      </c>
      <c r="F1026" t="s">
        <v>30</v>
      </c>
      <c r="G1026" t="s">
        <v>24</v>
      </c>
      <c r="H1026" s="2">
        <v>1</v>
      </c>
      <c r="I1026" t="s">
        <v>1909</v>
      </c>
      <c r="K1026">
        <v>1914345</v>
      </c>
      <c r="L1026">
        <v>0</v>
      </c>
      <c r="M1026">
        <v>0</v>
      </c>
      <c r="N1026">
        <v>210577.95</v>
      </c>
      <c r="O1026">
        <v>0</v>
      </c>
      <c r="P1026">
        <v>0</v>
      </c>
      <c r="Q1026">
        <v>0</v>
      </c>
      <c r="R1026">
        <v>2124922.9500000002</v>
      </c>
      <c r="S1026">
        <v>550651.30630631</v>
      </c>
      <c r="T1026">
        <v>28.764475907232001</v>
      </c>
      <c r="U1026" t="str">
        <f t="shared" si="15"/>
        <v>Week 4</v>
      </c>
    </row>
    <row r="1027" spans="1:21" x14ac:dyDescent="0.25">
      <c r="A1027">
        <v>1026</v>
      </c>
      <c r="B1027" t="s">
        <v>1910</v>
      </c>
      <c r="C1027" s="1">
        <v>46015</v>
      </c>
      <c r="D1027" t="s">
        <v>252</v>
      </c>
      <c r="E1027" t="s">
        <v>100</v>
      </c>
      <c r="F1027" t="s">
        <v>30</v>
      </c>
      <c r="G1027" t="s">
        <v>24</v>
      </c>
      <c r="H1027" s="2">
        <v>1</v>
      </c>
      <c r="I1027" t="s">
        <v>1911</v>
      </c>
      <c r="J1027" t="s">
        <v>26</v>
      </c>
      <c r="K1027">
        <v>20406616</v>
      </c>
      <c r="L1027">
        <v>0</v>
      </c>
      <c r="M1027">
        <v>0</v>
      </c>
      <c r="N1027">
        <v>2244727.7599999998</v>
      </c>
      <c r="O1027">
        <v>0</v>
      </c>
      <c r="P1027">
        <v>0</v>
      </c>
      <c r="Q1027">
        <v>0</v>
      </c>
      <c r="R1027">
        <v>22651343.760000002</v>
      </c>
      <c r="S1027">
        <v>1476616</v>
      </c>
      <c r="T1027">
        <v>7.2359670020742</v>
      </c>
      <c r="U1027" t="str">
        <f t="shared" ref="U1027:U1090" si="16">"Week " &amp;IF(DAY(C1027)&gt;=24,4,INT((DAY(C1027)-1)/7)+1)</f>
        <v>Week 4</v>
      </c>
    </row>
    <row r="1028" spans="1:21" x14ac:dyDescent="0.25">
      <c r="A1028">
        <v>1027</v>
      </c>
      <c r="B1028" t="s">
        <v>1912</v>
      </c>
      <c r="C1028" s="1">
        <v>46015</v>
      </c>
      <c r="D1028" t="s">
        <v>252</v>
      </c>
      <c r="E1028" t="s">
        <v>100</v>
      </c>
      <c r="F1028" t="s">
        <v>30</v>
      </c>
      <c r="G1028" t="s">
        <v>24</v>
      </c>
      <c r="H1028" s="2">
        <v>1</v>
      </c>
      <c r="I1028" t="s">
        <v>1657</v>
      </c>
      <c r="J1028" t="s">
        <v>26</v>
      </c>
      <c r="K1028">
        <v>2989000</v>
      </c>
      <c r="L1028">
        <v>0</v>
      </c>
      <c r="M1028">
        <v>0</v>
      </c>
      <c r="N1028">
        <v>328790</v>
      </c>
      <c r="O1028">
        <v>0</v>
      </c>
      <c r="P1028">
        <v>0</v>
      </c>
      <c r="Q1028">
        <v>0</v>
      </c>
      <c r="R1028">
        <v>3317790</v>
      </c>
      <c r="S1028">
        <v>109000</v>
      </c>
      <c r="T1028">
        <v>3.6467045834727001</v>
      </c>
      <c r="U1028" t="str">
        <f t="shared" si="16"/>
        <v>Week 4</v>
      </c>
    </row>
    <row r="1029" spans="1:21" x14ac:dyDescent="0.25">
      <c r="A1029">
        <v>1028</v>
      </c>
      <c r="B1029" t="s">
        <v>1913</v>
      </c>
      <c r="C1029" s="1">
        <v>46015</v>
      </c>
      <c r="D1029" t="s">
        <v>21</v>
      </c>
      <c r="E1029" t="s">
        <v>22</v>
      </c>
      <c r="F1029" t="s">
        <v>30</v>
      </c>
      <c r="G1029" t="s">
        <v>24</v>
      </c>
      <c r="H1029" s="2">
        <v>1</v>
      </c>
      <c r="I1029" t="s">
        <v>1914</v>
      </c>
      <c r="K1029">
        <v>729120</v>
      </c>
      <c r="L1029">
        <v>0</v>
      </c>
      <c r="M1029">
        <v>0</v>
      </c>
      <c r="N1029">
        <v>80203.199999999997</v>
      </c>
      <c r="O1029">
        <v>0</v>
      </c>
      <c r="P1029">
        <v>0</v>
      </c>
      <c r="Q1029">
        <v>0</v>
      </c>
      <c r="R1029">
        <v>809323.2</v>
      </c>
      <c r="S1029">
        <v>442723.61081081</v>
      </c>
      <c r="T1029">
        <v>60.720267008284999</v>
      </c>
      <c r="U1029" t="str">
        <f t="shared" si="16"/>
        <v>Week 4</v>
      </c>
    </row>
    <row r="1030" spans="1:21" x14ac:dyDescent="0.25">
      <c r="C1030" s="1"/>
      <c r="H1030" s="2"/>
    </row>
    <row r="1031" spans="1:21" x14ac:dyDescent="0.25">
      <c r="A1031">
        <v>1030</v>
      </c>
      <c r="B1031" t="s">
        <v>1915</v>
      </c>
      <c r="C1031" s="1">
        <v>46015</v>
      </c>
      <c r="D1031" t="s">
        <v>33</v>
      </c>
      <c r="E1031" t="s">
        <v>34</v>
      </c>
      <c r="F1031" t="s">
        <v>30</v>
      </c>
      <c r="G1031" t="s">
        <v>24</v>
      </c>
      <c r="H1031" s="2">
        <v>1</v>
      </c>
      <c r="I1031" t="s">
        <v>1916</v>
      </c>
      <c r="K1031">
        <v>7128000</v>
      </c>
      <c r="L1031">
        <v>0</v>
      </c>
      <c r="M1031">
        <v>0</v>
      </c>
      <c r="N1031">
        <v>784080</v>
      </c>
      <c r="O1031">
        <v>0</v>
      </c>
      <c r="P1031">
        <v>0</v>
      </c>
      <c r="Q1031">
        <v>0</v>
      </c>
      <c r="R1031">
        <v>7912080</v>
      </c>
      <c r="S1031">
        <v>1728000</v>
      </c>
      <c r="T1031">
        <v>24.242424242424001</v>
      </c>
      <c r="U1031" t="str">
        <f t="shared" si="16"/>
        <v>Week 4</v>
      </c>
    </row>
    <row r="1032" spans="1:21" x14ac:dyDescent="0.25">
      <c r="A1032">
        <v>1031</v>
      </c>
      <c r="B1032" t="s">
        <v>1917</v>
      </c>
      <c r="C1032" s="1">
        <v>46015</v>
      </c>
      <c r="D1032" t="s">
        <v>21</v>
      </c>
      <c r="E1032" t="s">
        <v>22</v>
      </c>
      <c r="F1032" t="s">
        <v>30</v>
      </c>
      <c r="G1032" t="s">
        <v>24</v>
      </c>
      <c r="H1032" s="2">
        <v>1</v>
      </c>
      <c r="I1032" t="s">
        <v>1641</v>
      </c>
      <c r="J1032" t="s">
        <v>26</v>
      </c>
      <c r="K1032">
        <v>570360</v>
      </c>
      <c r="L1032">
        <v>0</v>
      </c>
      <c r="M1032">
        <v>0</v>
      </c>
      <c r="N1032">
        <v>62739.6</v>
      </c>
      <c r="O1032">
        <v>0</v>
      </c>
      <c r="P1032">
        <v>0</v>
      </c>
      <c r="Q1032">
        <v>0</v>
      </c>
      <c r="R1032">
        <v>633099.6</v>
      </c>
      <c r="S1032">
        <v>300360</v>
      </c>
      <c r="T1032">
        <v>52.661476961919</v>
      </c>
      <c r="U1032" t="str">
        <f t="shared" si="16"/>
        <v>Week 4</v>
      </c>
    </row>
    <row r="1033" spans="1:21" x14ac:dyDescent="0.25">
      <c r="A1033">
        <v>1032</v>
      </c>
      <c r="B1033" t="s">
        <v>1918</v>
      </c>
      <c r="C1033" s="1">
        <v>46015</v>
      </c>
      <c r="D1033" t="s">
        <v>204</v>
      </c>
      <c r="E1033" t="s">
        <v>22</v>
      </c>
      <c r="F1033" t="s">
        <v>30</v>
      </c>
      <c r="G1033" t="s">
        <v>24</v>
      </c>
      <c r="H1033" s="2">
        <v>1</v>
      </c>
      <c r="I1033" t="s">
        <v>1919</v>
      </c>
      <c r="J1033" t="s">
        <v>26</v>
      </c>
      <c r="K1033">
        <v>1708000</v>
      </c>
      <c r="L1033">
        <v>0</v>
      </c>
      <c r="M1033">
        <v>0</v>
      </c>
      <c r="N1033">
        <v>187880</v>
      </c>
      <c r="O1033">
        <v>0</v>
      </c>
      <c r="P1033">
        <v>0</v>
      </c>
      <c r="Q1033">
        <v>0</v>
      </c>
      <c r="R1033">
        <v>1895880</v>
      </c>
      <c r="S1033">
        <v>10026.216216209999</v>
      </c>
      <c r="T1033">
        <v>0.58701500094905001</v>
      </c>
      <c r="U1033" t="str">
        <f t="shared" si="16"/>
        <v>Week 4</v>
      </c>
    </row>
    <row r="1034" spans="1:21" x14ac:dyDescent="0.25">
      <c r="A1034">
        <v>1033</v>
      </c>
      <c r="B1034" t="s">
        <v>1920</v>
      </c>
      <c r="C1034" s="1">
        <v>46015</v>
      </c>
      <c r="D1034" t="s">
        <v>21</v>
      </c>
      <c r="E1034" t="s">
        <v>22</v>
      </c>
      <c r="F1034" t="s">
        <v>30</v>
      </c>
      <c r="G1034" t="s">
        <v>24</v>
      </c>
      <c r="H1034" s="2">
        <v>1</v>
      </c>
      <c r="I1034" t="s">
        <v>1921</v>
      </c>
      <c r="J1034" t="s">
        <v>26</v>
      </c>
      <c r="K1034">
        <v>5329985</v>
      </c>
      <c r="L1034">
        <v>0</v>
      </c>
      <c r="M1034">
        <v>0</v>
      </c>
      <c r="N1034">
        <v>586298.35</v>
      </c>
      <c r="O1034">
        <v>0</v>
      </c>
      <c r="P1034">
        <v>0</v>
      </c>
      <c r="Q1034">
        <v>0</v>
      </c>
      <c r="R1034">
        <v>5916283.3499999996</v>
      </c>
      <c r="S1034">
        <v>1621116.5362178001</v>
      </c>
      <c r="T1034">
        <v>30.415029990099999</v>
      </c>
      <c r="U1034" t="str">
        <f t="shared" si="16"/>
        <v>Week 4</v>
      </c>
    </row>
    <row r="1035" spans="1:21" x14ac:dyDescent="0.25">
      <c r="A1035">
        <v>1034</v>
      </c>
      <c r="B1035" t="s">
        <v>1922</v>
      </c>
      <c r="C1035" s="1">
        <v>46015</v>
      </c>
      <c r="D1035" t="s">
        <v>1509</v>
      </c>
      <c r="E1035" t="s">
        <v>1700</v>
      </c>
      <c r="F1035" t="s">
        <v>30</v>
      </c>
      <c r="G1035" t="s">
        <v>24</v>
      </c>
      <c r="H1035" s="2">
        <v>1</v>
      </c>
      <c r="I1035" t="s">
        <v>1923</v>
      </c>
      <c r="K1035">
        <v>46000</v>
      </c>
      <c r="L1035">
        <v>0</v>
      </c>
      <c r="M1035">
        <v>0</v>
      </c>
      <c r="N1035">
        <v>5060</v>
      </c>
      <c r="O1035">
        <v>0</v>
      </c>
      <c r="P1035">
        <v>0</v>
      </c>
      <c r="Q1035">
        <v>0</v>
      </c>
      <c r="R1035">
        <v>51060</v>
      </c>
      <c r="S1035">
        <v>16000</v>
      </c>
      <c r="T1035">
        <v>34.782608695652002</v>
      </c>
      <c r="U1035" t="str">
        <f t="shared" si="16"/>
        <v>Week 4</v>
      </c>
    </row>
    <row r="1036" spans="1:21" x14ac:dyDescent="0.25">
      <c r="A1036">
        <v>1035</v>
      </c>
      <c r="B1036" t="s">
        <v>1924</v>
      </c>
      <c r="C1036" s="1">
        <v>46015</v>
      </c>
      <c r="D1036" t="s">
        <v>1925</v>
      </c>
      <c r="E1036" t="s">
        <v>1700</v>
      </c>
      <c r="F1036" t="s">
        <v>30</v>
      </c>
      <c r="G1036" t="s">
        <v>24</v>
      </c>
      <c r="H1036" s="2">
        <v>1</v>
      </c>
      <c r="I1036" t="s">
        <v>1926</v>
      </c>
      <c r="K1036">
        <v>3304915.29</v>
      </c>
      <c r="L1036">
        <v>0</v>
      </c>
      <c r="M1036">
        <v>0</v>
      </c>
      <c r="N1036">
        <v>363540.68190000003</v>
      </c>
      <c r="O1036">
        <v>0</v>
      </c>
      <c r="P1036">
        <v>0</v>
      </c>
      <c r="Q1036">
        <v>0</v>
      </c>
      <c r="R1036">
        <v>3668455.9718999998</v>
      </c>
      <c r="S1036">
        <v>495745.29</v>
      </c>
      <c r="T1036">
        <v>15.000241957789999</v>
      </c>
      <c r="U1036" t="str">
        <f t="shared" si="16"/>
        <v>Week 4</v>
      </c>
    </row>
    <row r="1037" spans="1:21" x14ac:dyDescent="0.25">
      <c r="A1037">
        <v>1036</v>
      </c>
      <c r="B1037" t="s">
        <v>1927</v>
      </c>
      <c r="C1037" s="1">
        <v>46014</v>
      </c>
      <c r="D1037" t="s">
        <v>21</v>
      </c>
      <c r="E1037" t="s">
        <v>22</v>
      </c>
      <c r="F1037" t="s">
        <v>30</v>
      </c>
      <c r="G1037" t="s">
        <v>24</v>
      </c>
      <c r="H1037" s="2">
        <v>1</v>
      </c>
      <c r="I1037" t="s">
        <v>1641</v>
      </c>
      <c r="J1037" t="s">
        <v>26</v>
      </c>
      <c r="K1037">
        <v>11760</v>
      </c>
      <c r="L1037">
        <v>0</v>
      </c>
      <c r="M1037">
        <v>0</v>
      </c>
      <c r="N1037">
        <v>1293.5999999999999</v>
      </c>
      <c r="O1037">
        <v>0</v>
      </c>
      <c r="P1037">
        <v>0</v>
      </c>
      <c r="Q1037">
        <v>0</v>
      </c>
      <c r="R1037">
        <v>13053.6</v>
      </c>
      <c r="S1037">
        <v>7255</v>
      </c>
      <c r="T1037">
        <v>61.692176870748</v>
      </c>
      <c r="U1037" t="str">
        <f t="shared" si="16"/>
        <v>Week 4</v>
      </c>
    </row>
    <row r="1038" spans="1:21" x14ac:dyDescent="0.25">
      <c r="A1038">
        <v>1037</v>
      </c>
      <c r="B1038" t="s">
        <v>1928</v>
      </c>
      <c r="C1038" s="1">
        <v>46014</v>
      </c>
      <c r="D1038" t="s">
        <v>440</v>
      </c>
      <c r="E1038" t="s">
        <v>117</v>
      </c>
      <c r="F1038" t="s">
        <v>265</v>
      </c>
      <c r="G1038" t="s">
        <v>24</v>
      </c>
      <c r="H1038" s="2">
        <v>1</v>
      </c>
      <c r="I1038" t="s">
        <v>1929</v>
      </c>
      <c r="J1038" t="s">
        <v>26</v>
      </c>
      <c r="K1038">
        <v>31930000</v>
      </c>
      <c r="L1038">
        <v>0</v>
      </c>
      <c r="M1038">
        <v>0</v>
      </c>
      <c r="N1038">
        <v>3512300</v>
      </c>
      <c r="O1038">
        <v>0</v>
      </c>
      <c r="P1038">
        <v>0</v>
      </c>
      <c r="Q1038">
        <v>0</v>
      </c>
      <c r="R1038">
        <v>35442300</v>
      </c>
      <c r="S1038">
        <v>11205727.531532001</v>
      </c>
      <c r="T1038">
        <v>35.094668122553998</v>
      </c>
      <c r="U1038" t="str">
        <f t="shared" si="16"/>
        <v>Week 4</v>
      </c>
    </row>
    <row r="1039" spans="1:21" x14ac:dyDescent="0.25">
      <c r="A1039">
        <v>1038</v>
      </c>
      <c r="B1039" t="s">
        <v>1930</v>
      </c>
      <c r="C1039" s="1">
        <v>46014</v>
      </c>
      <c r="D1039" t="s">
        <v>204</v>
      </c>
      <c r="E1039" t="s">
        <v>22</v>
      </c>
      <c r="F1039" t="s">
        <v>23</v>
      </c>
      <c r="G1039" t="s">
        <v>24</v>
      </c>
      <c r="H1039" s="2">
        <v>1</v>
      </c>
      <c r="I1039" t="s">
        <v>1931</v>
      </c>
      <c r="J1039" t="s">
        <v>26</v>
      </c>
      <c r="K1039">
        <v>3200000</v>
      </c>
      <c r="L1039">
        <v>0</v>
      </c>
      <c r="M1039">
        <v>0</v>
      </c>
      <c r="N1039">
        <v>352000</v>
      </c>
      <c r="O1039">
        <v>0</v>
      </c>
      <c r="P1039">
        <v>0</v>
      </c>
      <c r="Q1039">
        <v>0</v>
      </c>
      <c r="R1039">
        <v>3552000</v>
      </c>
      <c r="S1039">
        <v>3200000</v>
      </c>
      <c r="T1039">
        <v>100</v>
      </c>
      <c r="U1039" t="str">
        <f t="shared" si="16"/>
        <v>Week 4</v>
      </c>
    </row>
    <row r="1040" spans="1:21" x14ac:dyDescent="0.25">
      <c r="A1040">
        <v>1039</v>
      </c>
      <c r="B1040" t="s">
        <v>1932</v>
      </c>
      <c r="C1040" s="1">
        <v>46014</v>
      </c>
      <c r="D1040" t="s">
        <v>252</v>
      </c>
      <c r="E1040" t="s">
        <v>100</v>
      </c>
      <c r="F1040" t="s">
        <v>30</v>
      </c>
      <c r="G1040" t="s">
        <v>24</v>
      </c>
      <c r="H1040" s="2">
        <v>1</v>
      </c>
      <c r="I1040" t="s">
        <v>1657</v>
      </c>
      <c r="J1040" t="s">
        <v>26</v>
      </c>
      <c r="K1040">
        <v>7840000</v>
      </c>
      <c r="L1040">
        <v>0</v>
      </c>
      <c r="M1040">
        <v>0</v>
      </c>
      <c r="N1040">
        <v>862400</v>
      </c>
      <c r="O1040">
        <v>0</v>
      </c>
      <c r="P1040">
        <v>0</v>
      </c>
      <c r="Q1040">
        <v>0</v>
      </c>
      <c r="R1040">
        <v>8702400</v>
      </c>
      <c r="S1040">
        <v>1952000</v>
      </c>
      <c r="T1040">
        <v>24.897959183672999</v>
      </c>
      <c r="U1040" t="str">
        <f t="shared" si="16"/>
        <v>Week 4</v>
      </c>
    </row>
    <row r="1041" spans="1:21" x14ac:dyDescent="0.25">
      <c r="A1041">
        <v>1040</v>
      </c>
      <c r="B1041" t="s">
        <v>1933</v>
      </c>
      <c r="C1041" s="1">
        <v>46014</v>
      </c>
      <c r="D1041" t="s">
        <v>440</v>
      </c>
      <c r="E1041" t="s">
        <v>1303</v>
      </c>
      <c r="F1041" t="s">
        <v>30</v>
      </c>
      <c r="G1041" t="s">
        <v>24</v>
      </c>
      <c r="H1041" s="2">
        <v>1</v>
      </c>
      <c r="I1041" t="s">
        <v>1934</v>
      </c>
      <c r="J1041" t="s">
        <v>26</v>
      </c>
      <c r="K1041">
        <v>13600000</v>
      </c>
      <c r="L1041">
        <v>0</v>
      </c>
      <c r="M1041">
        <v>0</v>
      </c>
      <c r="N1041">
        <v>1496000</v>
      </c>
      <c r="O1041">
        <v>0</v>
      </c>
      <c r="P1041">
        <v>0</v>
      </c>
      <c r="Q1041">
        <v>0</v>
      </c>
      <c r="R1041">
        <v>15096000</v>
      </c>
      <c r="S1041">
        <v>3600000</v>
      </c>
      <c r="T1041">
        <v>26.470588235293999</v>
      </c>
      <c r="U1041" t="str">
        <f t="shared" si="16"/>
        <v>Week 4</v>
      </c>
    </row>
    <row r="1042" spans="1:21" x14ac:dyDescent="0.25">
      <c r="A1042">
        <v>1041</v>
      </c>
      <c r="B1042" t="s">
        <v>1935</v>
      </c>
      <c r="C1042" s="1">
        <v>46014</v>
      </c>
      <c r="D1042" t="s">
        <v>54</v>
      </c>
      <c r="E1042" t="s">
        <v>1554</v>
      </c>
      <c r="F1042" t="s">
        <v>23</v>
      </c>
      <c r="G1042" t="s">
        <v>24</v>
      </c>
      <c r="H1042" s="2">
        <v>1</v>
      </c>
      <c r="I1042" t="s">
        <v>308</v>
      </c>
      <c r="K1042">
        <v>31000</v>
      </c>
      <c r="L1042">
        <v>0</v>
      </c>
      <c r="M1042">
        <v>0</v>
      </c>
      <c r="N1042">
        <v>3410</v>
      </c>
      <c r="O1042">
        <v>0</v>
      </c>
      <c r="P1042">
        <v>0</v>
      </c>
      <c r="Q1042">
        <v>0</v>
      </c>
      <c r="R1042">
        <v>34410</v>
      </c>
      <c r="S1042">
        <v>13689.189189999999</v>
      </c>
      <c r="T1042">
        <v>44.158674806451998</v>
      </c>
      <c r="U1042" t="str">
        <f t="shared" si="16"/>
        <v>Week 4</v>
      </c>
    </row>
    <row r="1043" spans="1:21" x14ac:dyDescent="0.25">
      <c r="A1043">
        <v>1042</v>
      </c>
      <c r="B1043" t="s">
        <v>1936</v>
      </c>
      <c r="C1043" s="1">
        <v>46014</v>
      </c>
      <c r="D1043" t="s">
        <v>440</v>
      </c>
      <c r="E1043" t="s">
        <v>1303</v>
      </c>
      <c r="F1043" t="s">
        <v>30</v>
      </c>
      <c r="G1043" t="s">
        <v>24</v>
      </c>
      <c r="H1043" s="2">
        <v>1</v>
      </c>
      <c r="I1043" t="s">
        <v>1937</v>
      </c>
      <c r="J1043" t="s">
        <v>26</v>
      </c>
      <c r="K1043">
        <v>11434640</v>
      </c>
      <c r="L1043">
        <v>0</v>
      </c>
      <c r="M1043">
        <v>0</v>
      </c>
      <c r="N1043">
        <v>1257810.3999999999</v>
      </c>
      <c r="O1043">
        <v>0</v>
      </c>
      <c r="P1043">
        <v>0</v>
      </c>
      <c r="Q1043">
        <v>0</v>
      </c>
      <c r="R1043">
        <v>12692450.4</v>
      </c>
      <c r="S1043">
        <v>6795000.3600000003</v>
      </c>
      <c r="T1043">
        <v>59.424698635025003</v>
      </c>
      <c r="U1043" t="str">
        <f t="shared" si="16"/>
        <v>Week 4</v>
      </c>
    </row>
    <row r="1044" spans="1:21" x14ac:dyDescent="0.25">
      <c r="A1044">
        <v>1043</v>
      </c>
      <c r="B1044" t="s">
        <v>1938</v>
      </c>
      <c r="C1044" s="1">
        <v>46014</v>
      </c>
      <c r="D1044" t="s">
        <v>21</v>
      </c>
      <c r="E1044" t="s">
        <v>22</v>
      </c>
      <c r="F1044" t="s">
        <v>30</v>
      </c>
      <c r="G1044" t="s">
        <v>24</v>
      </c>
      <c r="H1044" s="2">
        <v>1</v>
      </c>
      <c r="I1044" t="s">
        <v>1939</v>
      </c>
      <c r="J1044" t="s">
        <v>26</v>
      </c>
      <c r="K1044">
        <v>4498200</v>
      </c>
      <c r="L1044">
        <v>0</v>
      </c>
      <c r="M1044">
        <v>0</v>
      </c>
      <c r="N1044">
        <v>494802</v>
      </c>
      <c r="O1044">
        <v>0</v>
      </c>
      <c r="P1044">
        <v>0</v>
      </c>
      <c r="Q1044">
        <v>0</v>
      </c>
      <c r="R1044">
        <v>4993002</v>
      </c>
      <c r="S1044">
        <v>1948200</v>
      </c>
      <c r="T1044">
        <v>43.310657596372003</v>
      </c>
      <c r="U1044" t="str">
        <f t="shared" si="16"/>
        <v>Week 4</v>
      </c>
    </row>
    <row r="1045" spans="1:21" x14ac:dyDescent="0.25">
      <c r="A1045">
        <v>1044</v>
      </c>
      <c r="B1045" t="s">
        <v>1940</v>
      </c>
      <c r="C1045" s="1">
        <v>46014</v>
      </c>
      <c r="D1045" t="s">
        <v>21</v>
      </c>
      <c r="E1045" t="s">
        <v>22</v>
      </c>
      <c r="F1045" t="s">
        <v>30</v>
      </c>
      <c r="G1045" t="s">
        <v>24</v>
      </c>
      <c r="H1045" s="2">
        <v>1</v>
      </c>
      <c r="I1045" t="s">
        <v>1941</v>
      </c>
      <c r="J1045" t="s">
        <v>26</v>
      </c>
      <c r="K1045">
        <v>21000000</v>
      </c>
      <c r="L1045">
        <v>0</v>
      </c>
      <c r="M1045">
        <v>0</v>
      </c>
      <c r="N1045">
        <v>2310000</v>
      </c>
      <c r="O1045">
        <v>0</v>
      </c>
      <c r="P1045">
        <v>0</v>
      </c>
      <c r="Q1045">
        <v>0</v>
      </c>
      <c r="R1045">
        <v>23310000</v>
      </c>
      <c r="S1045">
        <v>2500000</v>
      </c>
      <c r="T1045">
        <v>11.904761904761999</v>
      </c>
      <c r="U1045" t="str">
        <f t="shared" si="16"/>
        <v>Week 4</v>
      </c>
    </row>
    <row r="1046" spans="1:21" x14ac:dyDescent="0.25">
      <c r="A1046">
        <v>1045</v>
      </c>
      <c r="B1046" t="s">
        <v>1942</v>
      </c>
      <c r="C1046" s="1">
        <v>46014</v>
      </c>
      <c r="D1046" t="s">
        <v>21</v>
      </c>
      <c r="E1046" t="s">
        <v>22</v>
      </c>
      <c r="F1046" t="s">
        <v>30</v>
      </c>
      <c r="G1046" t="s">
        <v>24</v>
      </c>
      <c r="H1046" s="2">
        <v>1</v>
      </c>
      <c r="I1046" t="s">
        <v>1943</v>
      </c>
      <c r="J1046" t="s">
        <v>26</v>
      </c>
      <c r="K1046">
        <v>2338157.5</v>
      </c>
      <c r="L1046">
        <v>0</v>
      </c>
      <c r="M1046">
        <v>0</v>
      </c>
      <c r="N1046">
        <v>257197.32500000001</v>
      </c>
      <c r="O1046">
        <v>0</v>
      </c>
      <c r="P1046">
        <v>0</v>
      </c>
      <c r="Q1046">
        <v>0</v>
      </c>
      <c r="R1046">
        <v>2595354.8250000002</v>
      </c>
      <c r="S1046">
        <v>1109238.5810811</v>
      </c>
      <c r="T1046">
        <v>47.440712658625003</v>
      </c>
      <c r="U1046" t="str">
        <f t="shared" si="16"/>
        <v>Week 4</v>
      </c>
    </row>
    <row r="1047" spans="1:21" x14ac:dyDescent="0.25">
      <c r="A1047">
        <v>1046</v>
      </c>
      <c r="B1047" t="s">
        <v>1944</v>
      </c>
      <c r="C1047" s="1">
        <v>46014</v>
      </c>
      <c r="D1047" t="s">
        <v>21</v>
      </c>
      <c r="E1047" t="s">
        <v>22</v>
      </c>
      <c r="F1047" t="s">
        <v>30</v>
      </c>
      <c r="G1047" t="s">
        <v>24</v>
      </c>
      <c r="H1047" s="2">
        <v>1</v>
      </c>
      <c r="I1047" t="s">
        <v>1945</v>
      </c>
      <c r="K1047">
        <v>43266118</v>
      </c>
      <c r="L1047">
        <v>0</v>
      </c>
      <c r="M1047">
        <v>0</v>
      </c>
      <c r="N1047">
        <v>4759272.9800000004</v>
      </c>
      <c r="O1047">
        <v>0</v>
      </c>
      <c r="P1047">
        <v>0</v>
      </c>
      <c r="Q1047">
        <v>0</v>
      </c>
      <c r="R1047">
        <v>48025390.979999997</v>
      </c>
      <c r="S1047">
        <v>9436862.3000000007</v>
      </c>
      <c r="T1047">
        <v>21.811206404050001</v>
      </c>
      <c r="U1047" t="str">
        <f t="shared" si="16"/>
        <v>Week 4</v>
      </c>
    </row>
    <row r="1048" spans="1:21" x14ac:dyDescent="0.25">
      <c r="A1048">
        <v>1047</v>
      </c>
      <c r="B1048" t="s">
        <v>1946</v>
      </c>
      <c r="C1048" s="1">
        <v>46014</v>
      </c>
      <c r="D1048" t="s">
        <v>33</v>
      </c>
      <c r="E1048" t="s">
        <v>34</v>
      </c>
      <c r="F1048" t="s">
        <v>30</v>
      </c>
      <c r="G1048" t="s">
        <v>24</v>
      </c>
      <c r="H1048" s="2">
        <v>1</v>
      </c>
      <c r="I1048" t="s">
        <v>1947</v>
      </c>
      <c r="J1048" t="s">
        <v>57</v>
      </c>
      <c r="K1048">
        <v>125994564.88</v>
      </c>
      <c r="L1048">
        <v>0</v>
      </c>
      <c r="M1048">
        <v>0</v>
      </c>
      <c r="N1048">
        <v>13859402.1368</v>
      </c>
      <c r="O1048">
        <v>0</v>
      </c>
      <c r="P1048">
        <v>0</v>
      </c>
      <c r="Q1048">
        <v>0</v>
      </c>
      <c r="R1048">
        <v>139853967.01679999</v>
      </c>
      <c r="S1048">
        <v>17886456.771892</v>
      </c>
      <c r="T1048">
        <v>14.196212978653</v>
      </c>
      <c r="U1048" t="str">
        <f t="shared" si="16"/>
        <v>Week 4</v>
      </c>
    </row>
    <row r="1049" spans="1:21" x14ac:dyDescent="0.25">
      <c r="A1049">
        <v>1048</v>
      </c>
      <c r="B1049" t="s">
        <v>1948</v>
      </c>
      <c r="C1049" s="1">
        <v>46014</v>
      </c>
      <c r="D1049" t="s">
        <v>21</v>
      </c>
      <c r="E1049" t="s">
        <v>22</v>
      </c>
      <c r="F1049" t="s">
        <v>30</v>
      </c>
      <c r="G1049" t="s">
        <v>24</v>
      </c>
      <c r="H1049" s="2">
        <v>1</v>
      </c>
      <c r="I1049" t="s">
        <v>1949</v>
      </c>
      <c r="J1049" t="s">
        <v>26</v>
      </c>
      <c r="K1049">
        <v>257838</v>
      </c>
      <c r="L1049">
        <v>0</v>
      </c>
      <c r="M1049">
        <v>0</v>
      </c>
      <c r="N1049">
        <v>28362.18</v>
      </c>
      <c r="O1049">
        <v>0</v>
      </c>
      <c r="P1049">
        <v>0</v>
      </c>
      <c r="Q1049">
        <v>0</v>
      </c>
      <c r="R1049">
        <v>286200.18</v>
      </c>
      <c r="S1049">
        <v>23088</v>
      </c>
      <c r="T1049">
        <v>8.9544597770692995</v>
      </c>
      <c r="U1049" t="str">
        <f t="shared" si="16"/>
        <v>Week 4</v>
      </c>
    </row>
    <row r="1050" spans="1:21" x14ac:dyDescent="0.25">
      <c r="A1050">
        <v>1049</v>
      </c>
      <c r="B1050" t="s">
        <v>1950</v>
      </c>
      <c r="C1050" s="1">
        <v>46014</v>
      </c>
      <c r="D1050" t="s">
        <v>33</v>
      </c>
      <c r="E1050" t="s">
        <v>34</v>
      </c>
      <c r="F1050" t="s">
        <v>30</v>
      </c>
      <c r="G1050" t="s">
        <v>24</v>
      </c>
      <c r="H1050" s="2">
        <v>1</v>
      </c>
      <c r="I1050" t="s">
        <v>1699</v>
      </c>
      <c r="K1050">
        <v>953520</v>
      </c>
      <c r="L1050">
        <v>0</v>
      </c>
      <c r="M1050">
        <v>0</v>
      </c>
      <c r="N1050">
        <v>104887.2</v>
      </c>
      <c r="O1050">
        <v>0</v>
      </c>
      <c r="P1050">
        <v>0</v>
      </c>
      <c r="Q1050">
        <v>0</v>
      </c>
      <c r="R1050">
        <v>1058407.2</v>
      </c>
      <c r="S1050">
        <v>315420</v>
      </c>
      <c r="T1050">
        <v>33.079536873899002</v>
      </c>
      <c r="U1050" t="str">
        <f t="shared" si="16"/>
        <v>Week 4</v>
      </c>
    </row>
    <row r="1051" spans="1:21" x14ac:dyDescent="0.25">
      <c r="A1051">
        <v>1050</v>
      </c>
      <c r="B1051" t="s">
        <v>1951</v>
      </c>
      <c r="C1051" s="1">
        <v>46014</v>
      </c>
      <c r="D1051" t="s">
        <v>33</v>
      </c>
      <c r="E1051" t="s">
        <v>34</v>
      </c>
      <c r="F1051" t="s">
        <v>23</v>
      </c>
      <c r="G1051" t="s">
        <v>24</v>
      </c>
      <c r="H1051" s="2">
        <v>1</v>
      </c>
      <c r="I1051" t="s">
        <v>1832</v>
      </c>
      <c r="K1051">
        <v>1004500</v>
      </c>
      <c r="L1051">
        <v>0</v>
      </c>
      <c r="M1051">
        <v>0</v>
      </c>
      <c r="N1051">
        <v>110495</v>
      </c>
      <c r="O1051">
        <v>0</v>
      </c>
      <c r="P1051">
        <v>0</v>
      </c>
      <c r="Q1051">
        <v>0</v>
      </c>
      <c r="R1051">
        <v>1114995</v>
      </c>
      <c r="S1051">
        <v>479500</v>
      </c>
      <c r="T1051">
        <v>47.735191637630997</v>
      </c>
      <c r="U1051" t="str">
        <f t="shared" si="16"/>
        <v>Week 4</v>
      </c>
    </row>
    <row r="1052" spans="1:21" x14ac:dyDescent="0.25">
      <c r="A1052">
        <v>1051</v>
      </c>
      <c r="B1052" t="s">
        <v>1952</v>
      </c>
      <c r="C1052" s="1">
        <v>46014</v>
      </c>
      <c r="D1052" t="s">
        <v>186</v>
      </c>
      <c r="E1052" t="s">
        <v>100</v>
      </c>
      <c r="F1052" t="s">
        <v>30</v>
      </c>
      <c r="G1052" t="s">
        <v>24</v>
      </c>
      <c r="H1052" s="2">
        <v>1</v>
      </c>
      <c r="I1052" t="s">
        <v>1953</v>
      </c>
      <c r="J1052" t="s">
        <v>26</v>
      </c>
      <c r="K1052">
        <v>1766156</v>
      </c>
      <c r="L1052">
        <v>0</v>
      </c>
      <c r="M1052">
        <v>0</v>
      </c>
      <c r="N1052">
        <v>194277.16</v>
      </c>
      <c r="O1052">
        <v>0</v>
      </c>
      <c r="P1052">
        <v>0</v>
      </c>
      <c r="Q1052">
        <v>0</v>
      </c>
      <c r="R1052">
        <v>1960433.16</v>
      </c>
      <c r="S1052">
        <v>0</v>
      </c>
      <c r="T1052">
        <v>0</v>
      </c>
      <c r="U1052" t="str">
        <f t="shared" si="16"/>
        <v>Week 4</v>
      </c>
    </row>
    <row r="1053" spans="1:21" x14ac:dyDescent="0.25">
      <c r="A1053">
        <v>1052</v>
      </c>
      <c r="B1053" t="s">
        <v>1954</v>
      </c>
      <c r="C1053" s="1">
        <v>46014</v>
      </c>
      <c r="D1053" t="s">
        <v>252</v>
      </c>
      <c r="E1053" t="s">
        <v>100</v>
      </c>
      <c r="F1053" t="s">
        <v>30</v>
      </c>
      <c r="G1053" t="s">
        <v>24</v>
      </c>
      <c r="H1053" s="2">
        <v>1</v>
      </c>
      <c r="I1053" t="s">
        <v>1955</v>
      </c>
      <c r="J1053" t="s">
        <v>26</v>
      </c>
      <c r="K1053">
        <v>11141000</v>
      </c>
      <c r="L1053">
        <v>0</v>
      </c>
      <c r="M1053">
        <v>0</v>
      </c>
      <c r="N1053">
        <v>1225510</v>
      </c>
      <c r="O1053">
        <v>0</v>
      </c>
      <c r="P1053">
        <v>0</v>
      </c>
      <c r="Q1053">
        <v>0</v>
      </c>
      <c r="R1053">
        <v>12366510</v>
      </c>
      <c r="S1053">
        <v>43247.393333289001</v>
      </c>
      <c r="T1053">
        <v>0.38818232953316001</v>
      </c>
      <c r="U1053" t="str">
        <f t="shared" si="16"/>
        <v>Week 4</v>
      </c>
    </row>
    <row r="1054" spans="1:21" x14ac:dyDescent="0.25">
      <c r="A1054">
        <v>1053</v>
      </c>
      <c r="B1054" t="s">
        <v>1956</v>
      </c>
      <c r="C1054" s="1">
        <v>46014</v>
      </c>
      <c r="D1054" t="s">
        <v>99</v>
      </c>
      <c r="E1054" t="s">
        <v>100</v>
      </c>
      <c r="F1054" t="s">
        <v>30</v>
      </c>
      <c r="G1054" t="s">
        <v>24</v>
      </c>
      <c r="H1054" s="2">
        <v>1</v>
      </c>
      <c r="I1054" t="s">
        <v>1957</v>
      </c>
      <c r="K1054">
        <v>865200</v>
      </c>
      <c r="L1054">
        <v>0</v>
      </c>
      <c r="M1054">
        <v>0</v>
      </c>
      <c r="N1054">
        <v>95172</v>
      </c>
      <c r="O1054">
        <v>0</v>
      </c>
      <c r="P1054">
        <v>0</v>
      </c>
      <c r="Q1054">
        <v>0</v>
      </c>
      <c r="R1054">
        <v>960372</v>
      </c>
      <c r="S1054">
        <v>82950</v>
      </c>
      <c r="T1054">
        <v>9.5873786407767003</v>
      </c>
      <c r="U1054" t="str">
        <f t="shared" si="16"/>
        <v>Week 4</v>
      </c>
    </row>
    <row r="1055" spans="1:21" x14ac:dyDescent="0.25">
      <c r="C1055" s="1"/>
      <c r="H1055" s="2"/>
    </row>
    <row r="1056" spans="1:21" x14ac:dyDescent="0.25">
      <c r="A1056">
        <v>1055</v>
      </c>
      <c r="B1056" t="s">
        <v>1958</v>
      </c>
      <c r="C1056" s="1">
        <v>46014</v>
      </c>
      <c r="D1056" t="s">
        <v>33</v>
      </c>
      <c r="E1056" t="s">
        <v>34</v>
      </c>
      <c r="F1056" t="s">
        <v>30</v>
      </c>
      <c r="G1056" t="s">
        <v>24</v>
      </c>
      <c r="H1056" s="2">
        <v>1</v>
      </c>
      <c r="I1056" t="s">
        <v>1959</v>
      </c>
      <c r="K1056">
        <v>10368048.199999999</v>
      </c>
      <c r="L1056">
        <v>0</v>
      </c>
      <c r="M1056">
        <v>0</v>
      </c>
      <c r="N1056">
        <v>1140485.3019999999</v>
      </c>
      <c r="O1056">
        <v>0</v>
      </c>
      <c r="P1056">
        <v>0</v>
      </c>
      <c r="Q1056">
        <v>0</v>
      </c>
      <c r="R1056">
        <v>11508533.502</v>
      </c>
      <c r="S1056">
        <v>3717187.9</v>
      </c>
      <c r="T1056">
        <v>35.852340076890997</v>
      </c>
      <c r="U1056" t="str">
        <f t="shared" si="16"/>
        <v>Week 4</v>
      </c>
    </row>
    <row r="1057" spans="1:21" x14ac:dyDescent="0.25">
      <c r="A1057">
        <v>1056</v>
      </c>
      <c r="B1057" t="s">
        <v>1960</v>
      </c>
      <c r="C1057" s="1">
        <v>46014</v>
      </c>
      <c r="D1057" t="s">
        <v>99</v>
      </c>
      <c r="E1057" t="s">
        <v>100</v>
      </c>
      <c r="F1057" t="s">
        <v>30</v>
      </c>
      <c r="G1057" t="s">
        <v>24</v>
      </c>
      <c r="H1057" s="2">
        <v>1</v>
      </c>
      <c r="I1057" t="s">
        <v>1961</v>
      </c>
      <c r="J1057" t="s">
        <v>26</v>
      </c>
      <c r="K1057">
        <v>6180000</v>
      </c>
      <c r="L1057">
        <v>0</v>
      </c>
      <c r="M1057">
        <v>0</v>
      </c>
      <c r="N1057">
        <v>679800</v>
      </c>
      <c r="O1057">
        <v>0</v>
      </c>
      <c r="P1057">
        <v>0</v>
      </c>
      <c r="Q1057">
        <v>0</v>
      </c>
      <c r="R1057">
        <v>6859800</v>
      </c>
      <c r="S1057">
        <v>180000</v>
      </c>
      <c r="T1057">
        <v>2.9126213592233001</v>
      </c>
      <c r="U1057" t="str">
        <f t="shared" si="16"/>
        <v>Week 4</v>
      </c>
    </row>
    <row r="1058" spans="1:21" x14ac:dyDescent="0.25">
      <c r="A1058">
        <v>1057</v>
      </c>
      <c r="B1058" t="s">
        <v>1962</v>
      </c>
      <c r="C1058" s="1">
        <v>46014</v>
      </c>
      <c r="D1058" t="s">
        <v>99</v>
      </c>
      <c r="E1058" t="s">
        <v>100</v>
      </c>
      <c r="F1058" t="s">
        <v>30</v>
      </c>
      <c r="G1058" t="s">
        <v>24</v>
      </c>
      <c r="H1058" s="2">
        <v>1</v>
      </c>
      <c r="I1058" t="s">
        <v>1963</v>
      </c>
      <c r="J1058" t="s">
        <v>26</v>
      </c>
      <c r="K1058">
        <v>3893762</v>
      </c>
      <c r="L1058">
        <v>0</v>
      </c>
      <c r="M1058">
        <v>0</v>
      </c>
      <c r="N1058">
        <v>428313.82</v>
      </c>
      <c r="O1058">
        <v>0</v>
      </c>
      <c r="P1058">
        <v>0</v>
      </c>
      <c r="Q1058">
        <v>0</v>
      </c>
      <c r="R1058">
        <v>4322075.82</v>
      </c>
      <c r="S1058">
        <v>113412</v>
      </c>
      <c r="T1058">
        <v>2.9126587603453999</v>
      </c>
      <c r="U1058" t="str">
        <f t="shared" si="16"/>
        <v>Week 4</v>
      </c>
    </row>
    <row r="1059" spans="1:21" x14ac:dyDescent="0.25">
      <c r="A1059">
        <v>1058</v>
      </c>
      <c r="B1059" t="s">
        <v>1964</v>
      </c>
      <c r="C1059" s="1">
        <v>46014</v>
      </c>
      <c r="D1059" t="s">
        <v>33</v>
      </c>
      <c r="E1059" t="s">
        <v>34</v>
      </c>
      <c r="F1059" t="s">
        <v>30</v>
      </c>
      <c r="G1059" t="s">
        <v>24</v>
      </c>
      <c r="H1059" s="2">
        <v>1</v>
      </c>
      <c r="I1059" t="s">
        <v>1965</v>
      </c>
      <c r="K1059">
        <v>69545930</v>
      </c>
      <c r="L1059">
        <v>0</v>
      </c>
      <c r="M1059">
        <v>0</v>
      </c>
      <c r="N1059">
        <v>7650052.2999999998</v>
      </c>
      <c r="O1059">
        <v>0</v>
      </c>
      <c r="P1059">
        <v>0</v>
      </c>
      <c r="Q1059">
        <v>0</v>
      </c>
      <c r="R1059">
        <v>77195982.299999997</v>
      </c>
      <c r="S1059">
        <v>20494970</v>
      </c>
      <c r="T1059">
        <v>29.469690030747</v>
      </c>
      <c r="U1059" t="str">
        <f t="shared" si="16"/>
        <v>Week 4</v>
      </c>
    </row>
    <row r="1060" spans="1:21" x14ac:dyDescent="0.25">
      <c r="A1060">
        <v>1059</v>
      </c>
      <c r="B1060" t="s">
        <v>1966</v>
      </c>
      <c r="C1060" s="1">
        <v>46013</v>
      </c>
      <c r="D1060" t="s">
        <v>1967</v>
      </c>
      <c r="E1060" t="s">
        <v>1700</v>
      </c>
      <c r="F1060" t="s">
        <v>30</v>
      </c>
      <c r="G1060" t="s">
        <v>24</v>
      </c>
      <c r="H1060" s="2">
        <v>1</v>
      </c>
      <c r="I1060" t="s">
        <v>1968</v>
      </c>
      <c r="K1060">
        <v>5225225</v>
      </c>
      <c r="L1060">
        <v>0</v>
      </c>
      <c r="M1060">
        <v>0</v>
      </c>
      <c r="N1060">
        <v>574774.75</v>
      </c>
      <c r="O1060">
        <v>0</v>
      </c>
      <c r="P1060">
        <v>0</v>
      </c>
      <c r="Q1060">
        <v>0</v>
      </c>
      <c r="R1060">
        <v>5799999.75</v>
      </c>
      <c r="S1060">
        <v>225225</v>
      </c>
      <c r="T1060">
        <v>4.3103407030319003</v>
      </c>
      <c r="U1060" t="str">
        <f t="shared" si="16"/>
        <v>Week 4</v>
      </c>
    </row>
    <row r="1061" spans="1:21" x14ac:dyDescent="0.25">
      <c r="A1061">
        <v>1060</v>
      </c>
      <c r="B1061" t="s">
        <v>1969</v>
      </c>
      <c r="C1061" s="1">
        <v>46013</v>
      </c>
      <c r="D1061" t="s">
        <v>54</v>
      </c>
      <c r="E1061" t="s">
        <v>1554</v>
      </c>
      <c r="F1061" t="s">
        <v>30</v>
      </c>
      <c r="G1061" t="s">
        <v>24</v>
      </c>
      <c r="H1061" s="2">
        <v>1</v>
      </c>
      <c r="I1061" t="s">
        <v>1970</v>
      </c>
      <c r="K1061">
        <v>74870730</v>
      </c>
      <c r="L1061">
        <v>0</v>
      </c>
      <c r="M1061">
        <v>0</v>
      </c>
      <c r="N1061">
        <v>8235780.2999999998</v>
      </c>
      <c r="O1061">
        <v>0</v>
      </c>
      <c r="P1061">
        <v>0</v>
      </c>
      <c r="Q1061">
        <v>0</v>
      </c>
      <c r="R1061">
        <v>83106510.299999997</v>
      </c>
      <c r="S1061">
        <v>15462430</v>
      </c>
      <c r="T1061">
        <v>20.652169412532999</v>
      </c>
      <c r="U1061" t="str">
        <f t="shared" si="16"/>
        <v>Week 4</v>
      </c>
    </row>
    <row r="1062" spans="1:21" x14ac:dyDescent="0.25">
      <c r="A1062">
        <v>1061</v>
      </c>
      <c r="B1062" t="s">
        <v>1971</v>
      </c>
      <c r="C1062" s="1">
        <v>46013</v>
      </c>
      <c r="D1062" t="s">
        <v>186</v>
      </c>
      <c r="E1062" t="s">
        <v>117</v>
      </c>
      <c r="F1062" t="s">
        <v>30</v>
      </c>
      <c r="G1062" t="s">
        <v>24</v>
      </c>
      <c r="H1062" s="2">
        <v>1</v>
      </c>
      <c r="I1062" t="s">
        <v>1972</v>
      </c>
      <c r="J1062" t="s">
        <v>26</v>
      </c>
      <c r="K1062">
        <v>63844550</v>
      </c>
      <c r="L1062">
        <v>0</v>
      </c>
      <c r="M1062">
        <v>0</v>
      </c>
      <c r="N1062">
        <v>7022900.5</v>
      </c>
      <c r="O1062">
        <v>0</v>
      </c>
      <c r="P1062">
        <v>0</v>
      </c>
      <c r="Q1062">
        <v>0</v>
      </c>
      <c r="R1062">
        <v>70867450.5</v>
      </c>
      <c r="S1062">
        <v>1859550</v>
      </c>
      <c r="T1062">
        <v>2.9126213592233001</v>
      </c>
      <c r="U1062" t="str">
        <f t="shared" si="16"/>
        <v>Week 4</v>
      </c>
    </row>
    <row r="1063" spans="1:21" x14ac:dyDescent="0.25">
      <c r="A1063">
        <v>1062</v>
      </c>
      <c r="B1063" t="s">
        <v>1973</v>
      </c>
      <c r="C1063" s="1">
        <v>46013</v>
      </c>
      <c r="D1063" t="s">
        <v>28</v>
      </c>
      <c r="E1063" t="s">
        <v>1547</v>
      </c>
      <c r="F1063" t="s">
        <v>30</v>
      </c>
      <c r="G1063" t="s">
        <v>24</v>
      </c>
      <c r="H1063" s="2">
        <v>1</v>
      </c>
      <c r="I1063" t="s">
        <v>1974</v>
      </c>
      <c r="J1063" t="s">
        <v>26</v>
      </c>
      <c r="K1063">
        <v>128733520</v>
      </c>
      <c r="L1063">
        <v>0</v>
      </c>
      <c r="M1063">
        <v>0</v>
      </c>
      <c r="N1063">
        <v>14160687.199999999</v>
      </c>
      <c r="O1063">
        <v>0</v>
      </c>
      <c r="P1063">
        <v>0</v>
      </c>
      <c r="Q1063">
        <v>0</v>
      </c>
      <c r="R1063">
        <v>142894207.19999999</v>
      </c>
      <c r="S1063">
        <v>17805880.360429998</v>
      </c>
      <c r="T1063">
        <v>13.831580430978001</v>
      </c>
      <c r="U1063" t="str">
        <f t="shared" si="16"/>
        <v>Week 4</v>
      </c>
    </row>
    <row r="1064" spans="1:21" x14ac:dyDescent="0.25">
      <c r="A1064">
        <v>1063</v>
      </c>
      <c r="B1064" t="s">
        <v>1975</v>
      </c>
      <c r="C1064" s="1">
        <v>46013</v>
      </c>
      <c r="D1064" t="s">
        <v>54</v>
      </c>
      <c r="E1064" t="s">
        <v>1554</v>
      </c>
      <c r="F1064" t="s">
        <v>30</v>
      </c>
      <c r="G1064" t="s">
        <v>24</v>
      </c>
      <c r="H1064" s="2">
        <v>1</v>
      </c>
      <c r="I1064" t="s">
        <v>1976</v>
      </c>
      <c r="K1064">
        <v>47161569</v>
      </c>
      <c r="L1064">
        <v>0</v>
      </c>
      <c r="M1064">
        <v>0</v>
      </c>
      <c r="N1064">
        <v>5187772.59</v>
      </c>
      <c r="O1064">
        <v>0</v>
      </c>
      <c r="P1064">
        <v>0</v>
      </c>
      <c r="Q1064">
        <v>0</v>
      </c>
      <c r="R1064">
        <v>52349341.590000004</v>
      </c>
      <c r="S1064">
        <v>5314569</v>
      </c>
      <c r="T1064">
        <v>11.268855368234</v>
      </c>
      <c r="U1064" t="str">
        <f t="shared" si="16"/>
        <v>Week 4</v>
      </c>
    </row>
    <row r="1065" spans="1:21" x14ac:dyDescent="0.25">
      <c r="A1065">
        <v>1064</v>
      </c>
      <c r="B1065" t="s">
        <v>1977</v>
      </c>
      <c r="C1065" s="1">
        <v>46013</v>
      </c>
      <c r="D1065" t="s">
        <v>33</v>
      </c>
      <c r="E1065" t="s">
        <v>1554</v>
      </c>
      <c r="F1065" t="s">
        <v>39</v>
      </c>
      <c r="G1065" t="s">
        <v>24</v>
      </c>
      <c r="H1065" s="2">
        <v>1</v>
      </c>
      <c r="I1065" t="s">
        <v>1978</v>
      </c>
      <c r="K1065">
        <v>24893738.7837</v>
      </c>
      <c r="L1065">
        <v>0</v>
      </c>
      <c r="M1065">
        <v>0</v>
      </c>
      <c r="N1065">
        <v>2738311.2662069998</v>
      </c>
      <c r="O1065">
        <v>0</v>
      </c>
      <c r="P1065">
        <v>0</v>
      </c>
      <c r="Q1065">
        <v>0</v>
      </c>
      <c r="R1065">
        <v>27632050.049906999</v>
      </c>
      <c r="S1065">
        <v>6555055.2972135004</v>
      </c>
      <c r="T1065">
        <v>26.332144617447</v>
      </c>
      <c r="U1065" t="str">
        <f t="shared" si="16"/>
        <v>Week 4</v>
      </c>
    </row>
    <row r="1066" spans="1:21" x14ac:dyDescent="0.25">
      <c r="A1066">
        <v>1065</v>
      </c>
      <c r="B1066" t="s">
        <v>1979</v>
      </c>
      <c r="C1066" s="1">
        <v>46013</v>
      </c>
      <c r="D1066" t="s">
        <v>54</v>
      </c>
      <c r="E1066" t="s">
        <v>1554</v>
      </c>
      <c r="F1066" t="s">
        <v>23</v>
      </c>
      <c r="G1066" t="s">
        <v>24</v>
      </c>
      <c r="H1066" s="2">
        <v>1</v>
      </c>
      <c r="I1066" t="s">
        <v>1980</v>
      </c>
      <c r="K1066">
        <v>35663823.529412001</v>
      </c>
      <c r="L1066">
        <v>0</v>
      </c>
      <c r="M1066">
        <v>0</v>
      </c>
      <c r="N1066">
        <v>3923020.5882353</v>
      </c>
      <c r="O1066">
        <v>0</v>
      </c>
      <c r="P1066">
        <v>0</v>
      </c>
      <c r="Q1066">
        <v>0</v>
      </c>
      <c r="R1066">
        <v>39586844.117647</v>
      </c>
      <c r="S1066">
        <v>3869506.1458084001</v>
      </c>
      <c r="T1066">
        <v>10.849947545914</v>
      </c>
      <c r="U1066" t="str">
        <f t="shared" si="16"/>
        <v>Week 4</v>
      </c>
    </row>
    <row r="1067" spans="1:21" x14ac:dyDescent="0.25">
      <c r="A1067">
        <v>1066</v>
      </c>
      <c r="B1067" t="s">
        <v>1981</v>
      </c>
      <c r="C1067" s="1">
        <v>46013</v>
      </c>
      <c r="D1067" t="s">
        <v>54</v>
      </c>
      <c r="E1067" t="s">
        <v>1554</v>
      </c>
      <c r="F1067" t="s">
        <v>39</v>
      </c>
      <c r="G1067" t="s">
        <v>24</v>
      </c>
      <c r="H1067" s="2">
        <v>1</v>
      </c>
      <c r="I1067" t="s">
        <v>1982</v>
      </c>
      <c r="K1067">
        <v>35663823.529412001</v>
      </c>
      <c r="L1067">
        <v>0</v>
      </c>
      <c r="M1067">
        <v>0</v>
      </c>
      <c r="N1067">
        <v>3923020.5882353</v>
      </c>
      <c r="O1067">
        <v>0</v>
      </c>
      <c r="P1067">
        <v>0</v>
      </c>
      <c r="Q1067">
        <v>0</v>
      </c>
      <c r="R1067">
        <v>39586844.117647</v>
      </c>
      <c r="S1067">
        <v>3869506.1458084001</v>
      </c>
      <c r="T1067">
        <v>10.849947545914</v>
      </c>
      <c r="U1067" t="str">
        <f t="shared" si="16"/>
        <v>Week 4</v>
      </c>
    </row>
    <row r="1068" spans="1:21" x14ac:dyDescent="0.25">
      <c r="A1068">
        <v>1067</v>
      </c>
      <c r="B1068" t="s">
        <v>1983</v>
      </c>
      <c r="C1068" s="1">
        <v>46013</v>
      </c>
      <c r="D1068" t="s">
        <v>33</v>
      </c>
      <c r="E1068" t="s">
        <v>34</v>
      </c>
      <c r="F1068" t="s">
        <v>30</v>
      </c>
      <c r="G1068" t="s">
        <v>24</v>
      </c>
      <c r="H1068" s="2">
        <v>1</v>
      </c>
      <c r="I1068" t="s">
        <v>1984</v>
      </c>
      <c r="K1068">
        <v>4443155.2</v>
      </c>
      <c r="L1068">
        <v>0</v>
      </c>
      <c r="M1068">
        <v>0</v>
      </c>
      <c r="N1068">
        <v>488747.07199999999</v>
      </c>
      <c r="O1068">
        <v>0</v>
      </c>
      <c r="P1068">
        <v>0</v>
      </c>
      <c r="Q1068">
        <v>0</v>
      </c>
      <c r="R1068">
        <v>4931902.2719999999</v>
      </c>
      <c r="S1068">
        <v>4395155.2</v>
      </c>
      <c r="T1068">
        <v>98.919686622696005</v>
      </c>
      <c r="U1068" t="str">
        <f t="shared" si="16"/>
        <v>Week 4</v>
      </c>
    </row>
    <row r="1069" spans="1:21" x14ac:dyDescent="0.25">
      <c r="A1069">
        <v>1068</v>
      </c>
      <c r="B1069" t="s">
        <v>1985</v>
      </c>
      <c r="C1069" s="1">
        <v>46013</v>
      </c>
      <c r="D1069" t="s">
        <v>33</v>
      </c>
      <c r="E1069" t="s">
        <v>34</v>
      </c>
      <c r="F1069" t="s">
        <v>30</v>
      </c>
      <c r="G1069" t="s">
        <v>24</v>
      </c>
      <c r="H1069" s="2">
        <v>1</v>
      </c>
      <c r="I1069" t="s">
        <v>1986</v>
      </c>
      <c r="K1069">
        <v>51136061</v>
      </c>
      <c r="L1069">
        <v>0</v>
      </c>
      <c r="M1069">
        <v>0</v>
      </c>
      <c r="N1069">
        <v>5624966.71</v>
      </c>
      <c r="O1069">
        <v>0</v>
      </c>
      <c r="P1069">
        <v>0</v>
      </c>
      <c r="Q1069">
        <v>0</v>
      </c>
      <c r="R1069">
        <v>56761027.710000001</v>
      </c>
      <c r="S1069">
        <v>20701542.856757</v>
      </c>
      <c r="T1069">
        <v>40.483256731011998</v>
      </c>
      <c r="U1069" t="str">
        <f t="shared" si="16"/>
        <v>Week 4</v>
      </c>
    </row>
    <row r="1070" spans="1:21" x14ac:dyDescent="0.25">
      <c r="A1070">
        <v>1069</v>
      </c>
      <c r="B1070" t="s">
        <v>1987</v>
      </c>
      <c r="C1070" s="1">
        <v>46013</v>
      </c>
      <c r="D1070" t="s">
        <v>21</v>
      </c>
      <c r="E1070" t="s">
        <v>22</v>
      </c>
      <c r="F1070" t="s">
        <v>23</v>
      </c>
      <c r="G1070" t="s">
        <v>24</v>
      </c>
      <c r="H1070" s="2">
        <v>1</v>
      </c>
      <c r="I1070" t="s">
        <v>1988</v>
      </c>
      <c r="J1070" t="s">
        <v>26</v>
      </c>
      <c r="K1070">
        <v>46700000</v>
      </c>
      <c r="L1070">
        <v>0</v>
      </c>
      <c r="M1070">
        <v>0</v>
      </c>
      <c r="N1070">
        <v>5137000</v>
      </c>
      <c r="O1070">
        <v>0</v>
      </c>
      <c r="P1070">
        <v>0</v>
      </c>
      <c r="Q1070">
        <v>0</v>
      </c>
      <c r="R1070">
        <v>51837000</v>
      </c>
      <c r="S1070">
        <v>7081000</v>
      </c>
      <c r="T1070">
        <v>15.162740899358001</v>
      </c>
      <c r="U1070" t="str">
        <f t="shared" si="16"/>
        <v>Week 4</v>
      </c>
    </row>
    <row r="1071" spans="1:21" x14ac:dyDescent="0.25">
      <c r="A1071">
        <v>1070</v>
      </c>
      <c r="B1071" t="s">
        <v>1989</v>
      </c>
      <c r="C1071" s="1">
        <v>46013</v>
      </c>
      <c r="D1071" t="s">
        <v>21</v>
      </c>
      <c r="E1071" t="s">
        <v>22</v>
      </c>
      <c r="F1071" t="s">
        <v>30</v>
      </c>
      <c r="G1071" t="s">
        <v>24</v>
      </c>
      <c r="H1071" s="2">
        <v>1</v>
      </c>
      <c r="I1071" t="s">
        <v>1990</v>
      </c>
      <c r="J1071" t="s">
        <v>26</v>
      </c>
      <c r="K1071">
        <v>38595852.539999999</v>
      </c>
      <c r="L1071">
        <v>0</v>
      </c>
      <c r="M1071">
        <v>0</v>
      </c>
      <c r="N1071">
        <v>4245543.7794000003</v>
      </c>
      <c r="O1071">
        <v>0</v>
      </c>
      <c r="P1071">
        <v>0</v>
      </c>
      <c r="Q1071">
        <v>0</v>
      </c>
      <c r="R1071">
        <v>42841396.319399998</v>
      </c>
      <c r="S1071">
        <v>530509.01378378004</v>
      </c>
      <c r="T1071">
        <v>1.374523371997</v>
      </c>
      <c r="U1071" t="str">
        <f t="shared" si="16"/>
        <v>Week 4</v>
      </c>
    </row>
    <row r="1072" spans="1:21" x14ac:dyDescent="0.25">
      <c r="A1072">
        <v>1071</v>
      </c>
      <c r="B1072" t="s">
        <v>1991</v>
      </c>
      <c r="C1072" s="1">
        <v>46013</v>
      </c>
      <c r="D1072" t="s">
        <v>33</v>
      </c>
      <c r="E1072" t="s">
        <v>34</v>
      </c>
      <c r="F1072" t="s">
        <v>30</v>
      </c>
      <c r="G1072" t="s">
        <v>24</v>
      </c>
      <c r="H1072" s="2">
        <v>1</v>
      </c>
      <c r="I1072" t="s">
        <v>1992</v>
      </c>
      <c r="K1072">
        <v>19973244</v>
      </c>
      <c r="L1072">
        <v>0</v>
      </c>
      <c r="M1072">
        <v>0</v>
      </c>
      <c r="N1072">
        <v>2197056.84</v>
      </c>
      <c r="O1072">
        <v>0</v>
      </c>
      <c r="P1072">
        <v>0</v>
      </c>
      <c r="Q1072">
        <v>0</v>
      </c>
      <c r="R1072">
        <v>22170300.84</v>
      </c>
      <c r="S1072">
        <v>581744</v>
      </c>
      <c r="T1072">
        <v>2.9126164983514999</v>
      </c>
      <c r="U1072" t="str">
        <f t="shared" si="16"/>
        <v>Week 4</v>
      </c>
    </row>
    <row r="1073" spans="1:21" x14ac:dyDescent="0.25">
      <c r="A1073">
        <v>1072</v>
      </c>
      <c r="B1073" t="s">
        <v>1993</v>
      </c>
      <c r="C1073" s="1">
        <v>46013</v>
      </c>
      <c r="D1073" t="s">
        <v>54</v>
      </c>
      <c r="E1073" t="s">
        <v>1554</v>
      </c>
      <c r="F1073" t="s">
        <v>30</v>
      </c>
      <c r="G1073" t="s">
        <v>24</v>
      </c>
      <c r="H1073" s="2">
        <v>1</v>
      </c>
      <c r="I1073" t="s">
        <v>1994</v>
      </c>
      <c r="K1073">
        <v>470400</v>
      </c>
      <c r="L1073">
        <v>0</v>
      </c>
      <c r="M1073">
        <v>0</v>
      </c>
      <c r="N1073">
        <v>51744</v>
      </c>
      <c r="O1073">
        <v>0</v>
      </c>
      <c r="P1073">
        <v>0</v>
      </c>
      <c r="Q1073">
        <v>0</v>
      </c>
      <c r="R1073">
        <v>522144</v>
      </c>
      <c r="S1073">
        <v>230400</v>
      </c>
      <c r="T1073">
        <v>48.979591836734997</v>
      </c>
      <c r="U1073" t="str">
        <f t="shared" si="16"/>
        <v>Week 4</v>
      </c>
    </row>
    <row r="1074" spans="1:21" x14ac:dyDescent="0.25">
      <c r="A1074">
        <v>1073</v>
      </c>
      <c r="B1074" t="s">
        <v>1995</v>
      </c>
      <c r="C1074" s="1">
        <v>46013</v>
      </c>
      <c r="D1074" t="s">
        <v>312</v>
      </c>
      <c r="E1074" t="s">
        <v>1303</v>
      </c>
      <c r="F1074" t="s">
        <v>30</v>
      </c>
      <c r="G1074" t="s">
        <v>24</v>
      </c>
      <c r="H1074" s="2">
        <v>1</v>
      </c>
      <c r="I1074" t="s">
        <v>1996</v>
      </c>
      <c r="K1074">
        <v>13087180</v>
      </c>
      <c r="L1074">
        <v>0</v>
      </c>
      <c r="M1074">
        <v>0</v>
      </c>
      <c r="N1074">
        <v>1439589.8</v>
      </c>
      <c r="O1074">
        <v>0</v>
      </c>
      <c r="P1074">
        <v>0</v>
      </c>
      <c r="Q1074">
        <v>0</v>
      </c>
      <c r="R1074">
        <v>14526769.800000001</v>
      </c>
      <c r="S1074">
        <v>1572909.72973</v>
      </c>
      <c r="T1074">
        <v>12.018706319695999</v>
      </c>
      <c r="U1074" t="str">
        <f t="shared" si="16"/>
        <v>Week 4</v>
      </c>
    </row>
    <row r="1075" spans="1:21" x14ac:dyDescent="0.25">
      <c r="A1075">
        <v>1074</v>
      </c>
      <c r="B1075" t="s">
        <v>1997</v>
      </c>
      <c r="C1075" s="1">
        <v>46013</v>
      </c>
      <c r="D1075" t="s">
        <v>21</v>
      </c>
      <c r="E1075" t="s">
        <v>22</v>
      </c>
      <c r="F1075" t="s">
        <v>30</v>
      </c>
      <c r="G1075" t="s">
        <v>24</v>
      </c>
      <c r="H1075" s="2">
        <v>1</v>
      </c>
      <c r="I1075" t="s">
        <v>1998</v>
      </c>
      <c r="J1075" t="s">
        <v>26</v>
      </c>
      <c r="K1075">
        <v>24392200</v>
      </c>
      <c r="L1075">
        <v>0</v>
      </c>
      <c r="M1075">
        <v>0</v>
      </c>
      <c r="N1075">
        <v>2683142</v>
      </c>
      <c r="O1075">
        <v>0</v>
      </c>
      <c r="P1075">
        <v>0</v>
      </c>
      <c r="Q1075">
        <v>0</v>
      </c>
      <c r="R1075">
        <v>27075342</v>
      </c>
      <c r="S1075">
        <v>3126792</v>
      </c>
      <c r="T1075">
        <v>12.818819130706</v>
      </c>
      <c r="U1075" t="str">
        <f t="shared" si="16"/>
        <v>Week 4</v>
      </c>
    </row>
    <row r="1076" spans="1:21" x14ac:dyDescent="0.25">
      <c r="A1076">
        <v>1075</v>
      </c>
      <c r="B1076" t="s">
        <v>1999</v>
      </c>
      <c r="C1076" s="1">
        <v>46013</v>
      </c>
      <c r="D1076" t="s">
        <v>312</v>
      </c>
      <c r="E1076" t="s">
        <v>1303</v>
      </c>
      <c r="F1076" t="s">
        <v>30</v>
      </c>
      <c r="G1076" t="s">
        <v>24</v>
      </c>
      <c r="H1076" s="2">
        <v>1</v>
      </c>
      <c r="I1076" t="s">
        <v>2000</v>
      </c>
      <c r="J1076" t="s">
        <v>26</v>
      </c>
      <c r="K1076">
        <v>10000000</v>
      </c>
      <c r="L1076">
        <v>0</v>
      </c>
      <c r="M1076">
        <v>0</v>
      </c>
      <c r="N1076">
        <v>1100000</v>
      </c>
      <c r="O1076">
        <v>0</v>
      </c>
      <c r="P1076">
        <v>0</v>
      </c>
      <c r="Q1076">
        <v>0</v>
      </c>
      <c r="R1076">
        <v>11100000</v>
      </c>
      <c r="S1076">
        <v>2500000</v>
      </c>
      <c r="T1076">
        <v>25</v>
      </c>
      <c r="U1076" t="str">
        <f t="shared" si="16"/>
        <v>Week 4</v>
      </c>
    </row>
    <row r="1077" spans="1:21" x14ac:dyDescent="0.25">
      <c r="A1077">
        <v>1076</v>
      </c>
      <c r="B1077" t="s">
        <v>2001</v>
      </c>
      <c r="C1077" s="1">
        <v>46011</v>
      </c>
      <c r="D1077" t="s">
        <v>204</v>
      </c>
      <c r="E1077" t="s">
        <v>22</v>
      </c>
      <c r="F1077" t="s">
        <v>30</v>
      </c>
      <c r="G1077" t="s">
        <v>24</v>
      </c>
      <c r="H1077" s="2">
        <v>1</v>
      </c>
      <c r="I1077" t="s">
        <v>2002</v>
      </c>
      <c r="J1077" t="s">
        <v>26</v>
      </c>
      <c r="K1077">
        <v>2919000</v>
      </c>
      <c r="L1077">
        <v>0</v>
      </c>
      <c r="M1077">
        <v>0</v>
      </c>
      <c r="N1077">
        <v>321090</v>
      </c>
      <c r="O1077">
        <v>0</v>
      </c>
      <c r="P1077">
        <v>0</v>
      </c>
      <c r="Q1077">
        <v>0</v>
      </c>
      <c r="R1077">
        <v>3240090</v>
      </c>
      <c r="S1077">
        <v>474336.21621620998</v>
      </c>
      <c r="T1077">
        <v>16.249956019740001</v>
      </c>
      <c r="U1077" t="str">
        <f t="shared" si="16"/>
        <v>Week 3</v>
      </c>
    </row>
    <row r="1078" spans="1:21" x14ac:dyDescent="0.25">
      <c r="A1078">
        <v>1077</v>
      </c>
      <c r="B1078" t="s">
        <v>2003</v>
      </c>
      <c r="C1078" s="1">
        <v>46011</v>
      </c>
      <c r="D1078" t="s">
        <v>21</v>
      </c>
      <c r="E1078" t="s">
        <v>22</v>
      </c>
      <c r="F1078" t="s">
        <v>30</v>
      </c>
      <c r="G1078" t="s">
        <v>24</v>
      </c>
      <c r="H1078" s="2">
        <v>1</v>
      </c>
      <c r="I1078" t="s">
        <v>2004</v>
      </c>
      <c r="J1078" t="s">
        <v>26</v>
      </c>
      <c r="K1078">
        <v>879060</v>
      </c>
      <c r="L1078">
        <v>0</v>
      </c>
      <c r="M1078">
        <v>0</v>
      </c>
      <c r="N1078">
        <v>96696.6</v>
      </c>
      <c r="O1078">
        <v>0</v>
      </c>
      <c r="P1078">
        <v>0</v>
      </c>
      <c r="Q1078">
        <v>0</v>
      </c>
      <c r="R1078">
        <v>975756.6</v>
      </c>
      <c r="S1078">
        <v>311492</v>
      </c>
      <c r="T1078">
        <v>35.434668850817999</v>
      </c>
      <c r="U1078" t="str">
        <f t="shared" si="16"/>
        <v>Week 3</v>
      </c>
    </row>
    <row r="1079" spans="1:21" x14ac:dyDescent="0.25">
      <c r="A1079">
        <v>1078</v>
      </c>
      <c r="B1079" t="s">
        <v>2005</v>
      </c>
      <c r="C1079" s="1">
        <v>46011</v>
      </c>
      <c r="D1079" t="s">
        <v>204</v>
      </c>
      <c r="E1079" t="s">
        <v>22</v>
      </c>
      <c r="F1079" t="s">
        <v>30</v>
      </c>
      <c r="G1079" t="s">
        <v>24</v>
      </c>
      <c r="H1079" s="2">
        <v>1</v>
      </c>
      <c r="I1079" t="s">
        <v>2006</v>
      </c>
      <c r="J1079" t="s">
        <v>26</v>
      </c>
      <c r="K1079">
        <v>10826550</v>
      </c>
      <c r="L1079">
        <v>0</v>
      </c>
      <c r="M1079">
        <v>0</v>
      </c>
      <c r="N1079">
        <v>1190920.5</v>
      </c>
      <c r="O1079">
        <v>0</v>
      </c>
      <c r="P1079">
        <v>0</v>
      </c>
      <c r="Q1079">
        <v>0</v>
      </c>
      <c r="R1079">
        <v>12017470.5</v>
      </c>
      <c r="S1079">
        <v>1942219.5</v>
      </c>
      <c r="T1079">
        <v>17.939412832342999</v>
      </c>
      <c r="U1079" t="str">
        <f t="shared" si="16"/>
        <v>Week 3</v>
      </c>
    </row>
    <row r="1080" spans="1:21" x14ac:dyDescent="0.25">
      <c r="A1080">
        <v>1079</v>
      </c>
      <c r="B1080" t="s">
        <v>2007</v>
      </c>
      <c r="C1080" s="1">
        <v>46011</v>
      </c>
      <c r="D1080" t="s">
        <v>54</v>
      </c>
      <c r="E1080" t="s">
        <v>1554</v>
      </c>
      <c r="F1080" t="s">
        <v>30</v>
      </c>
      <c r="G1080" t="s">
        <v>24</v>
      </c>
      <c r="H1080" s="2">
        <v>1</v>
      </c>
      <c r="I1080" t="s">
        <v>2008</v>
      </c>
      <c r="K1080">
        <v>148661743</v>
      </c>
      <c r="L1080">
        <v>0</v>
      </c>
      <c r="M1080">
        <v>0</v>
      </c>
      <c r="N1080">
        <v>16352791.73</v>
      </c>
      <c r="O1080">
        <v>0</v>
      </c>
      <c r="P1080">
        <v>0</v>
      </c>
      <c r="Q1080">
        <v>0</v>
      </c>
      <c r="R1080">
        <v>165014534.72999999</v>
      </c>
      <c r="S1080">
        <v>60523765</v>
      </c>
      <c r="T1080">
        <v>40.712401037837999</v>
      </c>
      <c r="U1080" t="str">
        <f t="shared" si="16"/>
        <v>Week 3</v>
      </c>
    </row>
    <row r="1081" spans="1:21" x14ac:dyDescent="0.25">
      <c r="A1081">
        <v>1080</v>
      </c>
      <c r="B1081" t="s">
        <v>2009</v>
      </c>
      <c r="C1081" s="1">
        <v>46011</v>
      </c>
      <c r="D1081" t="s">
        <v>54</v>
      </c>
      <c r="E1081" t="s">
        <v>1554</v>
      </c>
      <c r="F1081" t="s">
        <v>30</v>
      </c>
      <c r="G1081" t="s">
        <v>24</v>
      </c>
      <c r="H1081" s="2">
        <v>1</v>
      </c>
      <c r="I1081" t="s">
        <v>2010</v>
      </c>
      <c r="J1081" t="s">
        <v>57</v>
      </c>
      <c r="K1081">
        <v>105191243</v>
      </c>
      <c r="L1081">
        <v>0</v>
      </c>
      <c r="M1081">
        <v>0</v>
      </c>
      <c r="N1081">
        <v>11571036.73</v>
      </c>
      <c r="O1081">
        <v>0</v>
      </c>
      <c r="P1081">
        <v>0</v>
      </c>
      <c r="Q1081">
        <v>0</v>
      </c>
      <c r="R1081">
        <v>116762279.73</v>
      </c>
      <c r="S1081">
        <v>3063823</v>
      </c>
      <c r="T1081">
        <v>2.9126217284076001</v>
      </c>
      <c r="U1081" t="str">
        <f t="shared" si="16"/>
        <v>Week 3</v>
      </c>
    </row>
    <row r="1082" spans="1:21" x14ac:dyDescent="0.25">
      <c r="C1082" s="1"/>
      <c r="H1082" s="2"/>
    </row>
    <row r="1083" spans="1:21" x14ac:dyDescent="0.25">
      <c r="A1083">
        <v>1082</v>
      </c>
      <c r="B1083" t="s">
        <v>2011</v>
      </c>
      <c r="C1083" s="1">
        <v>46010</v>
      </c>
      <c r="D1083" t="s">
        <v>99</v>
      </c>
      <c r="E1083" t="s">
        <v>117</v>
      </c>
      <c r="F1083" t="s">
        <v>30</v>
      </c>
      <c r="G1083" t="s">
        <v>24</v>
      </c>
      <c r="H1083" s="2">
        <v>1</v>
      </c>
      <c r="I1083" t="s">
        <v>1179</v>
      </c>
      <c r="J1083" t="s">
        <v>26</v>
      </c>
      <c r="K1083">
        <v>13622471</v>
      </c>
      <c r="L1083">
        <v>0</v>
      </c>
      <c r="M1083">
        <v>0</v>
      </c>
      <c r="N1083">
        <v>1498471.81</v>
      </c>
      <c r="O1083">
        <v>0</v>
      </c>
      <c r="P1083">
        <v>0</v>
      </c>
      <c r="Q1083">
        <v>0</v>
      </c>
      <c r="R1083">
        <v>15120942.810000001</v>
      </c>
      <c r="S1083">
        <v>-1507979</v>
      </c>
      <c r="T1083">
        <v>-11.069790495425</v>
      </c>
      <c r="U1083" t="str">
        <f t="shared" si="16"/>
        <v>Week 3</v>
      </c>
    </row>
    <row r="1084" spans="1:21" x14ac:dyDescent="0.25">
      <c r="A1084">
        <v>1083</v>
      </c>
      <c r="B1084" t="s">
        <v>2012</v>
      </c>
      <c r="C1084" s="1">
        <v>46010</v>
      </c>
      <c r="D1084" t="s">
        <v>33</v>
      </c>
      <c r="E1084" t="s">
        <v>1554</v>
      </c>
      <c r="F1084" t="s">
        <v>39</v>
      </c>
      <c r="G1084" t="s">
        <v>24</v>
      </c>
      <c r="H1084" s="2">
        <v>1</v>
      </c>
      <c r="I1084" t="s">
        <v>1616</v>
      </c>
      <c r="K1084">
        <v>350452</v>
      </c>
      <c r="L1084">
        <v>0</v>
      </c>
      <c r="M1084">
        <v>0</v>
      </c>
      <c r="N1084">
        <v>38549.72</v>
      </c>
      <c r="O1084">
        <v>0</v>
      </c>
      <c r="P1084">
        <v>0</v>
      </c>
      <c r="Q1084">
        <v>0</v>
      </c>
      <c r="R1084">
        <v>389001.72</v>
      </c>
      <c r="S1084">
        <v>-216548</v>
      </c>
      <c r="T1084">
        <v>-61.791058404574997</v>
      </c>
      <c r="U1084" t="str">
        <f t="shared" si="16"/>
        <v>Week 3</v>
      </c>
    </row>
    <row r="1085" spans="1:21" x14ac:dyDescent="0.25">
      <c r="A1085">
        <v>1084</v>
      </c>
      <c r="B1085" t="s">
        <v>2013</v>
      </c>
      <c r="C1085" s="1">
        <v>46009</v>
      </c>
      <c r="D1085" t="s">
        <v>21</v>
      </c>
      <c r="E1085" t="s">
        <v>22</v>
      </c>
      <c r="F1085" t="s">
        <v>23</v>
      </c>
      <c r="G1085" t="s">
        <v>24</v>
      </c>
      <c r="H1085" s="2">
        <v>1</v>
      </c>
      <c r="I1085" t="s">
        <v>246</v>
      </c>
      <c r="K1085">
        <v>3243000</v>
      </c>
      <c r="L1085">
        <v>0</v>
      </c>
      <c r="M1085">
        <v>0</v>
      </c>
      <c r="N1085">
        <v>356730</v>
      </c>
      <c r="O1085">
        <v>0</v>
      </c>
      <c r="P1085">
        <v>0</v>
      </c>
      <c r="Q1085">
        <v>0</v>
      </c>
      <c r="R1085">
        <v>3599730</v>
      </c>
      <c r="S1085">
        <v>461000</v>
      </c>
      <c r="T1085">
        <v>14.215232809127</v>
      </c>
      <c r="U1085" t="str">
        <f t="shared" si="16"/>
        <v>Week 3</v>
      </c>
    </row>
    <row r="1086" spans="1:21" x14ac:dyDescent="0.25">
      <c r="A1086">
        <v>1085</v>
      </c>
      <c r="B1086" t="s">
        <v>2014</v>
      </c>
      <c r="C1086" s="1">
        <v>46009</v>
      </c>
      <c r="D1086" t="s">
        <v>21</v>
      </c>
      <c r="E1086" t="s">
        <v>22</v>
      </c>
      <c r="F1086" t="s">
        <v>30</v>
      </c>
      <c r="G1086" t="s">
        <v>24</v>
      </c>
      <c r="H1086" s="2">
        <v>1</v>
      </c>
      <c r="I1086" t="s">
        <v>2015</v>
      </c>
      <c r="J1086" t="s">
        <v>26</v>
      </c>
      <c r="K1086">
        <v>6434680</v>
      </c>
      <c r="L1086">
        <v>0</v>
      </c>
      <c r="M1086">
        <v>0</v>
      </c>
      <c r="N1086">
        <v>707814.8</v>
      </c>
      <c r="O1086">
        <v>0</v>
      </c>
      <c r="P1086">
        <v>0</v>
      </c>
      <c r="Q1086">
        <v>0</v>
      </c>
      <c r="R1086">
        <v>7142494.7999999998</v>
      </c>
      <c r="S1086">
        <v>2775848.4864865001</v>
      </c>
      <c r="T1086">
        <v>43.138873828792001</v>
      </c>
      <c r="U1086" t="str">
        <f t="shared" si="16"/>
        <v>Week 3</v>
      </c>
    </row>
    <row r="1087" spans="1:21" x14ac:dyDescent="0.25">
      <c r="C1087" s="1"/>
      <c r="H1087" s="2"/>
    </row>
    <row r="1088" spans="1:21" x14ac:dyDescent="0.25">
      <c r="A1088">
        <v>1087</v>
      </c>
      <c r="B1088" t="s">
        <v>2016</v>
      </c>
      <c r="C1088" s="1">
        <v>46009</v>
      </c>
      <c r="D1088" t="s">
        <v>312</v>
      </c>
      <c r="E1088" t="s">
        <v>1303</v>
      </c>
      <c r="F1088" t="s">
        <v>30</v>
      </c>
      <c r="G1088" t="s">
        <v>24</v>
      </c>
      <c r="H1088" s="2">
        <v>1</v>
      </c>
      <c r="I1088" t="s">
        <v>2017</v>
      </c>
      <c r="J1088" t="s">
        <v>26</v>
      </c>
      <c r="K1088">
        <v>2297930</v>
      </c>
      <c r="L1088">
        <v>0</v>
      </c>
      <c r="M1088">
        <v>0</v>
      </c>
      <c r="N1088">
        <v>252772.3</v>
      </c>
      <c r="O1088">
        <v>0</v>
      </c>
      <c r="P1088">
        <v>0</v>
      </c>
      <c r="Q1088">
        <v>0</v>
      </c>
      <c r="R1088">
        <v>2550702.2999999998</v>
      </c>
      <c r="S1088">
        <v>202930</v>
      </c>
      <c r="T1088">
        <v>8.8309913704942993</v>
      </c>
      <c r="U1088" t="str">
        <f t="shared" si="16"/>
        <v>Week 3</v>
      </c>
    </row>
    <row r="1089" spans="1:21" x14ac:dyDescent="0.25">
      <c r="A1089">
        <v>1088</v>
      </c>
      <c r="B1089" t="s">
        <v>2018</v>
      </c>
      <c r="C1089" s="1">
        <v>46009</v>
      </c>
      <c r="D1089" t="s">
        <v>312</v>
      </c>
      <c r="E1089" t="s">
        <v>1303</v>
      </c>
      <c r="F1089" t="s">
        <v>30</v>
      </c>
      <c r="G1089" t="s">
        <v>24</v>
      </c>
      <c r="H1089" s="2">
        <v>1</v>
      </c>
      <c r="I1089" t="s">
        <v>2019</v>
      </c>
      <c r="J1089" t="s">
        <v>26</v>
      </c>
      <c r="K1089">
        <v>36338400</v>
      </c>
      <c r="L1089">
        <v>0</v>
      </c>
      <c r="M1089">
        <v>0</v>
      </c>
      <c r="N1089">
        <v>3997224</v>
      </c>
      <c r="O1089">
        <v>0</v>
      </c>
      <c r="P1089">
        <v>0</v>
      </c>
      <c r="Q1089">
        <v>0</v>
      </c>
      <c r="R1089">
        <v>40335624</v>
      </c>
      <c r="S1089">
        <v>621320</v>
      </c>
      <c r="T1089">
        <v>1.7098166127292</v>
      </c>
      <c r="U1089" t="str">
        <f t="shared" si="16"/>
        <v>Week 3</v>
      </c>
    </row>
    <row r="1090" spans="1:21" x14ac:dyDescent="0.25">
      <c r="A1090">
        <v>1089</v>
      </c>
      <c r="B1090" t="s">
        <v>2020</v>
      </c>
      <c r="C1090" s="1">
        <v>46009</v>
      </c>
      <c r="D1090" t="s">
        <v>312</v>
      </c>
      <c r="E1090" t="s">
        <v>1303</v>
      </c>
      <c r="F1090" t="s">
        <v>30</v>
      </c>
      <c r="G1090" t="s">
        <v>24</v>
      </c>
      <c r="H1090" s="2">
        <v>1</v>
      </c>
      <c r="I1090" t="s">
        <v>2021</v>
      </c>
      <c r="J1090" t="s">
        <v>26</v>
      </c>
      <c r="K1090">
        <v>83430000</v>
      </c>
      <c r="L1090">
        <v>0</v>
      </c>
      <c r="M1090">
        <v>0</v>
      </c>
      <c r="N1090">
        <v>9177300</v>
      </c>
      <c r="O1090">
        <v>0</v>
      </c>
      <c r="P1090">
        <v>0</v>
      </c>
      <c r="Q1090">
        <v>0</v>
      </c>
      <c r="R1090">
        <v>92607300</v>
      </c>
      <c r="S1090">
        <v>15592162.162162</v>
      </c>
      <c r="T1090">
        <v>18.688915452669001</v>
      </c>
      <c r="U1090" t="str">
        <f t="shared" si="16"/>
        <v>Week 3</v>
      </c>
    </row>
    <row r="1091" spans="1:21" x14ac:dyDescent="0.25">
      <c r="A1091">
        <v>1090</v>
      </c>
      <c r="B1091" t="s">
        <v>2022</v>
      </c>
      <c r="C1091" s="1">
        <v>46009</v>
      </c>
      <c r="D1091" t="s">
        <v>28</v>
      </c>
      <c r="E1091" t="s">
        <v>1547</v>
      </c>
      <c r="F1091" t="s">
        <v>30</v>
      </c>
      <c r="G1091" t="s">
        <v>24</v>
      </c>
      <c r="H1091" s="2">
        <v>1</v>
      </c>
      <c r="I1091" t="s">
        <v>2023</v>
      </c>
      <c r="J1091" t="s">
        <v>57</v>
      </c>
      <c r="K1091">
        <v>175112875</v>
      </c>
      <c r="L1091">
        <v>0</v>
      </c>
      <c r="M1091">
        <v>0</v>
      </c>
      <c r="N1091">
        <v>19262416.25</v>
      </c>
      <c r="O1091">
        <v>0</v>
      </c>
      <c r="P1091">
        <v>0</v>
      </c>
      <c r="Q1091">
        <v>0</v>
      </c>
      <c r="R1091">
        <v>194375291.25</v>
      </c>
      <c r="S1091">
        <v>27692623</v>
      </c>
      <c r="T1091">
        <v>15.814155869464001</v>
      </c>
      <c r="U1091" t="str">
        <f t="shared" ref="U1091:U1154" si="17">"Week " &amp;IF(DAY(C1091)&gt;=24,4,INT((DAY(C1091)-1)/7)+1)</f>
        <v>Week 3</v>
      </c>
    </row>
    <row r="1092" spans="1:21" x14ac:dyDescent="0.25">
      <c r="A1092">
        <v>1091</v>
      </c>
      <c r="B1092" t="s">
        <v>2024</v>
      </c>
      <c r="C1092" s="1">
        <v>46009</v>
      </c>
      <c r="D1092" t="s">
        <v>204</v>
      </c>
      <c r="E1092" t="s">
        <v>22</v>
      </c>
      <c r="F1092" t="s">
        <v>30</v>
      </c>
      <c r="G1092" t="s">
        <v>24</v>
      </c>
      <c r="H1092" s="2">
        <v>1</v>
      </c>
      <c r="I1092" t="s">
        <v>2025</v>
      </c>
      <c r="J1092" t="s">
        <v>26</v>
      </c>
      <c r="K1092">
        <v>2744000</v>
      </c>
      <c r="L1092">
        <v>0</v>
      </c>
      <c r="M1092">
        <v>0</v>
      </c>
      <c r="N1092">
        <v>301840</v>
      </c>
      <c r="O1092">
        <v>0</v>
      </c>
      <c r="P1092">
        <v>0</v>
      </c>
      <c r="Q1092">
        <v>0</v>
      </c>
      <c r="R1092">
        <v>3045840</v>
      </c>
      <c r="S1092">
        <v>784000</v>
      </c>
      <c r="T1092">
        <v>28.571428571428999</v>
      </c>
      <c r="U1092" t="str">
        <f t="shared" si="17"/>
        <v>Week 3</v>
      </c>
    </row>
    <row r="1093" spans="1:21" x14ac:dyDescent="0.25">
      <c r="A1093">
        <v>1092</v>
      </c>
      <c r="B1093" t="s">
        <v>2026</v>
      </c>
      <c r="C1093" s="1">
        <v>46009</v>
      </c>
      <c r="D1093" t="s">
        <v>186</v>
      </c>
      <c r="E1093" t="s">
        <v>100</v>
      </c>
      <c r="F1093" t="s">
        <v>30</v>
      </c>
      <c r="G1093" t="s">
        <v>24</v>
      </c>
      <c r="H1093" s="2">
        <v>1</v>
      </c>
      <c r="I1093" t="s">
        <v>2027</v>
      </c>
      <c r="J1093" t="s">
        <v>26</v>
      </c>
      <c r="K1093">
        <v>1045965</v>
      </c>
      <c r="L1093">
        <v>0</v>
      </c>
      <c r="M1093">
        <v>0</v>
      </c>
      <c r="N1093">
        <v>115056.15</v>
      </c>
      <c r="O1093">
        <v>0</v>
      </c>
      <c r="P1093">
        <v>0</v>
      </c>
      <c r="Q1093">
        <v>0</v>
      </c>
      <c r="R1093">
        <v>1161021.1499999999</v>
      </c>
      <c r="S1093">
        <v>153172.20720721001</v>
      </c>
      <c r="T1093">
        <v>14.644104459252</v>
      </c>
      <c r="U1093" t="str">
        <f t="shared" si="17"/>
        <v>Week 3</v>
      </c>
    </row>
    <row r="1094" spans="1:21" x14ac:dyDescent="0.25">
      <c r="A1094">
        <v>1093</v>
      </c>
      <c r="B1094" t="s">
        <v>2028</v>
      </c>
      <c r="C1094" s="1">
        <v>46009</v>
      </c>
      <c r="D1094" t="s">
        <v>54</v>
      </c>
      <c r="E1094" t="s">
        <v>1554</v>
      </c>
      <c r="F1094" t="s">
        <v>30</v>
      </c>
      <c r="G1094" t="s">
        <v>24</v>
      </c>
      <c r="H1094" s="2">
        <v>1</v>
      </c>
      <c r="I1094" t="s">
        <v>2029</v>
      </c>
      <c r="K1094">
        <v>8232000</v>
      </c>
      <c r="L1094">
        <v>0</v>
      </c>
      <c r="M1094">
        <v>0</v>
      </c>
      <c r="N1094">
        <v>905520</v>
      </c>
      <c r="O1094">
        <v>0</v>
      </c>
      <c r="P1094">
        <v>0</v>
      </c>
      <c r="Q1094">
        <v>0</v>
      </c>
      <c r="R1094">
        <v>9137520</v>
      </c>
      <c r="S1094">
        <v>2646414</v>
      </c>
      <c r="T1094">
        <v>32.147886297375997</v>
      </c>
      <c r="U1094" t="str">
        <f t="shared" si="17"/>
        <v>Week 3</v>
      </c>
    </row>
    <row r="1095" spans="1:21" x14ac:dyDescent="0.25">
      <c r="A1095">
        <v>1094</v>
      </c>
      <c r="B1095" t="s">
        <v>2030</v>
      </c>
      <c r="C1095" s="1">
        <v>46009</v>
      </c>
      <c r="D1095" t="s">
        <v>54</v>
      </c>
      <c r="E1095" t="s">
        <v>1554</v>
      </c>
      <c r="F1095" t="s">
        <v>23</v>
      </c>
      <c r="G1095" t="s">
        <v>24</v>
      </c>
      <c r="H1095" s="2">
        <v>1</v>
      </c>
      <c r="I1095" t="s">
        <v>2031</v>
      </c>
      <c r="K1095">
        <v>7200000</v>
      </c>
      <c r="L1095">
        <v>0</v>
      </c>
      <c r="M1095">
        <v>0</v>
      </c>
      <c r="N1095">
        <v>792000</v>
      </c>
      <c r="O1095">
        <v>0</v>
      </c>
      <c r="P1095">
        <v>0</v>
      </c>
      <c r="Q1095">
        <v>0</v>
      </c>
      <c r="R1095">
        <v>7992000</v>
      </c>
      <c r="S1095">
        <v>2232431</v>
      </c>
      <c r="T1095">
        <v>31.005986111111</v>
      </c>
      <c r="U1095" t="str">
        <f t="shared" si="17"/>
        <v>Week 3</v>
      </c>
    </row>
    <row r="1096" spans="1:21" x14ac:dyDescent="0.25">
      <c r="A1096">
        <v>1095</v>
      </c>
      <c r="B1096" t="s">
        <v>2032</v>
      </c>
      <c r="C1096" s="1">
        <v>46009</v>
      </c>
      <c r="D1096" t="s">
        <v>21</v>
      </c>
      <c r="E1096" t="s">
        <v>22</v>
      </c>
      <c r="F1096" t="s">
        <v>30</v>
      </c>
      <c r="G1096" t="s">
        <v>24</v>
      </c>
      <c r="H1096" s="2">
        <v>1</v>
      </c>
      <c r="I1096" t="s">
        <v>2033</v>
      </c>
      <c r="J1096" t="s">
        <v>26</v>
      </c>
      <c r="K1096">
        <v>14721072</v>
      </c>
      <c r="L1096">
        <v>0</v>
      </c>
      <c r="M1096">
        <v>0</v>
      </c>
      <c r="N1096">
        <v>1619317.92</v>
      </c>
      <c r="O1096">
        <v>0</v>
      </c>
      <c r="P1096">
        <v>0</v>
      </c>
      <c r="Q1096">
        <v>0</v>
      </c>
      <c r="R1096">
        <v>16340389.92</v>
      </c>
      <c r="S1096">
        <v>747964.29</v>
      </c>
      <c r="T1096">
        <v>5.0809091212922999</v>
      </c>
      <c r="U1096" t="str">
        <f t="shared" si="17"/>
        <v>Week 3</v>
      </c>
    </row>
    <row r="1097" spans="1:21" x14ac:dyDescent="0.25">
      <c r="A1097">
        <v>1096</v>
      </c>
      <c r="B1097" t="s">
        <v>2034</v>
      </c>
      <c r="C1097" s="1">
        <v>46009</v>
      </c>
      <c r="D1097" t="s">
        <v>54</v>
      </c>
      <c r="E1097" t="s">
        <v>1554</v>
      </c>
      <c r="F1097" t="s">
        <v>30</v>
      </c>
      <c r="G1097" t="s">
        <v>24</v>
      </c>
      <c r="H1097" s="2">
        <v>1</v>
      </c>
      <c r="I1097" t="s">
        <v>2029</v>
      </c>
      <c r="K1097">
        <v>2410800</v>
      </c>
      <c r="L1097">
        <v>0</v>
      </c>
      <c r="M1097">
        <v>0</v>
      </c>
      <c r="N1097">
        <v>265188</v>
      </c>
      <c r="O1097">
        <v>0</v>
      </c>
      <c r="P1097">
        <v>0</v>
      </c>
      <c r="Q1097">
        <v>0</v>
      </c>
      <c r="R1097">
        <v>2675988</v>
      </c>
      <c r="S1097">
        <v>938840.55</v>
      </c>
      <c r="T1097">
        <v>38.943112244898003</v>
      </c>
      <c r="U1097" t="str">
        <f t="shared" si="17"/>
        <v>Week 3</v>
      </c>
    </row>
    <row r="1098" spans="1:21" x14ac:dyDescent="0.25">
      <c r="A1098">
        <v>1097</v>
      </c>
      <c r="B1098" t="s">
        <v>2035</v>
      </c>
      <c r="C1098" s="1">
        <v>46009</v>
      </c>
      <c r="D1098" t="s">
        <v>99</v>
      </c>
      <c r="E1098" t="s">
        <v>100</v>
      </c>
      <c r="F1098" t="s">
        <v>30</v>
      </c>
      <c r="G1098" t="s">
        <v>24</v>
      </c>
      <c r="H1098" s="2">
        <v>1</v>
      </c>
      <c r="I1098" t="s">
        <v>2036</v>
      </c>
      <c r="J1098" t="s">
        <v>26</v>
      </c>
      <c r="K1098">
        <v>41674500</v>
      </c>
      <c r="L1098">
        <v>0</v>
      </c>
      <c r="M1098">
        <v>0</v>
      </c>
      <c r="N1098">
        <v>4584195</v>
      </c>
      <c r="O1098">
        <v>0</v>
      </c>
      <c r="P1098">
        <v>0</v>
      </c>
      <c r="Q1098">
        <v>0</v>
      </c>
      <c r="R1098">
        <v>46258695</v>
      </c>
      <c r="S1098">
        <v>12074500</v>
      </c>
      <c r="T1098">
        <v>28.973353009634</v>
      </c>
      <c r="U1098" t="str">
        <f t="shared" si="17"/>
        <v>Week 3</v>
      </c>
    </row>
    <row r="1099" spans="1:21" x14ac:dyDescent="0.25">
      <c r="A1099">
        <v>1098</v>
      </c>
      <c r="B1099" t="s">
        <v>2037</v>
      </c>
      <c r="C1099" s="1">
        <v>46009</v>
      </c>
      <c r="D1099" t="s">
        <v>186</v>
      </c>
      <c r="E1099" t="s">
        <v>100</v>
      </c>
      <c r="F1099" t="s">
        <v>30</v>
      </c>
      <c r="G1099" t="s">
        <v>24</v>
      </c>
      <c r="H1099" s="2">
        <v>1</v>
      </c>
      <c r="I1099" t="s">
        <v>1953</v>
      </c>
      <c r="J1099" t="s">
        <v>26</v>
      </c>
      <c r="K1099">
        <v>24411000</v>
      </c>
      <c r="L1099">
        <v>0</v>
      </c>
      <c r="M1099">
        <v>0</v>
      </c>
      <c r="N1099">
        <v>2685210</v>
      </c>
      <c r="O1099">
        <v>0</v>
      </c>
      <c r="P1099">
        <v>0</v>
      </c>
      <c r="Q1099">
        <v>0</v>
      </c>
      <c r="R1099">
        <v>27096210</v>
      </c>
      <c r="S1099">
        <v>4611000</v>
      </c>
      <c r="T1099">
        <v>18.889025439350998</v>
      </c>
      <c r="U1099" t="str">
        <f t="shared" si="17"/>
        <v>Week 3</v>
      </c>
    </row>
    <row r="1100" spans="1:21" x14ac:dyDescent="0.25">
      <c r="A1100">
        <v>1099</v>
      </c>
      <c r="B1100" t="s">
        <v>2038</v>
      </c>
      <c r="C1100" s="1">
        <v>46009</v>
      </c>
      <c r="D1100" t="s">
        <v>99</v>
      </c>
      <c r="E1100" t="s">
        <v>100</v>
      </c>
      <c r="F1100" t="s">
        <v>30</v>
      </c>
      <c r="G1100" t="s">
        <v>24</v>
      </c>
      <c r="H1100" s="2">
        <v>1</v>
      </c>
      <c r="I1100" t="s">
        <v>2039</v>
      </c>
      <c r="J1100" t="s">
        <v>26</v>
      </c>
      <c r="K1100">
        <v>8160000</v>
      </c>
      <c r="L1100">
        <v>0</v>
      </c>
      <c r="M1100">
        <v>0</v>
      </c>
      <c r="N1100">
        <v>897600</v>
      </c>
      <c r="O1100">
        <v>0</v>
      </c>
      <c r="P1100">
        <v>0</v>
      </c>
      <c r="Q1100">
        <v>0</v>
      </c>
      <c r="R1100">
        <v>9057600</v>
      </c>
      <c r="S1100">
        <v>2160000</v>
      </c>
      <c r="T1100">
        <v>26.470588235293999</v>
      </c>
      <c r="U1100" t="str">
        <f t="shared" si="17"/>
        <v>Week 3</v>
      </c>
    </row>
    <row r="1101" spans="1:21" x14ac:dyDescent="0.25">
      <c r="A1101">
        <v>1100</v>
      </c>
      <c r="B1101" t="s">
        <v>2040</v>
      </c>
      <c r="C1101" s="1">
        <v>46009</v>
      </c>
      <c r="D1101" t="s">
        <v>54</v>
      </c>
      <c r="E1101" t="s">
        <v>1554</v>
      </c>
      <c r="F1101" t="s">
        <v>30</v>
      </c>
      <c r="G1101" t="s">
        <v>24</v>
      </c>
      <c r="H1101" s="2">
        <v>1</v>
      </c>
      <c r="I1101" t="s">
        <v>2041</v>
      </c>
      <c r="K1101">
        <v>74772434</v>
      </c>
      <c r="L1101">
        <v>0</v>
      </c>
      <c r="M1101">
        <v>0</v>
      </c>
      <c r="N1101">
        <v>8224967.7400000002</v>
      </c>
      <c r="O1101">
        <v>0</v>
      </c>
      <c r="P1101">
        <v>0</v>
      </c>
      <c r="Q1101">
        <v>0</v>
      </c>
      <c r="R1101">
        <v>82997401.739999995</v>
      </c>
      <c r="S1101">
        <v>17219834</v>
      </c>
      <c r="T1101">
        <v>23.029655554613001</v>
      </c>
      <c r="U1101" t="str">
        <f t="shared" si="17"/>
        <v>Week 3</v>
      </c>
    </row>
    <row r="1102" spans="1:21" x14ac:dyDescent="0.25">
      <c r="A1102">
        <v>1101</v>
      </c>
      <c r="B1102" t="s">
        <v>2042</v>
      </c>
      <c r="C1102" s="1">
        <v>46009</v>
      </c>
      <c r="D1102" t="s">
        <v>312</v>
      </c>
      <c r="E1102" t="s">
        <v>1303</v>
      </c>
      <c r="F1102" t="s">
        <v>30</v>
      </c>
      <c r="G1102" t="s">
        <v>24</v>
      </c>
      <c r="H1102" s="2">
        <v>1</v>
      </c>
      <c r="I1102" t="s">
        <v>2043</v>
      </c>
      <c r="J1102" t="s">
        <v>26</v>
      </c>
      <c r="K1102">
        <v>32630400</v>
      </c>
      <c r="L1102">
        <v>0</v>
      </c>
      <c r="M1102">
        <v>0</v>
      </c>
      <c r="N1102">
        <v>3589344</v>
      </c>
      <c r="O1102">
        <v>0</v>
      </c>
      <c r="P1102">
        <v>0</v>
      </c>
      <c r="Q1102">
        <v>0</v>
      </c>
      <c r="R1102">
        <v>36219744</v>
      </c>
      <c r="S1102">
        <v>4510400</v>
      </c>
      <c r="T1102">
        <v>13.822692948906999</v>
      </c>
      <c r="U1102" t="str">
        <f t="shared" si="17"/>
        <v>Week 3</v>
      </c>
    </row>
    <row r="1103" spans="1:21" x14ac:dyDescent="0.25">
      <c r="A1103">
        <v>1102</v>
      </c>
      <c r="B1103" t="s">
        <v>2044</v>
      </c>
      <c r="C1103" s="1">
        <v>46008</v>
      </c>
      <c r="D1103" t="s">
        <v>21</v>
      </c>
      <c r="E1103" t="s">
        <v>22</v>
      </c>
      <c r="F1103" t="s">
        <v>30</v>
      </c>
      <c r="G1103" t="s">
        <v>24</v>
      </c>
      <c r="H1103" s="2">
        <v>1</v>
      </c>
      <c r="I1103" t="s">
        <v>2045</v>
      </c>
      <c r="K1103">
        <v>826165</v>
      </c>
      <c r="L1103">
        <v>0</v>
      </c>
      <c r="M1103">
        <v>0</v>
      </c>
      <c r="N1103">
        <v>90878.15</v>
      </c>
      <c r="O1103">
        <v>0</v>
      </c>
      <c r="P1103">
        <v>0</v>
      </c>
      <c r="Q1103">
        <v>0</v>
      </c>
      <c r="R1103">
        <v>917043.15</v>
      </c>
      <c r="S1103">
        <v>180872.20720825999</v>
      </c>
      <c r="T1103">
        <v>21.892988350785</v>
      </c>
      <c r="U1103" t="str">
        <f t="shared" si="17"/>
        <v>Week 3</v>
      </c>
    </row>
    <row r="1104" spans="1:21" x14ac:dyDescent="0.25">
      <c r="A1104">
        <v>1103</v>
      </c>
      <c r="B1104" t="s">
        <v>2046</v>
      </c>
      <c r="C1104" s="1">
        <v>46008</v>
      </c>
      <c r="D1104" t="s">
        <v>21</v>
      </c>
      <c r="E1104" t="s">
        <v>22</v>
      </c>
      <c r="F1104" t="s">
        <v>30</v>
      </c>
      <c r="G1104" t="s">
        <v>24</v>
      </c>
      <c r="H1104" s="2">
        <v>1</v>
      </c>
      <c r="I1104" t="s">
        <v>2047</v>
      </c>
      <c r="J1104" t="s">
        <v>57</v>
      </c>
      <c r="K1104">
        <v>116851960</v>
      </c>
      <c r="L1104">
        <v>0</v>
      </c>
      <c r="M1104">
        <v>0</v>
      </c>
      <c r="N1104">
        <v>12853715.6</v>
      </c>
      <c r="O1104">
        <v>0</v>
      </c>
      <c r="P1104">
        <v>0</v>
      </c>
      <c r="Q1104">
        <v>0</v>
      </c>
      <c r="R1104">
        <v>129705675.59999999</v>
      </c>
      <c r="S1104">
        <v>6643446.4000000004</v>
      </c>
      <c r="T1104">
        <v>5.6853529885164003</v>
      </c>
      <c r="U1104" t="str">
        <f t="shared" si="17"/>
        <v>Week 3</v>
      </c>
    </row>
    <row r="1105" spans="1:21" x14ac:dyDescent="0.25">
      <c r="A1105">
        <v>1104</v>
      </c>
      <c r="B1105" t="s">
        <v>2048</v>
      </c>
      <c r="C1105" s="1">
        <v>46008</v>
      </c>
      <c r="D1105" t="s">
        <v>54</v>
      </c>
      <c r="E1105" t="s">
        <v>1554</v>
      </c>
      <c r="F1105" t="s">
        <v>30</v>
      </c>
      <c r="G1105" t="s">
        <v>24</v>
      </c>
      <c r="H1105" s="2">
        <v>1</v>
      </c>
      <c r="I1105" t="s">
        <v>2049</v>
      </c>
      <c r="J1105" t="s">
        <v>57</v>
      </c>
      <c r="K1105">
        <v>110307284</v>
      </c>
      <c r="L1105">
        <v>0</v>
      </c>
      <c r="M1105">
        <v>0</v>
      </c>
      <c r="N1105">
        <v>12133801.24</v>
      </c>
      <c r="O1105">
        <v>0</v>
      </c>
      <c r="P1105">
        <v>0</v>
      </c>
      <c r="Q1105">
        <v>0</v>
      </c>
      <c r="R1105">
        <v>122441085.23999999</v>
      </c>
      <c r="S1105">
        <v>8849384</v>
      </c>
      <c r="T1105">
        <v>8.0224838098634006</v>
      </c>
      <c r="U1105" t="str">
        <f t="shared" si="17"/>
        <v>Week 3</v>
      </c>
    </row>
    <row r="1106" spans="1:21" x14ac:dyDescent="0.25">
      <c r="A1106">
        <v>1105</v>
      </c>
      <c r="B1106" t="s">
        <v>2050</v>
      </c>
      <c r="C1106" s="1">
        <v>46008</v>
      </c>
      <c r="D1106" t="s">
        <v>54</v>
      </c>
      <c r="E1106" t="s">
        <v>1554</v>
      </c>
      <c r="F1106" t="s">
        <v>30</v>
      </c>
      <c r="G1106" t="s">
        <v>24</v>
      </c>
      <c r="H1106" s="2">
        <v>1</v>
      </c>
      <c r="I1106" t="s">
        <v>2051</v>
      </c>
      <c r="J1106" t="s">
        <v>57</v>
      </c>
      <c r="K1106">
        <v>55153642</v>
      </c>
      <c r="L1106">
        <v>0</v>
      </c>
      <c r="M1106">
        <v>0</v>
      </c>
      <c r="N1106">
        <v>6066900.6200000001</v>
      </c>
      <c r="O1106">
        <v>0</v>
      </c>
      <c r="P1106">
        <v>0</v>
      </c>
      <c r="Q1106">
        <v>0</v>
      </c>
      <c r="R1106">
        <v>61220542.619999997</v>
      </c>
      <c r="S1106">
        <v>4424692</v>
      </c>
      <c r="T1106">
        <v>8.0224838098634006</v>
      </c>
      <c r="U1106" t="str">
        <f t="shared" si="17"/>
        <v>Week 3</v>
      </c>
    </row>
    <row r="1107" spans="1:21" x14ac:dyDescent="0.25">
      <c r="A1107">
        <v>1106</v>
      </c>
      <c r="B1107" t="s">
        <v>2052</v>
      </c>
      <c r="C1107" s="1">
        <v>46008</v>
      </c>
      <c r="D1107" t="s">
        <v>33</v>
      </c>
      <c r="E1107" t="s">
        <v>34</v>
      </c>
      <c r="F1107" t="s">
        <v>23</v>
      </c>
      <c r="G1107" t="s">
        <v>24</v>
      </c>
      <c r="H1107" s="2">
        <v>1</v>
      </c>
      <c r="I1107" t="s">
        <v>2053</v>
      </c>
      <c r="K1107">
        <v>5803875</v>
      </c>
      <c r="L1107">
        <v>0</v>
      </c>
      <c r="M1107">
        <v>0</v>
      </c>
      <c r="N1107">
        <v>638426.25</v>
      </c>
      <c r="O1107">
        <v>0</v>
      </c>
      <c r="P1107">
        <v>0</v>
      </c>
      <c r="Q1107">
        <v>0</v>
      </c>
      <c r="R1107">
        <v>6442301.25</v>
      </c>
      <c r="S1107">
        <v>844875</v>
      </c>
      <c r="T1107">
        <v>14.557084706337999</v>
      </c>
      <c r="U1107" t="str">
        <f t="shared" si="17"/>
        <v>Week 3</v>
      </c>
    </row>
    <row r="1108" spans="1:21" x14ac:dyDescent="0.25">
      <c r="A1108">
        <v>1107</v>
      </c>
      <c r="B1108" t="s">
        <v>2054</v>
      </c>
      <c r="C1108" s="1">
        <v>46008</v>
      </c>
      <c r="D1108" t="s">
        <v>21</v>
      </c>
      <c r="E1108" t="s">
        <v>22</v>
      </c>
      <c r="F1108" t="s">
        <v>30</v>
      </c>
      <c r="G1108" t="s">
        <v>24</v>
      </c>
      <c r="H1108" s="2">
        <v>1</v>
      </c>
      <c r="I1108" t="s">
        <v>2055</v>
      </c>
      <c r="J1108" t="s">
        <v>26</v>
      </c>
      <c r="K1108">
        <v>20580000</v>
      </c>
      <c r="L1108">
        <v>0</v>
      </c>
      <c r="M1108">
        <v>0</v>
      </c>
      <c r="N1108">
        <v>2263800</v>
      </c>
      <c r="O1108">
        <v>0</v>
      </c>
      <c r="P1108">
        <v>0</v>
      </c>
      <c r="Q1108">
        <v>0</v>
      </c>
      <c r="R1108">
        <v>22843800</v>
      </c>
      <c r="S1108">
        <v>2080000</v>
      </c>
      <c r="T1108">
        <v>10.106899902818</v>
      </c>
      <c r="U1108" t="str">
        <f t="shared" si="17"/>
        <v>Week 3</v>
      </c>
    </row>
    <row r="1109" spans="1:21" x14ac:dyDescent="0.25">
      <c r="A1109">
        <v>1108</v>
      </c>
      <c r="B1109" t="s">
        <v>2056</v>
      </c>
      <c r="C1109" s="1">
        <v>46008</v>
      </c>
      <c r="D1109" t="s">
        <v>21</v>
      </c>
      <c r="E1109" t="s">
        <v>22</v>
      </c>
      <c r="F1109" t="s">
        <v>30</v>
      </c>
      <c r="G1109" t="s">
        <v>24</v>
      </c>
      <c r="H1109" s="2">
        <v>1</v>
      </c>
      <c r="I1109" t="s">
        <v>2057</v>
      </c>
      <c r="J1109" t="s">
        <v>26</v>
      </c>
      <c r="K1109">
        <v>82320000</v>
      </c>
      <c r="L1109">
        <v>0</v>
      </c>
      <c r="M1109">
        <v>0</v>
      </c>
      <c r="N1109">
        <v>9055200</v>
      </c>
      <c r="O1109">
        <v>0</v>
      </c>
      <c r="P1109">
        <v>0</v>
      </c>
      <c r="Q1109">
        <v>0</v>
      </c>
      <c r="R1109">
        <v>91375200</v>
      </c>
      <c r="S1109">
        <v>8320000</v>
      </c>
      <c r="T1109">
        <v>10.106899902818</v>
      </c>
      <c r="U1109" t="str">
        <f t="shared" si="17"/>
        <v>Week 3</v>
      </c>
    </row>
    <row r="1110" spans="1:21" x14ac:dyDescent="0.25">
      <c r="A1110">
        <v>1109</v>
      </c>
      <c r="B1110" t="s">
        <v>2058</v>
      </c>
      <c r="C1110" s="1">
        <v>46008</v>
      </c>
      <c r="D1110" t="s">
        <v>520</v>
      </c>
      <c r="E1110" t="s">
        <v>1554</v>
      </c>
      <c r="F1110" t="s">
        <v>30</v>
      </c>
      <c r="G1110" t="s">
        <v>24</v>
      </c>
      <c r="H1110" s="2">
        <v>1</v>
      </c>
      <c r="I1110" t="s">
        <v>2059</v>
      </c>
      <c r="K1110">
        <v>349200</v>
      </c>
      <c r="L1110">
        <v>0</v>
      </c>
      <c r="M1110">
        <v>0</v>
      </c>
      <c r="N1110">
        <v>38412</v>
      </c>
      <c r="O1110">
        <v>0</v>
      </c>
      <c r="P1110">
        <v>0</v>
      </c>
      <c r="Q1110">
        <v>0</v>
      </c>
      <c r="R1110">
        <v>387612</v>
      </c>
      <c r="S1110">
        <v>64020</v>
      </c>
      <c r="T1110">
        <v>18.333333333333002</v>
      </c>
      <c r="U1110" t="str">
        <f t="shared" si="17"/>
        <v>Week 3</v>
      </c>
    </row>
    <row r="1111" spans="1:21" x14ac:dyDescent="0.25">
      <c r="A1111">
        <v>1110</v>
      </c>
      <c r="B1111" t="s">
        <v>2060</v>
      </c>
      <c r="C1111" s="1">
        <v>46008</v>
      </c>
      <c r="D1111" t="s">
        <v>99</v>
      </c>
      <c r="E1111" t="s">
        <v>100</v>
      </c>
      <c r="F1111" t="s">
        <v>30</v>
      </c>
      <c r="G1111" t="s">
        <v>24</v>
      </c>
      <c r="H1111" s="2">
        <v>1</v>
      </c>
      <c r="I1111" t="s">
        <v>2061</v>
      </c>
      <c r="J1111" t="s">
        <v>26</v>
      </c>
      <c r="K1111">
        <v>455260</v>
      </c>
      <c r="L1111">
        <v>0</v>
      </c>
      <c r="M1111">
        <v>0</v>
      </c>
      <c r="N1111">
        <v>50078.6</v>
      </c>
      <c r="O1111">
        <v>0</v>
      </c>
      <c r="P1111">
        <v>0</v>
      </c>
      <c r="Q1111">
        <v>0</v>
      </c>
      <c r="R1111">
        <v>505338.6</v>
      </c>
      <c r="S1111">
        <v>193260</v>
      </c>
      <c r="T1111">
        <v>42.450467864517002</v>
      </c>
      <c r="U1111" t="str">
        <f t="shared" si="17"/>
        <v>Week 3</v>
      </c>
    </row>
    <row r="1112" spans="1:21" x14ac:dyDescent="0.25">
      <c r="A1112">
        <v>1111</v>
      </c>
      <c r="B1112" t="s">
        <v>2062</v>
      </c>
      <c r="C1112" s="1">
        <v>46008</v>
      </c>
      <c r="D1112" t="s">
        <v>37</v>
      </c>
      <c r="E1112" t="s">
        <v>34</v>
      </c>
      <c r="F1112" t="s">
        <v>23</v>
      </c>
      <c r="G1112" t="s">
        <v>24</v>
      </c>
      <c r="H1112" s="2">
        <v>1</v>
      </c>
      <c r="I1112" t="s">
        <v>2063</v>
      </c>
      <c r="K1112">
        <v>240000</v>
      </c>
      <c r="L1112">
        <v>0</v>
      </c>
      <c r="M1112">
        <v>0</v>
      </c>
      <c r="N1112">
        <v>26400</v>
      </c>
      <c r="O1112">
        <v>0</v>
      </c>
      <c r="P1112">
        <v>0</v>
      </c>
      <c r="Q1112">
        <v>0</v>
      </c>
      <c r="R1112">
        <v>266400</v>
      </c>
      <c r="S1112">
        <v>132000</v>
      </c>
      <c r="T1112">
        <v>55</v>
      </c>
      <c r="U1112" t="str">
        <f t="shared" si="17"/>
        <v>Week 3</v>
      </c>
    </row>
    <row r="1113" spans="1:21" x14ac:dyDescent="0.25">
      <c r="A1113">
        <v>1112</v>
      </c>
      <c r="B1113" t="s">
        <v>2064</v>
      </c>
      <c r="C1113" s="1">
        <v>46007</v>
      </c>
      <c r="D1113" t="s">
        <v>312</v>
      </c>
      <c r="E1113" t="s">
        <v>1303</v>
      </c>
      <c r="F1113" t="s">
        <v>30</v>
      </c>
      <c r="G1113" t="s">
        <v>24</v>
      </c>
      <c r="H1113" s="2">
        <v>1</v>
      </c>
      <c r="I1113" t="s">
        <v>2065</v>
      </c>
      <c r="J1113" t="s">
        <v>26</v>
      </c>
      <c r="K1113">
        <v>20030822</v>
      </c>
      <c r="L1113">
        <v>0</v>
      </c>
      <c r="M1113">
        <v>0</v>
      </c>
      <c r="N1113">
        <v>2203390.42</v>
      </c>
      <c r="O1113">
        <v>0</v>
      </c>
      <c r="P1113">
        <v>0</v>
      </c>
      <c r="Q1113">
        <v>0</v>
      </c>
      <c r="R1113">
        <v>22234212.420000002</v>
      </c>
      <c r="S1113">
        <v>583422</v>
      </c>
      <c r="T1113">
        <v>2.9126213592233001</v>
      </c>
      <c r="U1113" t="str">
        <f t="shared" si="17"/>
        <v>Week 3</v>
      </c>
    </row>
    <row r="1114" spans="1:21" x14ac:dyDescent="0.25">
      <c r="A1114">
        <v>1113</v>
      </c>
      <c r="B1114" t="s">
        <v>2066</v>
      </c>
      <c r="C1114" s="1">
        <v>46007</v>
      </c>
      <c r="D1114" t="s">
        <v>54</v>
      </c>
      <c r="E1114" t="s">
        <v>1554</v>
      </c>
      <c r="F1114" t="s">
        <v>23</v>
      </c>
      <c r="G1114" t="s">
        <v>24</v>
      </c>
      <c r="H1114" s="2">
        <v>1</v>
      </c>
      <c r="I1114" t="s">
        <v>2031</v>
      </c>
      <c r="K1114">
        <v>75556026</v>
      </c>
      <c r="L1114">
        <v>0</v>
      </c>
      <c r="M1114">
        <v>0</v>
      </c>
      <c r="N1114">
        <v>8311162.8600000003</v>
      </c>
      <c r="O1114">
        <v>0</v>
      </c>
      <c r="P1114">
        <v>0</v>
      </c>
      <c r="Q1114">
        <v>0</v>
      </c>
      <c r="R1114">
        <v>83867188.859999999</v>
      </c>
      <c r="S1114">
        <v>17134404</v>
      </c>
      <c r="T1114">
        <v>22.677746444737998</v>
      </c>
      <c r="U1114" t="str">
        <f t="shared" si="17"/>
        <v>Week 3</v>
      </c>
    </row>
    <row r="1115" spans="1:21" x14ac:dyDescent="0.25">
      <c r="A1115">
        <v>1114</v>
      </c>
      <c r="B1115" t="s">
        <v>2067</v>
      </c>
      <c r="C1115" s="1">
        <v>46007</v>
      </c>
      <c r="D1115" t="s">
        <v>21</v>
      </c>
      <c r="E1115" t="s">
        <v>22</v>
      </c>
      <c r="F1115" t="s">
        <v>23</v>
      </c>
      <c r="G1115" t="s">
        <v>24</v>
      </c>
      <c r="H1115" s="2">
        <v>1</v>
      </c>
      <c r="I1115" t="s">
        <v>368</v>
      </c>
      <c r="K1115">
        <v>12824173.274723999</v>
      </c>
      <c r="L1115">
        <v>0</v>
      </c>
      <c r="M1115">
        <v>0</v>
      </c>
      <c r="N1115">
        <v>1410659.0602196001</v>
      </c>
      <c r="O1115">
        <v>0</v>
      </c>
      <c r="P1115">
        <v>0</v>
      </c>
      <c r="Q1115">
        <v>0</v>
      </c>
      <c r="R1115">
        <v>14234832.334944</v>
      </c>
      <c r="S1115">
        <v>2310659.7649139999</v>
      </c>
      <c r="T1115">
        <v>18.01800174884</v>
      </c>
      <c r="U1115" t="str">
        <f t="shared" si="17"/>
        <v>Week 3</v>
      </c>
    </row>
    <row r="1116" spans="1:21" x14ac:dyDescent="0.25">
      <c r="A1116">
        <v>1115</v>
      </c>
      <c r="B1116" t="s">
        <v>2068</v>
      </c>
      <c r="C1116" s="1">
        <v>46007</v>
      </c>
      <c r="D1116" t="s">
        <v>33</v>
      </c>
      <c r="E1116" t="s">
        <v>34</v>
      </c>
      <c r="F1116" t="s">
        <v>30</v>
      </c>
      <c r="G1116" t="s">
        <v>24</v>
      </c>
      <c r="H1116" s="2">
        <v>1</v>
      </c>
      <c r="I1116" t="s">
        <v>2069</v>
      </c>
      <c r="K1116">
        <v>11200000</v>
      </c>
      <c r="L1116">
        <v>0</v>
      </c>
      <c r="M1116">
        <v>0</v>
      </c>
      <c r="N1116">
        <v>1232000</v>
      </c>
      <c r="O1116">
        <v>0</v>
      </c>
      <c r="P1116">
        <v>0</v>
      </c>
      <c r="Q1116">
        <v>0</v>
      </c>
      <c r="R1116">
        <v>12432000</v>
      </c>
      <c r="S1116">
        <v>2400000</v>
      </c>
      <c r="T1116">
        <v>21.428571428571001</v>
      </c>
      <c r="U1116" t="str">
        <f t="shared" si="17"/>
        <v>Week 3</v>
      </c>
    </row>
    <row r="1117" spans="1:21" x14ac:dyDescent="0.25">
      <c r="A1117">
        <v>1116</v>
      </c>
      <c r="B1117" t="s">
        <v>2070</v>
      </c>
      <c r="C1117" s="1">
        <v>46007</v>
      </c>
      <c r="D1117" t="s">
        <v>21</v>
      </c>
      <c r="E1117" t="s">
        <v>22</v>
      </c>
      <c r="F1117" t="s">
        <v>30</v>
      </c>
      <c r="G1117" t="s">
        <v>24</v>
      </c>
      <c r="H1117" s="2">
        <v>1</v>
      </c>
      <c r="I1117" t="s">
        <v>2071</v>
      </c>
      <c r="J1117" t="s">
        <v>26</v>
      </c>
      <c r="K1117">
        <v>2770950</v>
      </c>
      <c r="L1117">
        <v>0</v>
      </c>
      <c r="M1117">
        <v>0</v>
      </c>
      <c r="N1117">
        <v>304804.5</v>
      </c>
      <c r="O1117">
        <v>0</v>
      </c>
      <c r="P1117">
        <v>0</v>
      </c>
      <c r="Q1117">
        <v>0</v>
      </c>
      <c r="R1117">
        <v>3075754.5</v>
      </c>
      <c r="S1117">
        <v>365950</v>
      </c>
      <c r="T1117">
        <v>13.206661975135001</v>
      </c>
      <c r="U1117" t="str">
        <f t="shared" si="17"/>
        <v>Week 3</v>
      </c>
    </row>
    <row r="1118" spans="1:21" x14ac:dyDescent="0.25">
      <c r="A1118">
        <v>1117</v>
      </c>
      <c r="B1118" t="s">
        <v>2072</v>
      </c>
      <c r="C1118" s="1">
        <v>46007</v>
      </c>
      <c r="D1118" t="s">
        <v>99</v>
      </c>
      <c r="E1118" t="s">
        <v>100</v>
      </c>
      <c r="F1118" t="s">
        <v>30</v>
      </c>
      <c r="G1118" t="s">
        <v>24</v>
      </c>
      <c r="H1118" s="2">
        <v>1</v>
      </c>
      <c r="I1118" t="s">
        <v>2073</v>
      </c>
      <c r="J1118" t="s">
        <v>26</v>
      </c>
      <c r="K1118">
        <v>1223898</v>
      </c>
      <c r="L1118">
        <v>0</v>
      </c>
      <c r="M1118">
        <v>0</v>
      </c>
      <c r="N1118">
        <v>134628.78</v>
      </c>
      <c r="O1118">
        <v>0</v>
      </c>
      <c r="P1118">
        <v>0</v>
      </c>
      <c r="Q1118">
        <v>0</v>
      </c>
      <c r="R1118">
        <v>1358526.78</v>
      </c>
      <c r="S1118">
        <v>73898</v>
      </c>
      <c r="T1118">
        <v>6.0379214607752996</v>
      </c>
      <c r="U1118" t="str">
        <f t="shared" si="17"/>
        <v>Week 3</v>
      </c>
    </row>
    <row r="1119" spans="1:21" x14ac:dyDescent="0.25">
      <c r="A1119">
        <v>1118</v>
      </c>
      <c r="B1119" t="s">
        <v>2074</v>
      </c>
      <c r="C1119" s="1">
        <v>46007</v>
      </c>
      <c r="D1119" t="s">
        <v>21</v>
      </c>
      <c r="E1119" t="s">
        <v>22</v>
      </c>
      <c r="F1119" t="s">
        <v>30</v>
      </c>
      <c r="G1119" t="s">
        <v>24</v>
      </c>
      <c r="H1119" s="2">
        <v>1</v>
      </c>
      <c r="I1119" t="s">
        <v>2075</v>
      </c>
      <c r="J1119" t="s">
        <v>26</v>
      </c>
      <c r="K1119">
        <v>9167104</v>
      </c>
      <c r="L1119">
        <v>0</v>
      </c>
      <c r="M1119">
        <v>0</v>
      </c>
      <c r="N1119">
        <v>1008381.4399999999</v>
      </c>
      <c r="O1119">
        <v>0</v>
      </c>
      <c r="P1119">
        <v>0</v>
      </c>
      <c r="Q1119">
        <v>0</v>
      </c>
      <c r="R1119">
        <v>10175485.439999999</v>
      </c>
      <c r="S1119">
        <v>641697.28000000003</v>
      </c>
      <c r="T1119">
        <v>7</v>
      </c>
      <c r="U1119" t="str">
        <f t="shared" si="17"/>
        <v>Week 3</v>
      </c>
    </row>
    <row r="1120" spans="1:21" x14ac:dyDescent="0.25">
      <c r="A1120">
        <v>1119</v>
      </c>
      <c r="B1120" t="s">
        <v>2076</v>
      </c>
      <c r="C1120" s="1">
        <v>46006</v>
      </c>
      <c r="D1120" t="s">
        <v>21</v>
      </c>
      <c r="E1120" t="s">
        <v>22</v>
      </c>
      <c r="F1120" t="s">
        <v>30</v>
      </c>
      <c r="G1120" t="s">
        <v>24</v>
      </c>
      <c r="H1120" s="2">
        <v>1</v>
      </c>
      <c r="I1120" t="s">
        <v>2077</v>
      </c>
      <c r="J1120" t="s">
        <v>26</v>
      </c>
      <c r="K1120">
        <v>10894562</v>
      </c>
      <c r="L1120">
        <v>0</v>
      </c>
      <c r="M1120">
        <v>0</v>
      </c>
      <c r="N1120">
        <v>1198401.82</v>
      </c>
      <c r="O1120">
        <v>0</v>
      </c>
      <c r="P1120">
        <v>0</v>
      </c>
      <c r="Q1120">
        <v>0</v>
      </c>
      <c r="R1120">
        <v>12092963.82</v>
      </c>
      <c r="S1120">
        <v>316062</v>
      </c>
      <c r="T1120">
        <v>2.9010987316424002</v>
      </c>
      <c r="U1120" t="str">
        <f t="shared" si="17"/>
        <v>Week 3</v>
      </c>
    </row>
    <row r="1121" spans="1:21" x14ac:dyDescent="0.25">
      <c r="C1121" s="1"/>
      <c r="H1121" s="2"/>
    </row>
    <row r="1122" spans="1:21" x14ac:dyDescent="0.25">
      <c r="A1122">
        <v>1121</v>
      </c>
      <c r="B1122" t="s">
        <v>2078</v>
      </c>
      <c r="C1122" s="1">
        <v>46006</v>
      </c>
      <c r="D1122" t="s">
        <v>33</v>
      </c>
      <c r="E1122" t="s">
        <v>1554</v>
      </c>
      <c r="F1122" t="s">
        <v>30</v>
      </c>
      <c r="G1122" t="s">
        <v>24</v>
      </c>
      <c r="H1122" s="2">
        <v>1</v>
      </c>
      <c r="I1122" t="s">
        <v>2079</v>
      </c>
      <c r="K1122">
        <v>2296875</v>
      </c>
      <c r="L1122">
        <v>0</v>
      </c>
      <c r="M1122">
        <v>0</v>
      </c>
      <c r="N1122">
        <v>252656.25</v>
      </c>
      <c r="O1122">
        <v>0</v>
      </c>
      <c r="P1122">
        <v>0</v>
      </c>
      <c r="Q1122">
        <v>0</v>
      </c>
      <c r="R1122">
        <v>2549531.25</v>
      </c>
      <c r="S1122">
        <v>421875</v>
      </c>
      <c r="T1122">
        <v>18.367346938775999</v>
      </c>
      <c r="U1122" t="str">
        <f t="shared" si="17"/>
        <v>Week 3</v>
      </c>
    </row>
    <row r="1123" spans="1:21" x14ac:dyDescent="0.25">
      <c r="A1123">
        <v>1122</v>
      </c>
      <c r="B1123" t="s">
        <v>2080</v>
      </c>
      <c r="C1123" s="1">
        <v>46006</v>
      </c>
      <c r="D1123" t="s">
        <v>33</v>
      </c>
      <c r="E1123" t="s">
        <v>1554</v>
      </c>
      <c r="F1123" t="s">
        <v>23</v>
      </c>
      <c r="G1123" t="s">
        <v>24</v>
      </c>
      <c r="H1123" s="2">
        <v>1</v>
      </c>
      <c r="I1123" t="s">
        <v>2081</v>
      </c>
      <c r="K1123">
        <v>26047500</v>
      </c>
      <c r="L1123">
        <v>0</v>
      </c>
      <c r="M1123">
        <v>0</v>
      </c>
      <c r="N1123">
        <v>2865225</v>
      </c>
      <c r="O1123">
        <v>0</v>
      </c>
      <c r="P1123">
        <v>0</v>
      </c>
      <c r="Q1123">
        <v>0</v>
      </c>
      <c r="R1123">
        <v>28912725</v>
      </c>
      <c r="S1123">
        <v>5545500</v>
      </c>
      <c r="T1123">
        <v>21.289951050965001</v>
      </c>
      <c r="U1123" t="str">
        <f t="shared" si="17"/>
        <v>Week 3</v>
      </c>
    </row>
    <row r="1124" spans="1:21" x14ac:dyDescent="0.25">
      <c r="A1124">
        <v>1123</v>
      </c>
      <c r="B1124" t="s">
        <v>2082</v>
      </c>
      <c r="C1124" s="1">
        <v>46006</v>
      </c>
      <c r="D1124" t="s">
        <v>312</v>
      </c>
      <c r="E1124" t="s">
        <v>1303</v>
      </c>
      <c r="F1124" t="s">
        <v>30</v>
      </c>
      <c r="G1124" t="s">
        <v>24</v>
      </c>
      <c r="H1124" s="2">
        <v>1</v>
      </c>
      <c r="I1124" t="s">
        <v>2083</v>
      </c>
      <c r="J1124" t="s">
        <v>26</v>
      </c>
      <c r="K1124">
        <v>6174000</v>
      </c>
      <c r="L1124">
        <v>0</v>
      </c>
      <c r="M1124">
        <v>0</v>
      </c>
      <c r="N1124">
        <v>679140</v>
      </c>
      <c r="O1124">
        <v>0</v>
      </c>
      <c r="P1124">
        <v>0</v>
      </c>
      <c r="Q1124">
        <v>0</v>
      </c>
      <c r="R1124">
        <v>6853140</v>
      </c>
      <c r="S1124">
        <v>1134000</v>
      </c>
      <c r="T1124">
        <v>18.367346938775999</v>
      </c>
      <c r="U1124" t="str">
        <f t="shared" si="17"/>
        <v>Week 3</v>
      </c>
    </row>
    <row r="1125" spans="1:21" x14ac:dyDescent="0.25">
      <c r="A1125">
        <v>1124</v>
      </c>
      <c r="B1125" t="s">
        <v>2084</v>
      </c>
      <c r="C1125" s="1">
        <v>46006</v>
      </c>
      <c r="D1125" t="s">
        <v>54</v>
      </c>
      <c r="E1125" t="s">
        <v>1554</v>
      </c>
      <c r="F1125" t="s">
        <v>30</v>
      </c>
      <c r="G1125" t="s">
        <v>24</v>
      </c>
      <c r="H1125" s="2">
        <v>1</v>
      </c>
      <c r="I1125" t="s">
        <v>2085</v>
      </c>
      <c r="J1125" t="s">
        <v>57</v>
      </c>
      <c r="K1125">
        <v>230320600</v>
      </c>
      <c r="L1125">
        <v>0</v>
      </c>
      <c r="M1125">
        <v>0</v>
      </c>
      <c r="N1125">
        <v>25335266</v>
      </c>
      <c r="O1125">
        <v>0</v>
      </c>
      <c r="P1125">
        <v>0</v>
      </c>
      <c r="Q1125">
        <v>0</v>
      </c>
      <c r="R1125">
        <v>255655866</v>
      </c>
      <c r="S1125">
        <v>86320600</v>
      </c>
      <c r="T1125">
        <v>37.478453946369001</v>
      </c>
      <c r="U1125" t="str">
        <f t="shared" si="17"/>
        <v>Week 3</v>
      </c>
    </row>
    <row r="1126" spans="1:21" x14ac:dyDescent="0.25">
      <c r="A1126">
        <v>1125</v>
      </c>
      <c r="B1126" t="s">
        <v>2086</v>
      </c>
      <c r="C1126" s="1">
        <v>46006</v>
      </c>
      <c r="D1126" t="s">
        <v>28</v>
      </c>
      <c r="E1126" t="s">
        <v>1547</v>
      </c>
      <c r="F1126" t="s">
        <v>30</v>
      </c>
      <c r="G1126" t="s">
        <v>24</v>
      </c>
      <c r="H1126" s="2">
        <v>1</v>
      </c>
      <c r="I1126" t="s">
        <v>2087</v>
      </c>
      <c r="J1126" t="s">
        <v>57</v>
      </c>
      <c r="K1126">
        <v>127942704</v>
      </c>
      <c r="L1126">
        <v>0</v>
      </c>
      <c r="M1126">
        <v>0</v>
      </c>
      <c r="N1126">
        <v>14073697.439999999</v>
      </c>
      <c r="O1126">
        <v>0</v>
      </c>
      <c r="P1126">
        <v>0</v>
      </c>
      <c r="Q1126">
        <v>0</v>
      </c>
      <c r="R1126">
        <v>142016401.44</v>
      </c>
      <c r="S1126">
        <v>3726504</v>
      </c>
      <c r="T1126">
        <v>2.91263501825</v>
      </c>
      <c r="U1126" t="str">
        <f t="shared" si="17"/>
        <v>Week 3</v>
      </c>
    </row>
    <row r="1127" spans="1:21" x14ac:dyDescent="0.25">
      <c r="A1127">
        <v>1126</v>
      </c>
      <c r="B1127" t="s">
        <v>2088</v>
      </c>
      <c r="C1127" s="1">
        <v>46006</v>
      </c>
      <c r="D1127" t="s">
        <v>54</v>
      </c>
      <c r="E1127" t="s">
        <v>1554</v>
      </c>
      <c r="F1127" t="s">
        <v>23</v>
      </c>
      <c r="G1127" t="s">
        <v>24</v>
      </c>
      <c r="H1127" s="2">
        <v>1</v>
      </c>
      <c r="I1127" t="s">
        <v>1772</v>
      </c>
      <c r="K1127">
        <v>31710000</v>
      </c>
      <c r="L1127">
        <v>0</v>
      </c>
      <c r="M1127">
        <v>0</v>
      </c>
      <c r="N1127">
        <v>3488100</v>
      </c>
      <c r="O1127">
        <v>0</v>
      </c>
      <c r="P1127">
        <v>0</v>
      </c>
      <c r="Q1127">
        <v>0</v>
      </c>
      <c r="R1127">
        <v>35198100</v>
      </c>
      <c r="S1127">
        <v>6340000</v>
      </c>
      <c r="T1127">
        <v>19.993692841375001</v>
      </c>
      <c r="U1127" t="str">
        <f t="shared" si="17"/>
        <v>Week 3</v>
      </c>
    </row>
    <row r="1128" spans="1:21" x14ac:dyDescent="0.25">
      <c r="A1128">
        <v>1127</v>
      </c>
      <c r="B1128" t="s">
        <v>2089</v>
      </c>
      <c r="C1128" s="1">
        <v>46006</v>
      </c>
      <c r="D1128" t="s">
        <v>33</v>
      </c>
      <c r="E1128" t="s">
        <v>34</v>
      </c>
      <c r="F1128" t="s">
        <v>23</v>
      </c>
      <c r="G1128" t="s">
        <v>24</v>
      </c>
      <c r="H1128" s="2">
        <v>1</v>
      </c>
      <c r="I1128" t="s">
        <v>2090</v>
      </c>
      <c r="K1128">
        <v>26250000</v>
      </c>
      <c r="L1128">
        <v>0</v>
      </c>
      <c r="M1128">
        <v>0</v>
      </c>
      <c r="N1128">
        <v>2887500</v>
      </c>
      <c r="O1128">
        <v>0</v>
      </c>
      <c r="P1128">
        <v>0</v>
      </c>
      <c r="Q1128">
        <v>0</v>
      </c>
      <c r="R1128">
        <v>29137500</v>
      </c>
      <c r="S1128">
        <v>5250000</v>
      </c>
      <c r="T1128">
        <v>20</v>
      </c>
      <c r="U1128" t="str">
        <f t="shared" si="17"/>
        <v>Week 3</v>
      </c>
    </row>
    <row r="1129" spans="1:21" x14ac:dyDescent="0.25">
      <c r="A1129">
        <v>1128</v>
      </c>
      <c r="B1129" t="s">
        <v>2091</v>
      </c>
      <c r="C1129" s="1">
        <v>46004</v>
      </c>
      <c r="D1129" t="s">
        <v>1925</v>
      </c>
      <c r="E1129" t="s">
        <v>1700</v>
      </c>
      <c r="F1129" t="s">
        <v>30</v>
      </c>
      <c r="G1129" t="s">
        <v>24</v>
      </c>
      <c r="H1129" s="2">
        <v>1</v>
      </c>
      <c r="I1129" t="s">
        <v>2092</v>
      </c>
      <c r="K1129">
        <v>2126126.1260000002</v>
      </c>
      <c r="L1129">
        <v>0</v>
      </c>
      <c r="M1129">
        <v>0</v>
      </c>
      <c r="N1129">
        <v>233873.87385999999</v>
      </c>
      <c r="O1129">
        <v>0</v>
      </c>
      <c r="P1129">
        <v>0</v>
      </c>
      <c r="Q1129">
        <v>0</v>
      </c>
      <c r="R1129">
        <v>2359999.9998599999</v>
      </c>
      <c r="S1129">
        <v>126126.126</v>
      </c>
      <c r="T1129">
        <v>5.9322033842502</v>
      </c>
      <c r="U1129" t="str">
        <f t="shared" si="17"/>
        <v>Week 2</v>
      </c>
    </row>
    <row r="1130" spans="1:21" x14ac:dyDescent="0.25">
      <c r="A1130">
        <v>1129</v>
      </c>
      <c r="B1130" t="s">
        <v>2093</v>
      </c>
      <c r="C1130" s="1">
        <v>46004</v>
      </c>
      <c r="D1130" t="s">
        <v>21</v>
      </c>
      <c r="E1130" t="s">
        <v>22</v>
      </c>
      <c r="F1130" t="s">
        <v>30</v>
      </c>
      <c r="G1130" t="s">
        <v>24</v>
      </c>
      <c r="H1130" s="2">
        <v>1</v>
      </c>
      <c r="I1130" t="s">
        <v>2094</v>
      </c>
      <c r="J1130" t="s">
        <v>26</v>
      </c>
      <c r="K1130">
        <v>13220115.720000001</v>
      </c>
      <c r="L1130">
        <v>0</v>
      </c>
      <c r="M1130">
        <v>0</v>
      </c>
      <c r="N1130">
        <v>1454212.7291999999</v>
      </c>
      <c r="O1130">
        <v>0</v>
      </c>
      <c r="P1130">
        <v>0</v>
      </c>
      <c r="Q1130">
        <v>0</v>
      </c>
      <c r="R1130">
        <v>14674328.449200001</v>
      </c>
      <c r="S1130">
        <v>6286203.8281081002</v>
      </c>
      <c r="T1130">
        <v>47.550293516704997</v>
      </c>
      <c r="U1130" t="str">
        <f t="shared" si="17"/>
        <v>Week 2</v>
      </c>
    </row>
    <row r="1131" spans="1:21" x14ac:dyDescent="0.25">
      <c r="A1131">
        <v>1130</v>
      </c>
      <c r="B1131" t="s">
        <v>2095</v>
      </c>
      <c r="C1131" s="1">
        <v>46004</v>
      </c>
      <c r="D1131" t="s">
        <v>54</v>
      </c>
      <c r="E1131" t="s">
        <v>1554</v>
      </c>
      <c r="F1131" t="s">
        <v>30</v>
      </c>
      <c r="G1131" t="s">
        <v>24</v>
      </c>
      <c r="H1131" s="2">
        <v>1</v>
      </c>
      <c r="I1131" t="s">
        <v>2096</v>
      </c>
      <c r="K1131">
        <v>44032500</v>
      </c>
      <c r="L1131">
        <v>0</v>
      </c>
      <c r="M1131">
        <v>0</v>
      </c>
      <c r="N1131">
        <v>4843575</v>
      </c>
      <c r="O1131">
        <v>0</v>
      </c>
      <c r="P1131">
        <v>0</v>
      </c>
      <c r="Q1131">
        <v>0</v>
      </c>
      <c r="R1131">
        <v>48876075</v>
      </c>
      <c r="S1131">
        <v>21532500</v>
      </c>
      <c r="T1131">
        <v>48.901379662749001</v>
      </c>
      <c r="U1131" t="str">
        <f t="shared" si="17"/>
        <v>Week 2</v>
      </c>
    </row>
    <row r="1132" spans="1:21" x14ac:dyDescent="0.25">
      <c r="A1132">
        <v>1131</v>
      </c>
      <c r="B1132" t="s">
        <v>2097</v>
      </c>
      <c r="C1132" s="1">
        <v>46004</v>
      </c>
      <c r="D1132" t="s">
        <v>1967</v>
      </c>
      <c r="E1132" t="s">
        <v>1700</v>
      </c>
      <c r="F1132" t="s">
        <v>30</v>
      </c>
      <c r="G1132" t="s">
        <v>24</v>
      </c>
      <c r="H1132" s="2">
        <v>1</v>
      </c>
      <c r="I1132" t="s">
        <v>2098</v>
      </c>
      <c r="J1132" t="s">
        <v>57</v>
      </c>
      <c r="K1132">
        <v>2612612.61</v>
      </c>
      <c r="L1132">
        <v>0</v>
      </c>
      <c r="M1132">
        <v>0</v>
      </c>
      <c r="N1132">
        <v>287387.38709999999</v>
      </c>
      <c r="O1132">
        <v>0</v>
      </c>
      <c r="P1132">
        <v>0</v>
      </c>
      <c r="Q1132">
        <v>0</v>
      </c>
      <c r="R1132">
        <v>2899999.9970999998</v>
      </c>
      <c r="S1132">
        <v>-237387.39</v>
      </c>
      <c r="T1132">
        <v>-9.0862070056379007</v>
      </c>
      <c r="U1132" t="str">
        <f t="shared" si="17"/>
        <v>Week 2</v>
      </c>
    </row>
    <row r="1133" spans="1:21" x14ac:dyDescent="0.25">
      <c r="A1133">
        <v>1132</v>
      </c>
      <c r="B1133" t="s">
        <v>2099</v>
      </c>
      <c r="C1133" s="1">
        <v>46004</v>
      </c>
      <c r="D1133" t="s">
        <v>312</v>
      </c>
      <c r="E1133" t="s">
        <v>1303</v>
      </c>
      <c r="F1133" t="s">
        <v>30</v>
      </c>
      <c r="G1133" t="s">
        <v>24</v>
      </c>
      <c r="H1133" s="2">
        <v>1</v>
      </c>
      <c r="I1133" t="s">
        <v>2100</v>
      </c>
      <c r="J1133" t="s">
        <v>57</v>
      </c>
      <c r="K1133">
        <v>192816000</v>
      </c>
      <c r="L1133">
        <v>0</v>
      </c>
      <c r="M1133">
        <v>0</v>
      </c>
      <c r="N1133">
        <v>21209760</v>
      </c>
      <c r="O1133">
        <v>0</v>
      </c>
      <c r="P1133">
        <v>0</v>
      </c>
      <c r="Q1133">
        <v>0</v>
      </c>
      <c r="R1133">
        <v>214025760</v>
      </c>
      <c r="S1133">
        <v>14976000</v>
      </c>
      <c r="T1133">
        <v>7.7669902912620996</v>
      </c>
      <c r="U1133" t="str">
        <f t="shared" si="17"/>
        <v>Week 2</v>
      </c>
    </row>
    <row r="1134" spans="1:21" x14ac:dyDescent="0.25">
      <c r="A1134">
        <v>1133</v>
      </c>
      <c r="B1134" t="s">
        <v>2101</v>
      </c>
      <c r="C1134" s="1">
        <v>46003</v>
      </c>
      <c r="D1134" t="s">
        <v>2102</v>
      </c>
      <c r="E1134" t="s">
        <v>1700</v>
      </c>
      <c r="F1134" t="s">
        <v>30</v>
      </c>
      <c r="G1134" t="s">
        <v>24</v>
      </c>
      <c r="H1134" s="2">
        <v>1</v>
      </c>
      <c r="I1134" t="s">
        <v>2103</v>
      </c>
      <c r="J1134" t="s">
        <v>26</v>
      </c>
      <c r="K1134">
        <v>74750000</v>
      </c>
      <c r="L1134">
        <v>0</v>
      </c>
      <c r="M1134">
        <v>0</v>
      </c>
      <c r="N1134">
        <v>8222500</v>
      </c>
      <c r="O1134">
        <v>0</v>
      </c>
      <c r="P1134">
        <v>0</v>
      </c>
      <c r="Q1134">
        <v>0</v>
      </c>
      <c r="R1134">
        <v>82972500</v>
      </c>
      <c r="S1134">
        <v>9434684.6846849993</v>
      </c>
      <c r="T1134">
        <v>12.621651752087001</v>
      </c>
      <c r="U1134" t="str">
        <f t="shared" si="17"/>
        <v>Week 2</v>
      </c>
    </row>
    <row r="1135" spans="1:21" x14ac:dyDescent="0.25">
      <c r="A1135">
        <v>1134</v>
      </c>
      <c r="B1135" t="s">
        <v>2104</v>
      </c>
      <c r="C1135" s="1">
        <v>46003</v>
      </c>
      <c r="D1135" t="s">
        <v>2102</v>
      </c>
      <c r="E1135" t="s">
        <v>1700</v>
      </c>
      <c r="F1135" t="s">
        <v>23</v>
      </c>
      <c r="G1135" t="s">
        <v>24</v>
      </c>
      <c r="H1135" s="2">
        <v>1</v>
      </c>
      <c r="I1135" t="s">
        <v>2103</v>
      </c>
      <c r="J1135" t="s">
        <v>26</v>
      </c>
      <c r="K1135">
        <v>37375000</v>
      </c>
      <c r="L1135">
        <v>0</v>
      </c>
      <c r="M1135">
        <v>0</v>
      </c>
      <c r="N1135">
        <v>4111250</v>
      </c>
      <c r="O1135">
        <v>0</v>
      </c>
      <c r="P1135">
        <v>0</v>
      </c>
      <c r="Q1135">
        <v>0</v>
      </c>
      <c r="R1135">
        <v>41486250</v>
      </c>
      <c r="S1135">
        <v>14176801.801802</v>
      </c>
      <c r="T1135">
        <v>37.931242279068002</v>
      </c>
      <c r="U1135" t="str">
        <f t="shared" si="17"/>
        <v>Week 2</v>
      </c>
    </row>
    <row r="1136" spans="1:21" x14ac:dyDescent="0.25">
      <c r="A1136">
        <v>1135</v>
      </c>
      <c r="B1136" t="s">
        <v>2105</v>
      </c>
      <c r="C1136" s="1">
        <v>46003</v>
      </c>
      <c r="D1136" t="s">
        <v>54</v>
      </c>
      <c r="E1136" t="s">
        <v>1554</v>
      </c>
      <c r="F1136" t="s">
        <v>30</v>
      </c>
      <c r="G1136" t="s">
        <v>24</v>
      </c>
      <c r="H1136" s="2">
        <v>1</v>
      </c>
      <c r="I1136" t="s">
        <v>2106</v>
      </c>
      <c r="K1136">
        <v>2052360</v>
      </c>
      <c r="L1136">
        <v>0</v>
      </c>
      <c r="M1136">
        <v>0</v>
      </c>
      <c r="N1136">
        <v>225759.6</v>
      </c>
      <c r="O1136">
        <v>0</v>
      </c>
      <c r="P1136">
        <v>0</v>
      </c>
      <c r="Q1136">
        <v>0</v>
      </c>
      <c r="R1136">
        <v>2278119.6</v>
      </c>
      <c r="S1136">
        <v>143631.72</v>
      </c>
      <c r="T1136">
        <v>6.9983687072444001</v>
      </c>
      <c r="U1136" t="str">
        <f t="shared" si="17"/>
        <v>Week 2</v>
      </c>
    </row>
    <row r="1137" spans="1:21" x14ac:dyDescent="0.25">
      <c r="A1137">
        <v>1136</v>
      </c>
      <c r="B1137" t="s">
        <v>2107</v>
      </c>
      <c r="C1137" s="1">
        <v>46003</v>
      </c>
      <c r="D1137" t="s">
        <v>99</v>
      </c>
      <c r="E1137" t="s">
        <v>100</v>
      </c>
      <c r="F1137" t="s">
        <v>30</v>
      </c>
      <c r="G1137" t="s">
        <v>24</v>
      </c>
      <c r="H1137" s="2">
        <v>1</v>
      </c>
      <c r="I1137" t="s">
        <v>2108</v>
      </c>
      <c r="J1137" t="s">
        <v>26</v>
      </c>
      <c r="K1137">
        <v>2472000</v>
      </c>
      <c r="L1137">
        <v>0</v>
      </c>
      <c r="M1137">
        <v>0</v>
      </c>
      <c r="N1137">
        <v>271920</v>
      </c>
      <c r="O1137">
        <v>0</v>
      </c>
      <c r="P1137">
        <v>0</v>
      </c>
      <c r="Q1137">
        <v>0</v>
      </c>
      <c r="R1137">
        <v>2743920</v>
      </c>
      <c r="S1137">
        <v>72000</v>
      </c>
      <c r="T1137">
        <v>2.9126213592233001</v>
      </c>
      <c r="U1137" t="str">
        <f t="shared" si="17"/>
        <v>Week 2</v>
      </c>
    </row>
    <row r="1138" spans="1:21" x14ac:dyDescent="0.25">
      <c r="A1138">
        <v>1137</v>
      </c>
      <c r="B1138" t="s">
        <v>2109</v>
      </c>
      <c r="C1138" s="1">
        <v>46003</v>
      </c>
      <c r="D1138" t="s">
        <v>99</v>
      </c>
      <c r="E1138" t="s">
        <v>100</v>
      </c>
      <c r="F1138" t="s">
        <v>30</v>
      </c>
      <c r="G1138" t="s">
        <v>24</v>
      </c>
      <c r="H1138" s="2">
        <v>1</v>
      </c>
      <c r="I1138" t="s">
        <v>2036</v>
      </c>
      <c r="K1138">
        <v>8672600</v>
      </c>
      <c r="L1138">
        <v>0</v>
      </c>
      <c r="M1138">
        <v>0</v>
      </c>
      <c r="N1138">
        <v>953986</v>
      </c>
      <c r="O1138">
        <v>0</v>
      </c>
      <c r="P1138">
        <v>0</v>
      </c>
      <c r="Q1138">
        <v>0</v>
      </c>
      <c r="R1138">
        <v>9626586</v>
      </c>
      <c r="S1138">
        <v>3602635</v>
      </c>
      <c r="T1138">
        <v>41.540426169775998</v>
      </c>
      <c r="U1138" t="str">
        <f t="shared" si="17"/>
        <v>Week 2</v>
      </c>
    </row>
    <row r="1139" spans="1:21" x14ac:dyDescent="0.25">
      <c r="A1139">
        <v>1138</v>
      </c>
      <c r="B1139" t="s">
        <v>2110</v>
      </c>
      <c r="C1139" s="1">
        <v>46003</v>
      </c>
      <c r="D1139" t="s">
        <v>33</v>
      </c>
      <c r="E1139" t="s">
        <v>1554</v>
      </c>
      <c r="F1139" t="s">
        <v>30</v>
      </c>
      <c r="G1139" t="s">
        <v>24</v>
      </c>
      <c r="H1139" s="2">
        <v>1</v>
      </c>
      <c r="I1139" t="s">
        <v>2111</v>
      </c>
      <c r="K1139">
        <v>24720000</v>
      </c>
      <c r="L1139">
        <v>0</v>
      </c>
      <c r="M1139">
        <v>0</v>
      </c>
      <c r="N1139">
        <v>2719200</v>
      </c>
      <c r="O1139">
        <v>0</v>
      </c>
      <c r="P1139">
        <v>0</v>
      </c>
      <c r="Q1139">
        <v>0</v>
      </c>
      <c r="R1139">
        <v>27439200</v>
      </c>
      <c r="S1139">
        <v>720000</v>
      </c>
      <c r="T1139">
        <v>2.9126213592233001</v>
      </c>
      <c r="U1139" t="str">
        <f t="shared" si="17"/>
        <v>Week 2</v>
      </c>
    </row>
    <row r="1140" spans="1:21" x14ac:dyDescent="0.25">
      <c r="A1140">
        <v>1139</v>
      </c>
      <c r="B1140" t="s">
        <v>2112</v>
      </c>
      <c r="C1140" s="1">
        <v>46003</v>
      </c>
      <c r="D1140" t="s">
        <v>21</v>
      </c>
      <c r="E1140" t="s">
        <v>22</v>
      </c>
      <c r="F1140" t="s">
        <v>30</v>
      </c>
      <c r="G1140" t="s">
        <v>24</v>
      </c>
      <c r="H1140" s="2">
        <v>1</v>
      </c>
      <c r="I1140" t="s">
        <v>2113</v>
      </c>
      <c r="J1140" t="s">
        <v>26</v>
      </c>
      <c r="K1140">
        <v>17294116.84</v>
      </c>
      <c r="L1140">
        <v>0</v>
      </c>
      <c r="M1140">
        <v>0</v>
      </c>
      <c r="N1140">
        <v>1902352.8524</v>
      </c>
      <c r="O1140">
        <v>0</v>
      </c>
      <c r="P1140">
        <v>0</v>
      </c>
      <c r="Q1140">
        <v>0</v>
      </c>
      <c r="R1140">
        <v>19196469.692400001</v>
      </c>
      <c r="S1140">
        <v>-205883.16</v>
      </c>
      <c r="T1140">
        <v>-1.1904809126986</v>
      </c>
      <c r="U1140" t="str">
        <f t="shared" si="17"/>
        <v>Week 2</v>
      </c>
    </row>
    <row r="1141" spans="1:21" x14ac:dyDescent="0.25">
      <c r="A1141">
        <v>1140</v>
      </c>
      <c r="B1141" t="s">
        <v>2114</v>
      </c>
      <c r="C1141" s="1">
        <v>46002</v>
      </c>
      <c r="D1141" t="s">
        <v>2115</v>
      </c>
      <c r="E1141" t="s">
        <v>1700</v>
      </c>
      <c r="F1141" t="s">
        <v>30</v>
      </c>
      <c r="G1141" t="s">
        <v>24</v>
      </c>
      <c r="H1141" s="2">
        <v>1</v>
      </c>
      <c r="I1141" t="s">
        <v>2116</v>
      </c>
      <c r="K1141">
        <v>14000000</v>
      </c>
      <c r="L1141">
        <v>0</v>
      </c>
      <c r="M1141">
        <v>0</v>
      </c>
      <c r="N1141">
        <v>1540000</v>
      </c>
      <c r="O1141">
        <v>0</v>
      </c>
      <c r="P1141">
        <v>0</v>
      </c>
      <c r="Q1141">
        <v>0</v>
      </c>
      <c r="R1141">
        <v>15540000</v>
      </c>
      <c r="S1141">
        <v>2560000</v>
      </c>
      <c r="T1141">
        <v>18.285714285714</v>
      </c>
      <c r="U1141" t="str">
        <f t="shared" si="17"/>
        <v>Week 2</v>
      </c>
    </row>
    <row r="1142" spans="1:21" x14ac:dyDescent="0.25">
      <c r="A1142">
        <v>1141</v>
      </c>
      <c r="B1142" t="s">
        <v>2117</v>
      </c>
      <c r="C1142" s="1">
        <v>46002</v>
      </c>
      <c r="D1142" t="s">
        <v>54</v>
      </c>
      <c r="E1142" t="s">
        <v>1554</v>
      </c>
      <c r="F1142" t="s">
        <v>30</v>
      </c>
      <c r="G1142" t="s">
        <v>24</v>
      </c>
      <c r="H1142" s="2">
        <v>1</v>
      </c>
      <c r="I1142" t="s">
        <v>2118</v>
      </c>
      <c r="K1142">
        <v>4650000</v>
      </c>
      <c r="L1142">
        <v>0</v>
      </c>
      <c r="M1142">
        <v>0</v>
      </c>
      <c r="N1142">
        <v>511500</v>
      </c>
      <c r="O1142">
        <v>0</v>
      </c>
      <c r="P1142">
        <v>0</v>
      </c>
      <c r="Q1142">
        <v>0</v>
      </c>
      <c r="R1142">
        <v>5161500</v>
      </c>
      <c r="S1142">
        <v>-350000</v>
      </c>
      <c r="T1142">
        <v>-7.5268817204301</v>
      </c>
      <c r="U1142" t="str">
        <f t="shared" si="17"/>
        <v>Week 2</v>
      </c>
    </row>
    <row r="1143" spans="1:21" x14ac:dyDescent="0.25">
      <c r="A1143">
        <v>1142</v>
      </c>
      <c r="B1143" t="s">
        <v>2119</v>
      </c>
      <c r="C1143" s="1">
        <v>46002</v>
      </c>
      <c r="D1143" t="s">
        <v>54</v>
      </c>
      <c r="E1143" t="s">
        <v>1554</v>
      </c>
      <c r="F1143" t="s">
        <v>30</v>
      </c>
      <c r="G1143" t="s">
        <v>24</v>
      </c>
      <c r="H1143" s="2">
        <v>1</v>
      </c>
      <c r="I1143" t="s">
        <v>2120</v>
      </c>
      <c r="J1143" t="s">
        <v>57</v>
      </c>
      <c r="K1143">
        <v>121247280</v>
      </c>
      <c r="L1143">
        <v>0</v>
      </c>
      <c r="M1143">
        <v>0</v>
      </c>
      <c r="N1143">
        <v>13337200.800000001</v>
      </c>
      <c r="O1143">
        <v>0</v>
      </c>
      <c r="P1143">
        <v>0</v>
      </c>
      <c r="Q1143">
        <v>0</v>
      </c>
      <c r="R1143">
        <v>134584480.80000001</v>
      </c>
      <c r="S1143">
        <v>10055280</v>
      </c>
      <c r="T1143">
        <v>8.2932004742703995</v>
      </c>
      <c r="U1143" t="str">
        <f t="shared" si="17"/>
        <v>Week 2</v>
      </c>
    </row>
    <row r="1144" spans="1:21" x14ac:dyDescent="0.25">
      <c r="A1144">
        <v>1143</v>
      </c>
      <c r="B1144" t="s">
        <v>2121</v>
      </c>
      <c r="C1144" s="1">
        <v>46002</v>
      </c>
      <c r="D1144" t="s">
        <v>54</v>
      </c>
      <c r="E1144" t="s">
        <v>1554</v>
      </c>
      <c r="F1144" t="s">
        <v>30</v>
      </c>
      <c r="G1144" t="s">
        <v>24</v>
      </c>
      <c r="H1144" s="2">
        <v>1</v>
      </c>
      <c r="I1144" t="s">
        <v>2122</v>
      </c>
      <c r="K1144">
        <v>15070294</v>
      </c>
      <c r="L1144">
        <v>0</v>
      </c>
      <c r="M1144">
        <v>0</v>
      </c>
      <c r="N1144">
        <v>1657732.34</v>
      </c>
      <c r="O1144">
        <v>0</v>
      </c>
      <c r="P1144">
        <v>0</v>
      </c>
      <c r="Q1144">
        <v>0</v>
      </c>
      <c r="R1144">
        <v>16728026.34</v>
      </c>
      <c r="S1144">
        <v>3019798.5045045</v>
      </c>
      <c r="T1144">
        <v>20.038086214539</v>
      </c>
      <c r="U1144" t="str">
        <f t="shared" si="17"/>
        <v>Week 2</v>
      </c>
    </row>
    <row r="1145" spans="1:21" x14ac:dyDescent="0.25">
      <c r="A1145">
        <v>1144</v>
      </c>
      <c r="B1145" t="s">
        <v>2123</v>
      </c>
      <c r="C1145" s="1">
        <v>46002</v>
      </c>
      <c r="D1145" t="s">
        <v>54</v>
      </c>
      <c r="E1145" t="s">
        <v>1554</v>
      </c>
      <c r="F1145" t="s">
        <v>30</v>
      </c>
      <c r="G1145" t="s">
        <v>24</v>
      </c>
      <c r="H1145" s="2">
        <v>1</v>
      </c>
      <c r="I1145" t="s">
        <v>2124</v>
      </c>
      <c r="K1145">
        <v>1886500</v>
      </c>
      <c r="L1145">
        <v>0</v>
      </c>
      <c r="M1145">
        <v>0</v>
      </c>
      <c r="N1145">
        <v>207515</v>
      </c>
      <c r="O1145">
        <v>0</v>
      </c>
      <c r="P1145">
        <v>0</v>
      </c>
      <c r="Q1145">
        <v>0</v>
      </c>
      <c r="R1145">
        <v>2094015</v>
      </c>
      <c r="S1145">
        <v>411770.27027024998</v>
      </c>
      <c r="T1145">
        <v>21.827207541492001</v>
      </c>
      <c r="U1145" t="str">
        <f t="shared" si="17"/>
        <v>Week 2</v>
      </c>
    </row>
    <row r="1146" spans="1:21" x14ac:dyDescent="0.25">
      <c r="C1146" s="1"/>
      <c r="H1146" s="2"/>
    </row>
    <row r="1147" spans="1:21" x14ac:dyDescent="0.25">
      <c r="A1147">
        <v>1146</v>
      </c>
      <c r="B1147" t="s">
        <v>2125</v>
      </c>
      <c r="C1147" s="1">
        <v>46002</v>
      </c>
      <c r="D1147" t="s">
        <v>252</v>
      </c>
      <c r="E1147" t="s">
        <v>100</v>
      </c>
      <c r="F1147" t="s">
        <v>30</v>
      </c>
      <c r="G1147" t="s">
        <v>24</v>
      </c>
      <c r="H1147" s="2">
        <v>1</v>
      </c>
      <c r="I1147" t="s">
        <v>2126</v>
      </c>
      <c r="J1147" t="s">
        <v>26</v>
      </c>
      <c r="K1147">
        <v>382200</v>
      </c>
      <c r="L1147">
        <v>0</v>
      </c>
      <c r="M1147">
        <v>0</v>
      </c>
      <c r="N1147">
        <v>42042</v>
      </c>
      <c r="O1147">
        <v>0</v>
      </c>
      <c r="P1147">
        <v>0</v>
      </c>
      <c r="Q1147">
        <v>0</v>
      </c>
      <c r="R1147">
        <v>424242</v>
      </c>
      <c r="S1147">
        <v>8818.7999999999993</v>
      </c>
      <c r="T1147">
        <v>2.3073783359497999</v>
      </c>
      <c r="U1147" t="str">
        <f t="shared" si="17"/>
        <v>Week 2</v>
      </c>
    </row>
    <row r="1148" spans="1:21" x14ac:dyDescent="0.25">
      <c r="A1148">
        <v>1147</v>
      </c>
      <c r="B1148" t="s">
        <v>2127</v>
      </c>
      <c r="C1148" s="1">
        <v>46002</v>
      </c>
      <c r="D1148" t="s">
        <v>520</v>
      </c>
      <c r="E1148" t="s">
        <v>1554</v>
      </c>
      <c r="F1148" t="s">
        <v>30</v>
      </c>
      <c r="G1148" t="s">
        <v>24</v>
      </c>
      <c r="H1148" s="2">
        <v>1</v>
      </c>
      <c r="I1148" t="s">
        <v>2128</v>
      </c>
      <c r="J1148" t="s">
        <v>57</v>
      </c>
      <c r="K1148">
        <v>160165721</v>
      </c>
      <c r="L1148">
        <v>0</v>
      </c>
      <c r="M1148">
        <v>0</v>
      </c>
      <c r="N1148">
        <v>17618229.309999999</v>
      </c>
      <c r="O1148">
        <v>0</v>
      </c>
      <c r="P1148">
        <v>0</v>
      </c>
      <c r="Q1148">
        <v>0</v>
      </c>
      <c r="R1148">
        <v>177783950.31</v>
      </c>
      <c r="S1148">
        <v>24051690</v>
      </c>
      <c r="T1148">
        <v>15.016752554687001</v>
      </c>
      <c r="U1148" t="str">
        <f t="shared" si="17"/>
        <v>Week 2</v>
      </c>
    </row>
    <row r="1149" spans="1:21" x14ac:dyDescent="0.25">
      <c r="A1149">
        <v>1148</v>
      </c>
      <c r="B1149" t="s">
        <v>2129</v>
      </c>
      <c r="C1149" s="1">
        <v>46002</v>
      </c>
      <c r="D1149" t="s">
        <v>28</v>
      </c>
      <c r="E1149" t="s">
        <v>1547</v>
      </c>
      <c r="F1149" t="s">
        <v>30</v>
      </c>
      <c r="G1149" t="s">
        <v>24</v>
      </c>
      <c r="H1149" s="2">
        <v>1</v>
      </c>
      <c r="I1149" t="s">
        <v>2130</v>
      </c>
      <c r="J1149" t="s">
        <v>57</v>
      </c>
      <c r="K1149">
        <v>110423424</v>
      </c>
      <c r="L1149">
        <v>0</v>
      </c>
      <c r="M1149">
        <v>0</v>
      </c>
      <c r="N1149">
        <v>12146576.640000001</v>
      </c>
      <c r="O1149">
        <v>0</v>
      </c>
      <c r="P1149">
        <v>0</v>
      </c>
      <c r="Q1149">
        <v>0</v>
      </c>
      <c r="R1149">
        <v>122570000.64</v>
      </c>
      <c r="S1149">
        <v>3216216.8</v>
      </c>
      <c r="T1149">
        <v>2.9126218726925002</v>
      </c>
      <c r="U1149" t="str">
        <f t="shared" si="17"/>
        <v>Week 2</v>
      </c>
    </row>
    <row r="1150" spans="1:21" x14ac:dyDescent="0.25">
      <c r="A1150">
        <v>1149</v>
      </c>
      <c r="B1150" t="s">
        <v>2131</v>
      </c>
      <c r="C1150" s="1">
        <v>46001</v>
      </c>
      <c r="D1150" t="s">
        <v>21</v>
      </c>
      <c r="E1150" t="s">
        <v>22</v>
      </c>
      <c r="F1150" t="s">
        <v>30</v>
      </c>
      <c r="G1150" t="s">
        <v>24</v>
      </c>
      <c r="H1150" s="2">
        <v>1</v>
      </c>
      <c r="I1150" t="s">
        <v>2132</v>
      </c>
      <c r="J1150" t="s">
        <v>26</v>
      </c>
      <c r="K1150">
        <v>85750</v>
      </c>
      <c r="L1150">
        <v>0</v>
      </c>
      <c r="M1150">
        <v>0</v>
      </c>
      <c r="N1150">
        <v>9432.5</v>
      </c>
      <c r="O1150">
        <v>0</v>
      </c>
      <c r="P1150">
        <v>0</v>
      </c>
      <c r="Q1150">
        <v>0</v>
      </c>
      <c r="R1150">
        <v>95182.5</v>
      </c>
      <c r="S1150">
        <v>1724.72</v>
      </c>
      <c r="T1150">
        <v>2.0113352769679</v>
      </c>
      <c r="U1150" t="str">
        <f t="shared" si="17"/>
        <v>Week 2</v>
      </c>
    </row>
    <row r="1151" spans="1:21" x14ac:dyDescent="0.25">
      <c r="A1151">
        <v>1150</v>
      </c>
      <c r="B1151" t="s">
        <v>2133</v>
      </c>
      <c r="C1151" s="1">
        <v>46001</v>
      </c>
      <c r="D1151" t="s">
        <v>99</v>
      </c>
      <c r="E1151" t="s">
        <v>100</v>
      </c>
      <c r="F1151" t="s">
        <v>30</v>
      </c>
      <c r="G1151" t="s">
        <v>24</v>
      </c>
      <c r="H1151" s="2">
        <v>1</v>
      </c>
      <c r="I1151" t="s">
        <v>2073</v>
      </c>
      <c r="J1151" t="s">
        <v>26</v>
      </c>
      <c r="K1151">
        <v>25176000</v>
      </c>
      <c r="L1151">
        <v>0</v>
      </c>
      <c r="M1151">
        <v>0</v>
      </c>
      <c r="N1151">
        <v>2769360</v>
      </c>
      <c r="O1151">
        <v>0</v>
      </c>
      <c r="P1151">
        <v>0</v>
      </c>
      <c r="Q1151">
        <v>0</v>
      </c>
      <c r="R1151">
        <v>27945360</v>
      </c>
      <c r="S1151">
        <v>2076000</v>
      </c>
      <c r="T1151">
        <v>8.2459485224022995</v>
      </c>
      <c r="U1151" t="str">
        <f t="shared" si="17"/>
        <v>Week 2</v>
      </c>
    </row>
    <row r="1152" spans="1:21" x14ac:dyDescent="0.25">
      <c r="A1152">
        <v>1151</v>
      </c>
      <c r="B1152" t="s">
        <v>2134</v>
      </c>
      <c r="C1152" s="1">
        <v>46001</v>
      </c>
      <c r="D1152" t="s">
        <v>21</v>
      </c>
      <c r="E1152" t="s">
        <v>22</v>
      </c>
      <c r="F1152" t="s">
        <v>30</v>
      </c>
      <c r="G1152" t="s">
        <v>24</v>
      </c>
      <c r="H1152" s="2">
        <v>1</v>
      </c>
      <c r="I1152" t="s">
        <v>2135</v>
      </c>
      <c r="J1152" t="s">
        <v>26</v>
      </c>
      <c r="K1152">
        <v>377300</v>
      </c>
      <c r="L1152">
        <v>0</v>
      </c>
      <c r="M1152">
        <v>0</v>
      </c>
      <c r="N1152">
        <v>41503</v>
      </c>
      <c r="O1152">
        <v>0</v>
      </c>
      <c r="P1152">
        <v>0</v>
      </c>
      <c r="Q1152">
        <v>0</v>
      </c>
      <c r="R1152">
        <v>418803</v>
      </c>
      <c r="S1152">
        <v>11319</v>
      </c>
      <c r="T1152">
        <v>3</v>
      </c>
      <c r="U1152" t="str">
        <f t="shared" si="17"/>
        <v>Week 2</v>
      </c>
    </row>
    <row r="1153" spans="1:21" x14ac:dyDescent="0.25">
      <c r="A1153">
        <v>1152</v>
      </c>
      <c r="B1153" t="s">
        <v>2136</v>
      </c>
      <c r="C1153" s="1">
        <v>46001</v>
      </c>
      <c r="D1153" t="s">
        <v>2137</v>
      </c>
      <c r="E1153" t="s">
        <v>1510</v>
      </c>
      <c r="F1153" t="s">
        <v>30</v>
      </c>
      <c r="G1153" t="s">
        <v>24</v>
      </c>
      <c r="H1153" s="2">
        <v>1</v>
      </c>
      <c r="I1153" t="s">
        <v>2138</v>
      </c>
      <c r="K1153">
        <v>1320000</v>
      </c>
      <c r="L1153">
        <v>0</v>
      </c>
      <c r="M1153">
        <v>0</v>
      </c>
      <c r="N1153">
        <v>145200</v>
      </c>
      <c r="O1153">
        <v>0</v>
      </c>
      <c r="P1153">
        <v>0</v>
      </c>
      <c r="Q1153">
        <v>0</v>
      </c>
      <c r="R1153">
        <v>1465200</v>
      </c>
      <c r="S1153">
        <v>264000</v>
      </c>
      <c r="T1153">
        <v>20</v>
      </c>
      <c r="U1153" t="str">
        <f t="shared" si="17"/>
        <v>Week 2</v>
      </c>
    </row>
    <row r="1154" spans="1:21" x14ac:dyDescent="0.25">
      <c r="A1154">
        <v>1153</v>
      </c>
      <c r="B1154" t="s">
        <v>2139</v>
      </c>
      <c r="C1154" s="1">
        <v>46001</v>
      </c>
      <c r="D1154" t="s">
        <v>99</v>
      </c>
      <c r="E1154" t="s">
        <v>100</v>
      </c>
      <c r="F1154" t="s">
        <v>30</v>
      </c>
      <c r="G1154" t="s">
        <v>24</v>
      </c>
      <c r="H1154" s="2">
        <v>1</v>
      </c>
      <c r="I1154" t="s">
        <v>2140</v>
      </c>
      <c r="K1154">
        <v>515000</v>
      </c>
      <c r="L1154">
        <v>0</v>
      </c>
      <c r="M1154">
        <v>0</v>
      </c>
      <c r="N1154">
        <v>56650</v>
      </c>
      <c r="O1154">
        <v>0</v>
      </c>
      <c r="P1154">
        <v>0</v>
      </c>
      <c r="Q1154">
        <v>0</v>
      </c>
      <c r="R1154">
        <v>571650</v>
      </c>
      <c r="S1154">
        <v>-7830</v>
      </c>
      <c r="T1154">
        <v>-1.5203883495146</v>
      </c>
      <c r="U1154" t="str">
        <f t="shared" si="17"/>
        <v>Week 2</v>
      </c>
    </row>
    <row r="1155" spans="1:21" x14ac:dyDescent="0.25">
      <c r="A1155">
        <v>1154</v>
      </c>
      <c r="B1155" t="s">
        <v>2141</v>
      </c>
      <c r="C1155" s="1">
        <v>46001</v>
      </c>
      <c r="D1155" t="s">
        <v>99</v>
      </c>
      <c r="E1155" t="s">
        <v>100</v>
      </c>
      <c r="F1155" t="s">
        <v>30</v>
      </c>
      <c r="G1155" t="s">
        <v>24</v>
      </c>
      <c r="H1155" s="2">
        <v>1</v>
      </c>
      <c r="I1155" t="s">
        <v>2142</v>
      </c>
      <c r="K1155">
        <v>45738560</v>
      </c>
      <c r="L1155">
        <v>0</v>
      </c>
      <c r="M1155">
        <v>0</v>
      </c>
      <c r="N1155">
        <v>5031241.5999999996</v>
      </c>
      <c r="O1155">
        <v>0</v>
      </c>
      <c r="P1155">
        <v>0</v>
      </c>
      <c r="Q1155">
        <v>0</v>
      </c>
      <c r="R1155">
        <v>50769801.600000001</v>
      </c>
      <c r="S1155">
        <v>27180001.440000001</v>
      </c>
      <c r="T1155">
        <v>59.424698635025003</v>
      </c>
      <c r="U1155" t="str">
        <f t="shared" ref="U1155:U1173" si="18">"Week " &amp;IF(DAY(C1155)&gt;=24,4,INT((DAY(C1155)-1)/7)+1)</f>
        <v>Week 2</v>
      </c>
    </row>
    <row r="1156" spans="1:21" x14ac:dyDescent="0.25">
      <c r="A1156">
        <v>1155</v>
      </c>
      <c r="B1156" t="s">
        <v>2143</v>
      </c>
      <c r="C1156" s="1">
        <v>46001</v>
      </c>
      <c r="D1156" t="s">
        <v>99</v>
      </c>
      <c r="E1156" t="s">
        <v>100</v>
      </c>
      <c r="F1156" t="s">
        <v>30</v>
      </c>
      <c r="G1156" t="s">
        <v>24</v>
      </c>
      <c r="H1156" s="2">
        <v>1</v>
      </c>
      <c r="I1156" t="s">
        <v>2144</v>
      </c>
      <c r="J1156" t="s">
        <v>26</v>
      </c>
      <c r="K1156">
        <v>3708000</v>
      </c>
      <c r="L1156">
        <v>0</v>
      </c>
      <c r="M1156">
        <v>0</v>
      </c>
      <c r="N1156">
        <v>407880</v>
      </c>
      <c r="O1156">
        <v>0</v>
      </c>
      <c r="P1156">
        <v>0</v>
      </c>
      <c r="Q1156">
        <v>0</v>
      </c>
      <c r="R1156">
        <v>4115880</v>
      </c>
      <c r="S1156">
        <v>-12000</v>
      </c>
      <c r="T1156">
        <v>-0.32362459546925998</v>
      </c>
      <c r="U1156" t="str">
        <f t="shared" si="18"/>
        <v>Week 2</v>
      </c>
    </row>
    <row r="1157" spans="1:21" x14ac:dyDescent="0.25">
      <c r="A1157">
        <v>1156</v>
      </c>
      <c r="B1157" t="s">
        <v>2145</v>
      </c>
      <c r="C1157" s="1">
        <v>46001</v>
      </c>
      <c r="D1157" t="s">
        <v>99</v>
      </c>
      <c r="E1157" t="s">
        <v>100</v>
      </c>
      <c r="F1157" t="s">
        <v>30</v>
      </c>
      <c r="G1157" t="s">
        <v>24</v>
      </c>
      <c r="H1157" s="2">
        <v>1</v>
      </c>
      <c r="I1157" t="s">
        <v>2146</v>
      </c>
      <c r="J1157" t="s">
        <v>26</v>
      </c>
      <c r="K1157">
        <v>32932000</v>
      </c>
      <c r="L1157">
        <v>0</v>
      </c>
      <c r="M1157">
        <v>0</v>
      </c>
      <c r="N1157">
        <v>3622520</v>
      </c>
      <c r="O1157">
        <v>0</v>
      </c>
      <c r="P1157">
        <v>0</v>
      </c>
      <c r="Q1157">
        <v>0</v>
      </c>
      <c r="R1157">
        <v>36554520</v>
      </c>
      <c r="S1157">
        <v>9344134.7200000007</v>
      </c>
      <c r="T1157">
        <v>28.374027450503998</v>
      </c>
      <c r="U1157" t="str">
        <f t="shared" si="18"/>
        <v>Week 2</v>
      </c>
    </row>
    <row r="1158" spans="1:21" x14ac:dyDescent="0.25">
      <c r="A1158">
        <v>1157</v>
      </c>
      <c r="B1158" t="s">
        <v>2147</v>
      </c>
      <c r="C1158" s="1">
        <v>46001</v>
      </c>
      <c r="D1158" t="s">
        <v>21</v>
      </c>
      <c r="E1158" t="s">
        <v>22</v>
      </c>
      <c r="F1158" t="s">
        <v>30</v>
      </c>
      <c r="G1158" t="s">
        <v>24</v>
      </c>
      <c r="H1158" s="2">
        <v>1</v>
      </c>
      <c r="I1158" t="s">
        <v>2148</v>
      </c>
      <c r="J1158" t="s">
        <v>26</v>
      </c>
      <c r="K1158">
        <v>159250</v>
      </c>
      <c r="L1158">
        <v>0</v>
      </c>
      <c r="M1158">
        <v>0</v>
      </c>
      <c r="N1158">
        <v>17517.5</v>
      </c>
      <c r="O1158">
        <v>0</v>
      </c>
      <c r="P1158">
        <v>0</v>
      </c>
      <c r="Q1158">
        <v>0</v>
      </c>
      <c r="R1158">
        <v>176767.5</v>
      </c>
      <c r="S1158">
        <v>29250</v>
      </c>
      <c r="T1158">
        <v>18.367346938775999</v>
      </c>
      <c r="U1158" t="str">
        <f t="shared" si="18"/>
        <v>Week 2</v>
      </c>
    </row>
    <row r="1159" spans="1:21" x14ac:dyDescent="0.25">
      <c r="A1159">
        <v>1158</v>
      </c>
      <c r="B1159" t="s">
        <v>2149</v>
      </c>
      <c r="C1159" s="1">
        <v>46001</v>
      </c>
      <c r="D1159" t="s">
        <v>312</v>
      </c>
      <c r="E1159" t="s">
        <v>1303</v>
      </c>
      <c r="F1159" t="s">
        <v>30</v>
      </c>
      <c r="G1159" t="s">
        <v>24</v>
      </c>
      <c r="H1159" s="2">
        <v>1</v>
      </c>
      <c r="I1159" t="s">
        <v>2150</v>
      </c>
      <c r="J1159" t="s">
        <v>26</v>
      </c>
      <c r="K1159">
        <v>19773940</v>
      </c>
      <c r="L1159">
        <v>0</v>
      </c>
      <c r="M1159">
        <v>0</v>
      </c>
      <c r="N1159">
        <v>2175133.4</v>
      </c>
      <c r="O1159">
        <v>0</v>
      </c>
      <c r="P1159">
        <v>0</v>
      </c>
      <c r="Q1159">
        <v>0</v>
      </c>
      <c r="R1159">
        <v>21949073.399999999</v>
      </c>
      <c r="S1159">
        <v>9806748.8399999999</v>
      </c>
      <c r="T1159">
        <v>49.594308670906997</v>
      </c>
      <c r="U1159" t="str">
        <f t="shared" si="18"/>
        <v>Week 2</v>
      </c>
    </row>
    <row r="1160" spans="1:21" x14ac:dyDescent="0.25">
      <c r="A1160">
        <v>1159</v>
      </c>
      <c r="B1160" t="s">
        <v>2151</v>
      </c>
      <c r="C1160" s="1">
        <v>46001</v>
      </c>
      <c r="D1160" t="s">
        <v>21</v>
      </c>
      <c r="E1160" t="s">
        <v>22</v>
      </c>
      <c r="F1160" t="s">
        <v>30</v>
      </c>
      <c r="G1160" t="s">
        <v>24</v>
      </c>
      <c r="H1160" s="2">
        <v>1</v>
      </c>
      <c r="I1160" t="s">
        <v>2152</v>
      </c>
      <c r="J1160" t="s">
        <v>26</v>
      </c>
      <c r="K1160">
        <v>971302.5</v>
      </c>
      <c r="L1160">
        <v>0</v>
      </c>
      <c r="M1160">
        <v>0</v>
      </c>
      <c r="N1160">
        <v>106843.27499999999</v>
      </c>
      <c r="O1160">
        <v>0</v>
      </c>
      <c r="P1160">
        <v>0</v>
      </c>
      <c r="Q1160">
        <v>0</v>
      </c>
      <c r="R1160">
        <v>1078145.7749999999</v>
      </c>
      <c r="S1160">
        <v>124951.14865</v>
      </c>
      <c r="T1160">
        <v>12.864287763081</v>
      </c>
      <c r="U1160" t="str">
        <f t="shared" si="18"/>
        <v>Week 2</v>
      </c>
    </row>
    <row r="1161" spans="1:21" x14ac:dyDescent="0.25">
      <c r="A1161">
        <v>1160</v>
      </c>
      <c r="B1161" t="s">
        <v>2153</v>
      </c>
      <c r="C1161" s="1">
        <v>46000</v>
      </c>
      <c r="D1161" t="s">
        <v>2137</v>
      </c>
      <c r="E1161" t="s">
        <v>1510</v>
      </c>
      <c r="F1161" t="s">
        <v>30</v>
      </c>
      <c r="G1161" t="s">
        <v>24</v>
      </c>
      <c r="H1161" s="2">
        <v>1</v>
      </c>
      <c r="I1161" t="s">
        <v>2138</v>
      </c>
      <c r="K1161">
        <v>8800000</v>
      </c>
      <c r="L1161">
        <v>0</v>
      </c>
      <c r="M1161">
        <v>0</v>
      </c>
      <c r="N1161">
        <v>968000</v>
      </c>
      <c r="O1161">
        <v>0</v>
      </c>
      <c r="P1161">
        <v>0</v>
      </c>
      <c r="Q1161">
        <v>0</v>
      </c>
      <c r="R1161">
        <v>9768000</v>
      </c>
      <c r="S1161">
        <v>2673873.8738738</v>
      </c>
      <c r="T1161">
        <v>30.384930384930001</v>
      </c>
      <c r="U1161" t="str">
        <f t="shared" si="18"/>
        <v>Week 2</v>
      </c>
    </row>
    <row r="1162" spans="1:21" x14ac:dyDescent="0.25">
      <c r="C1162" s="1"/>
      <c r="H1162" s="2"/>
    </row>
    <row r="1163" spans="1:21" x14ac:dyDescent="0.25">
      <c r="A1163">
        <v>1162</v>
      </c>
      <c r="B1163" t="s">
        <v>2154</v>
      </c>
      <c r="C1163" s="1">
        <v>46000</v>
      </c>
      <c r="D1163" t="s">
        <v>312</v>
      </c>
      <c r="E1163" t="s">
        <v>22</v>
      </c>
      <c r="F1163" t="s">
        <v>39</v>
      </c>
      <c r="G1163" t="s">
        <v>24</v>
      </c>
      <c r="H1163" s="2">
        <v>1</v>
      </c>
      <c r="I1163" t="s">
        <v>2155</v>
      </c>
      <c r="J1163" t="s">
        <v>57</v>
      </c>
      <c r="K1163">
        <v>223304000</v>
      </c>
      <c r="L1163">
        <v>0</v>
      </c>
      <c r="M1163">
        <v>0</v>
      </c>
      <c r="N1163">
        <v>24563440</v>
      </c>
      <c r="O1163">
        <v>0</v>
      </c>
      <c r="P1163">
        <v>0</v>
      </c>
      <c r="Q1163">
        <v>0</v>
      </c>
      <c r="R1163">
        <v>247867440</v>
      </c>
      <c r="S1163">
        <v>17344000</v>
      </c>
      <c r="T1163">
        <v>7.7669902912620996</v>
      </c>
      <c r="U1163" t="str">
        <f t="shared" si="18"/>
        <v>Week 2</v>
      </c>
    </row>
    <row r="1164" spans="1:21" x14ac:dyDescent="0.25">
      <c r="A1164">
        <v>1163</v>
      </c>
      <c r="B1164" t="s">
        <v>2156</v>
      </c>
      <c r="C1164" s="1">
        <v>46000</v>
      </c>
      <c r="D1164" t="s">
        <v>21</v>
      </c>
      <c r="E1164" t="s">
        <v>22</v>
      </c>
      <c r="F1164" t="s">
        <v>30</v>
      </c>
      <c r="G1164" t="s">
        <v>24</v>
      </c>
      <c r="H1164" s="2">
        <v>1</v>
      </c>
      <c r="I1164" t="s">
        <v>2157</v>
      </c>
      <c r="J1164" t="s">
        <v>26</v>
      </c>
      <c r="K1164">
        <v>1370040</v>
      </c>
      <c r="L1164">
        <v>0</v>
      </c>
      <c r="M1164">
        <v>0</v>
      </c>
      <c r="N1164">
        <v>150704.4</v>
      </c>
      <c r="O1164">
        <v>0</v>
      </c>
      <c r="P1164">
        <v>0</v>
      </c>
      <c r="Q1164">
        <v>0</v>
      </c>
      <c r="R1164">
        <v>1520744.4</v>
      </c>
      <c r="S1164">
        <v>604271.36936937005</v>
      </c>
      <c r="T1164">
        <v>44.106111454363997</v>
      </c>
      <c r="U1164" t="str">
        <f t="shared" si="18"/>
        <v>Week 2</v>
      </c>
    </row>
    <row r="1165" spans="1:21" x14ac:dyDescent="0.25">
      <c r="A1165">
        <v>1164</v>
      </c>
      <c r="B1165" t="s">
        <v>2158</v>
      </c>
      <c r="C1165" s="1">
        <v>46000</v>
      </c>
      <c r="D1165" t="s">
        <v>1582</v>
      </c>
      <c r="E1165" t="s">
        <v>117</v>
      </c>
      <c r="F1165" t="s">
        <v>30</v>
      </c>
      <c r="G1165" t="s">
        <v>24</v>
      </c>
      <c r="H1165" s="2">
        <v>1</v>
      </c>
      <c r="I1165" t="s">
        <v>2159</v>
      </c>
      <c r="K1165">
        <v>27114312.5</v>
      </c>
      <c r="L1165">
        <v>0</v>
      </c>
      <c r="M1165">
        <v>0</v>
      </c>
      <c r="N1165">
        <v>2982574.375</v>
      </c>
      <c r="O1165">
        <v>0</v>
      </c>
      <c r="P1165">
        <v>0</v>
      </c>
      <c r="Q1165">
        <v>0</v>
      </c>
      <c r="R1165">
        <v>30096886.875</v>
      </c>
      <c r="S1165">
        <v>789750.5</v>
      </c>
      <c r="T1165">
        <v>2.9126701995487001</v>
      </c>
      <c r="U1165" t="str">
        <f t="shared" si="18"/>
        <v>Week 2</v>
      </c>
    </row>
    <row r="1166" spans="1:21" x14ac:dyDescent="0.25">
      <c r="C1166" s="1"/>
      <c r="H1166" s="2"/>
    </row>
    <row r="1167" spans="1:21" x14ac:dyDescent="0.25">
      <c r="A1167">
        <v>1166</v>
      </c>
      <c r="B1167" t="s">
        <v>2160</v>
      </c>
      <c r="C1167" s="1">
        <v>45999</v>
      </c>
      <c r="D1167" t="s">
        <v>21</v>
      </c>
      <c r="E1167" t="s">
        <v>1554</v>
      </c>
      <c r="F1167" t="s">
        <v>30</v>
      </c>
      <c r="G1167" t="s">
        <v>24</v>
      </c>
      <c r="H1167" s="2">
        <v>1</v>
      </c>
      <c r="I1167" t="s">
        <v>2161</v>
      </c>
      <c r="K1167">
        <v>8967000</v>
      </c>
      <c r="L1167">
        <v>0</v>
      </c>
      <c r="M1167">
        <v>0</v>
      </c>
      <c r="N1167">
        <v>986370</v>
      </c>
      <c r="O1167">
        <v>0</v>
      </c>
      <c r="P1167">
        <v>0</v>
      </c>
      <c r="Q1167">
        <v>0</v>
      </c>
      <c r="R1167">
        <v>9953370</v>
      </c>
      <c r="S1167">
        <v>169702.70270267999</v>
      </c>
      <c r="T1167">
        <v>1.8925248433443</v>
      </c>
      <c r="U1167" t="str">
        <f t="shared" si="18"/>
        <v>Week 2</v>
      </c>
    </row>
    <row r="1168" spans="1:21" x14ac:dyDescent="0.25">
      <c r="A1168">
        <v>1167</v>
      </c>
      <c r="B1168" t="s">
        <v>2162</v>
      </c>
      <c r="C1168" s="1">
        <v>45999</v>
      </c>
      <c r="D1168" t="s">
        <v>312</v>
      </c>
      <c r="E1168" t="s">
        <v>22</v>
      </c>
      <c r="F1168" t="s">
        <v>30</v>
      </c>
      <c r="G1168" t="s">
        <v>24</v>
      </c>
      <c r="H1168" s="2">
        <v>1</v>
      </c>
      <c r="I1168" t="s">
        <v>2163</v>
      </c>
      <c r="J1168" t="s">
        <v>26</v>
      </c>
      <c r="K1168">
        <v>9524700</v>
      </c>
      <c r="L1168">
        <v>0</v>
      </c>
      <c r="M1168">
        <v>0</v>
      </c>
      <c r="N1168">
        <v>1047717</v>
      </c>
      <c r="O1168">
        <v>0</v>
      </c>
      <c r="P1168">
        <v>0</v>
      </c>
      <c r="Q1168">
        <v>0</v>
      </c>
      <c r="R1168">
        <v>10572417</v>
      </c>
      <c r="S1168">
        <v>3425572.0315315002</v>
      </c>
      <c r="T1168">
        <v>35.965143590156003</v>
      </c>
      <c r="U1168" t="str">
        <f t="shared" si="18"/>
        <v>Week 2</v>
      </c>
    </row>
    <row r="1169" spans="1:21" x14ac:dyDescent="0.25">
      <c r="A1169">
        <v>1168</v>
      </c>
      <c r="B1169" t="s">
        <v>2164</v>
      </c>
      <c r="C1169" s="1">
        <v>45996</v>
      </c>
      <c r="D1169" t="s">
        <v>21</v>
      </c>
      <c r="E1169" t="s">
        <v>22</v>
      </c>
      <c r="F1169" t="s">
        <v>30</v>
      </c>
      <c r="G1169" t="s">
        <v>24</v>
      </c>
      <c r="H1169" s="2">
        <v>1</v>
      </c>
      <c r="I1169" t="s">
        <v>2165</v>
      </c>
      <c r="J1169" t="s">
        <v>26</v>
      </c>
      <c r="K1169">
        <v>1857786</v>
      </c>
      <c r="L1169">
        <v>0</v>
      </c>
      <c r="M1169">
        <v>0</v>
      </c>
      <c r="N1169">
        <v>204356.46</v>
      </c>
      <c r="O1169">
        <v>0</v>
      </c>
      <c r="P1169">
        <v>0</v>
      </c>
      <c r="Q1169">
        <v>0</v>
      </c>
      <c r="R1169">
        <v>2062142.46</v>
      </c>
      <c r="S1169">
        <v>127786</v>
      </c>
      <c r="T1169">
        <v>6.8784025716633002</v>
      </c>
      <c r="U1169" t="str">
        <f t="shared" si="18"/>
        <v>Week 1</v>
      </c>
    </row>
    <row r="1170" spans="1:21" x14ac:dyDescent="0.25">
      <c r="A1170">
        <v>1169</v>
      </c>
      <c r="B1170" t="s">
        <v>2166</v>
      </c>
      <c r="C1170" s="1">
        <v>45996</v>
      </c>
      <c r="D1170" t="s">
        <v>54</v>
      </c>
      <c r="E1170" t="s">
        <v>1554</v>
      </c>
      <c r="F1170" t="s">
        <v>23</v>
      </c>
      <c r="G1170" t="s">
        <v>24</v>
      </c>
      <c r="H1170" s="2">
        <v>1</v>
      </c>
      <c r="I1170" t="s">
        <v>1772</v>
      </c>
      <c r="K1170">
        <v>16968016</v>
      </c>
      <c r="L1170">
        <v>0</v>
      </c>
      <c r="M1170">
        <v>0</v>
      </c>
      <c r="N1170">
        <v>1866481.76</v>
      </c>
      <c r="O1170">
        <v>0</v>
      </c>
      <c r="P1170">
        <v>0</v>
      </c>
      <c r="Q1170">
        <v>0</v>
      </c>
      <c r="R1170">
        <v>18834497.760000002</v>
      </c>
      <c r="S1170">
        <v>3393602</v>
      </c>
      <c r="T1170">
        <v>19.999992927870998</v>
      </c>
      <c r="U1170" t="str">
        <f t="shared" si="18"/>
        <v>Week 1</v>
      </c>
    </row>
    <row r="1171" spans="1:21" x14ac:dyDescent="0.25">
      <c r="A1171">
        <v>1170</v>
      </c>
      <c r="B1171" t="s">
        <v>2167</v>
      </c>
      <c r="C1171" s="1">
        <v>45996</v>
      </c>
      <c r="D1171" t="s">
        <v>312</v>
      </c>
      <c r="E1171" t="s">
        <v>22</v>
      </c>
      <c r="F1171" t="s">
        <v>30</v>
      </c>
      <c r="G1171" t="s">
        <v>24</v>
      </c>
      <c r="H1171" s="2">
        <v>1</v>
      </c>
      <c r="I1171" t="s">
        <v>2168</v>
      </c>
      <c r="J1171" t="s">
        <v>26</v>
      </c>
      <c r="K1171">
        <v>1605204</v>
      </c>
      <c r="L1171">
        <v>0</v>
      </c>
      <c r="M1171">
        <v>0</v>
      </c>
      <c r="N1171">
        <v>176572.44</v>
      </c>
      <c r="O1171">
        <v>0</v>
      </c>
      <c r="P1171">
        <v>0</v>
      </c>
      <c r="Q1171">
        <v>0</v>
      </c>
      <c r="R1171">
        <v>1781776.44</v>
      </c>
      <c r="S1171">
        <v>65204</v>
      </c>
      <c r="T1171">
        <v>4.0620382206872003</v>
      </c>
      <c r="U1171" t="str">
        <f t="shared" si="18"/>
        <v>Week 1</v>
      </c>
    </row>
    <row r="1172" spans="1:21" x14ac:dyDescent="0.25">
      <c r="A1172">
        <v>1171</v>
      </c>
      <c r="B1172" t="s">
        <v>2169</v>
      </c>
      <c r="C1172" s="1">
        <v>45996</v>
      </c>
      <c r="D1172" t="s">
        <v>312</v>
      </c>
      <c r="E1172" t="s">
        <v>22</v>
      </c>
      <c r="F1172" t="s">
        <v>30</v>
      </c>
      <c r="G1172" t="s">
        <v>24</v>
      </c>
      <c r="H1172" s="2">
        <v>1</v>
      </c>
      <c r="I1172" t="s">
        <v>2170</v>
      </c>
      <c r="J1172" t="s">
        <v>57</v>
      </c>
      <c r="K1172">
        <v>26234100</v>
      </c>
      <c r="L1172">
        <v>0</v>
      </c>
      <c r="M1172">
        <v>0</v>
      </c>
      <c r="N1172">
        <v>2885751</v>
      </c>
      <c r="O1172">
        <v>0</v>
      </c>
      <c r="P1172">
        <v>0</v>
      </c>
      <c r="Q1172">
        <v>0</v>
      </c>
      <c r="R1172">
        <v>29119851</v>
      </c>
      <c r="S1172">
        <v>1084100</v>
      </c>
      <c r="T1172">
        <v>4.1324078203559003</v>
      </c>
      <c r="U1172" t="str">
        <f t="shared" si="18"/>
        <v>Week 1</v>
      </c>
    </row>
    <row r="1173" spans="1:21" x14ac:dyDescent="0.25">
      <c r="A1173">
        <v>1172</v>
      </c>
      <c r="B1173" t="s">
        <v>2171</v>
      </c>
      <c r="C1173" s="1">
        <v>45996</v>
      </c>
      <c r="D1173" t="s">
        <v>312</v>
      </c>
      <c r="E1173" t="s">
        <v>1303</v>
      </c>
      <c r="F1173" t="s">
        <v>30</v>
      </c>
      <c r="G1173" t="s">
        <v>24</v>
      </c>
      <c r="H1173" s="2">
        <v>1</v>
      </c>
      <c r="I1173" t="s">
        <v>2172</v>
      </c>
      <c r="J1173" t="s">
        <v>26</v>
      </c>
      <c r="K1173">
        <v>782800</v>
      </c>
      <c r="L1173">
        <v>0</v>
      </c>
      <c r="M1173">
        <v>0</v>
      </c>
      <c r="N1173">
        <v>86108</v>
      </c>
      <c r="O1173">
        <v>0</v>
      </c>
      <c r="P1173">
        <v>0</v>
      </c>
      <c r="Q1173">
        <v>0</v>
      </c>
      <c r="R1173">
        <v>868908</v>
      </c>
      <c r="S1173">
        <v>-217200</v>
      </c>
      <c r="T1173">
        <v>-27.746550843127</v>
      </c>
      <c r="U1173" t="str">
        <f t="shared" si="18"/>
        <v>Week 1</v>
      </c>
    </row>
  </sheetData>
  <autoFilter ref="A1:U1173" xr:uid="{00000000-0001-0000-0000-000000000000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SBM</dc:creator>
  <cp:lastModifiedBy>lenovo sbm</cp:lastModifiedBy>
  <dcterms:created xsi:type="dcterms:W3CDTF">2026-03-28T03:40:34Z</dcterms:created>
  <dcterms:modified xsi:type="dcterms:W3CDTF">2026-03-28T05:29:38Z</dcterms:modified>
</cp:coreProperties>
</file>

<file path=docProps/core0.xml><?xml version="1.0" encoding="utf-8"?>
<cp:coreProperties xmlns:cp="http://schemas.openxmlformats.org/package/2006/metadata/core-properties" xmlns:dc="http://purl.org/dc/elements/1.1/" xmlns:dcmitype="http://purl.org/dc/dcmitype/" xmlns:dcterms="http://purl.org/dc/terms/" xmlns:xsi="http://www.w3.org/2001/XMLSchema-instance">
  <dc:title>Untitled Spreadsheet</dc:title>
  <dc:subject/>
  <dc:creator>OpenSpout</dc:creator>
  <cp:lastModifiedBy>OpenSpout</cp:lastModifiedBy>
  <cp:keywords/>
  <dc:description/>
  <cp:category/>
  <dc:language/>
  <dcterms:created xsi:type="dcterms:W3CDTF">2026-03-28T11:39:34+08:00</dcterms:created>
  <dcterms:modified xsi:type="dcterms:W3CDTF">2026-03-28T11:39:34+08:00</dcterms:modified>
  <cp:revision>0</cp:revision>
</cp:coreProperties>
</file>